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dria\Downloads\"/>
    </mc:Choice>
  </mc:AlternateContent>
  <xr:revisionPtr revIDLastSave="0" documentId="8_{A332B9DC-C32E-4A67-89DF-F77E21BCE900}" xr6:coauthVersionLast="47" xr6:coauthVersionMax="47" xr10:uidLastSave="{00000000-0000-0000-0000-000000000000}"/>
  <bookViews>
    <workbookView xWindow="-120" yWindow="-120" windowWidth="29040" windowHeight="15720" tabRatio="995" firstSheet="15" activeTab="14" xr2:uid="{C8AD1B28-457D-5447-8757-AF54EE263232}"/>
  </bookViews>
  <sheets>
    <sheet name="User Interface" sheetId="18" r:id="rId1"/>
    <sheet name="HDB Reco Model Diagrams" sheetId="1" r:id="rId2"/>
    <sheet name="Loan Model Diagrams" sheetId="3" r:id="rId3"/>
    <sheet name="Output" sheetId="23" state="hidden" r:id="rId4"/>
    <sheet name="Data Validation Tables UI" sheetId="28" r:id="rId5"/>
    <sheet name="HDB Recommender" sheetId="13" r:id="rId6"/>
    <sheet name="HDB Lease Calculator" sheetId="31" r:id="rId7"/>
    <sheet name="Data Validation Tables M2" sheetId="30" r:id="rId8"/>
    <sheet name="Resale flat dataset" sheetId="10" r:id="rId9"/>
    <sheet name="Resale flat dataset (DV)" sheetId="35" r:id="rId10"/>
    <sheet name="MRT station dataset" sheetId="6" r:id="rId11"/>
    <sheet name="Schools dataset" sheetId="26" r:id="rId12"/>
    <sheet name="Mall Dataset" sheetId="12" r:id="rId13"/>
    <sheet name="Housing Grants Criterias" sheetId="7" r:id="rId14"/>
    <sheet name="Trade-off Analysis" sheetId="36" r:id="rId15"/>
    <sheet name="Sensitivity Analysis" sheetId="37" r:id="rId16"/>
  </sheets>
  <definedNames>
    <definedName name="_xlnm._FilterDatabase" localSheetId="5" hidden="1">'HDB Recommender'!$B$10:$N$331</definedName>
    <definedName name="_xlnm._FilterDatabase" localSheetId="8" hidden="1">'Resale flat dataset'!$C$2:$AA$322</definedName>
    <definedName name="_xlnm._FilterDatabase" localSheetId="9" hidden="1">'Resale flat dataset (DV)'!$C$2:$AA$322</definedName>
    <definedName name="_xlnm._FilterDatabase" localSheetId="11" hidden="1">'Schools dataset'!#REF!</definedName>
    <definedName name="_xlnm._FilterDatabase" localSheetId="0" hidden="1">'User Interface'!$B$9:$D$27</definedName>
    <definedName name="EHG_Grant_Amount">#REF!</definedName>
    <definedName name="Flat_type_list_DV">'Data Validation Tables UI'!#REF!</definedName>
    <definedName name="solver_adj" localSheetId="6" hidden="1">'HDB Lease Calculator'!$F$31</definedName>
    <definedName name="solver_cvg" localSheetId="6" hidden="1">0.0001</definedName>
    <definedName name="solver_drv" localSheetId="6" hidden="1">1</definedName>
    <definedName name="solver_eng" localSheetId="6" hidden="1">1</definedName>
    <definedName name="solver_eng" localSheetId="1" hidden="1">1</definedName>
    <definedName name="solver_eng" localSheetId="2" hidden="1">1</definedName>
    <definedName name="solver_eng" localSheetId="8" hidden="1">1</definedName>
    <definedName name="solver_eng" localSheetId="9" hidden="1">1</definedName>
    <definedName name="solver_est" localSheetId="6" hidden="1">1</definedName>
    <definedName name="solver_itr" localSheetId="6" hidden="1">2147483647</definedName>
    <definedName name="solver_lhs1" localSheetId="6" hidden="1">'HDB Lease Calculator'!$F$31</definedName>
    <definedName name="solver_lhs2" localSheetId="6" hidden="1">'HDB Lease Calculator'!$F$31</definedName>
    <definedName name="solver_lhs3" localSheetId="6" hidden="1">'HDB Lease Calculator'!$F$31</definedName>
    <definedName name="solver_lhs4" localSheetId="6" hidden="1">'HDB Lease Calculator'!$F$39:$Q$39</definedName>
    <definedName name="solver_lhs5" localSheetId="6" hidden="1">'HDB Lease Calculator'!$O$39</definedName>
    <definedName name="solver_lhs6" localSheetId="6" hidden="1">'HDB Lease Calculator'!$O$39</definedName>
    <definedName name="solver_lin" localSheetId="1" hidden="1">2</definedName>
    <definedName name="solver_lin" localSheetId="2" hidden="1">2</definedName>
    <definedName name="solver_lin" localSheetId="8" hidden="1">2</definedName>
    <definedName name="solver_lin" localSheetId="9" hidden="1">2</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eg" localSheetId="1" hidden="1">1</definedName>
    <definedName name="solver_neg" localSheetId="2" hidden="1">1</definedName>
    <definedName name="solver_neg" localSheetId="8" hidden="1">1</definedName>
    <definedName name="solver_neg" localSheetId="9" hidden="1">1</definedName>
    <definedName name="solver_nod" localSheetId="6" hidden="1">2147483647</definedName>
    <definedName name="solver_num" localSheetId="6" hidden="1">3</definedName>
    <definedName name="solver_num" localSheetId="1" hidden="1">0</definedName>
    <definedName name="solver_num" localSheetId="2" hidden="1">0</definedName>
    <definedName name="solver_num" localSheetId="8" hidden="1">0</definedName>
    <definedName name="solver_num" localSheetId="9" hidden="1">0</definedName>
    <definedName name="solver_nwt" localSheetId="6" hidden="1">1</definedName>
    <definedName name="solver_opt" localSheetId="6" hidden="1">'HDB Lease Calculator'!$R$40</definedName>
    <definedName name="solver_opt" localSheetId="1" hidden="1">'HDB Reco Model Diagrams'!#REF!</definedName>
    <definedName name="solver_opt" localSheetId="2" hidden="1">'Loan Model Diagrams'!#REF!</definedName>
    <definedName name="solver_opt" localSheetId="8" hidden="1">'Resale flat dataset'!$Q$3</definedName>
    <definedName name="solver_opt" localSheetId="9" hidden="1">'Resale flat dataset (DV)'!$Q$3</definedName>
    <definedName name="solver_pre" localSheetId="6" hidden="1">0.000001</definedName>
    <definedName name="solver_rbv" localSheetId="6" hidden="1">1</definedName>
    <definedName name="solver_rel1" localSheetId="6" hidden="1">1</definedName>
    <definedName name="solver_rel2" localSheetId="6" hidden="1">4</definedName>
    <definedName name="solver_rel3" localSheetId="6" hidden="1">3</definedName>
    <definedName name="solver_rel4" localSheetId="6" hidden="1">1</definedName>
    <definedName name="solver_rel5" localSheetId="6" hidden="1">1</definedName>
    <definedName name="solver_rel6" localSheetId="6" hidden="1">1</definedName>
    <definedName name="solver_rhs1" localSheetId="6" hidden="1">30</definedName>
    <definedName name="solver_rhs2" localSheetId="6" hidden="1">"integer"</definedName>
    <definedName name="solver_rhs3" localSheetId="6" hidden="1">4</definedName>
    <definedName name="solver_rhs4" localSheetId="6" hidden="1">'HDB Lease Calculator'!$F$13</definedName>
    <definedName name="solver_rhs5" localSheetId="6" hidden="1">'HDB Lease Calculator'!$F$13</definedName>
    <definedName name="solver_rhs6" localSheetId="6" hidden="1">'HDB Lease Calculator'!$F$13</definedName>
    <definedName name="solver_rlx" localSheetId="6" hidden="1">2</definedName>
    <definedName name="solver_rsd" localSheetId="6" hidden="1">0</definedName>
    <definedName name="solver_scl" localSheetId="6" hidden="1">1</definedName>
    <definedName name="solver_sho" localSheetId="6" hidden="1">2</definedName>
    <definedName name="solver_ssz" localSheetId="6" hidden="1">100</definedName>
    <definedName name="solver_tim" localSheetId="6" hidden="1">2147483647</definedName>
    <definedName name="solver_tol" localSheetId="6" hidden="1">0.01</definedName>
    <definedName name="solver_typ" localSheetId="6" hidden="1">2</definedName>
    <definedName name="solver_typ" localSheetId="1" hidden="1">1</definedName>
    <definedName name="solver_typ" localSheetId="2" hidden="1">1</definedName>
    <definedName name="solver_typ" localSheetId="8" hidden="1">1</definedName>
    <definedName name="solver_typ" localSheetId="9" hidden="1">1</definedName>
    <definedName name="solver_val" localSheetId="6" hidden="1">0</definedName>
    <definedName name="solver_val" localSheetId="1" hidden="1">0</definedName>
    <definedName name="solver_val" localSheetId="2" hidden="1">0</definedName>
    <definedName name="solver_val" localSheetId="8" hidden="1">0</definedName>
    <definedName name="solver_val" localSheetId="9" hidden="1">0</definedName>
    <definedName name="solver_ver" localSheetId="6" hidden="1">3</definedName>
    <definedName name="solver_ver" localSheetId="1" hidden="1">2</definedName>
    <definedName name="solver_ver" localSheetId="2" hidden="1">2</definedName>
    <definedName name="solver_ver" localSheetId="8" hidden="1">2</definedName>
    <definedName name="solver_ver" localSheetId="9" hidden="1">2</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6" i="36" l="1"/>
  <c r="L20" i="37"/>
  <c r="K20" i="37"/>
  <c r="C39" i="36"/>
  <c r="E4" i="13"/>
  <c r="G4" i="13"/>
  <c r="C16" i="28" a="1"/>
  <c r="C16" i="28" s="1"/>
  <c r="N30" i="13"/>
  <c r="N31" i="13"/>
  <c r="N32" i="13"/>
  <c r="N33" i="13"/>
  <c r="N34" i="13"/>
  <c r="N35" i="13"/>
  <c r="N36" i="13"/>
  <c r="N37" i="13"/>
  <c r="N38" i="13"/>
  <c r="N39" i="13"/>
  <c r="N40" i="13"/>
  <c r="N41" i="13"/>
  <c r="N42" i="13"/>
  <c r="N43" i="13"/>
  <c r="N44" i="13"/>
  <c r="N45" i="13"/>
  <c r="N46" i="13"/>
  <c r="N47"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N102" i="13"/>
  <c r="N103" i="13"/>
  <c r="N104" i="13"/>
  <c r="N105" i="13"/>
  <c r="N106" i="13"/>
  <c r="N107" i="13"/>
  <c r="N108" i="13"/>
  <c r="N109" i="13"/>
  <c r="N110" i="13"/>
  <c r="N111" i="13"/>
  <c r="N112" i="13"/>
  <c r="N113" i="13"/>
  <c r="N114" i="13"/>
  <c r="N115" i="13"/>
  <c r="N116" i="13"/>
  <c r="N117" i="13"/>
  <c r="N118" i="13"/>
  <c r="N119" i="13"/>
  <c r="N120" i="13"/>
  <c r="N121" i="13"/>
  <c r="N122" i="13"/>
  <c r="N123" i="13"/>
  <c r="N124" i="13"/>
  <c r="N125" i="13"/>
  <c r="N126" i="13"/>
  <c r="N127" i="13"/>
  <c r="N128" i="13"/>
  <c r="N129" i="13"/>
  <c r="N130" i="13"/>
  <c r="N131" i="13"/>
  <c r="N132" i="13"/>
  <c r="N133" i="13"/>
  <c r="N134" i="13"/>
  <c r="N135" i="13"/>
  <c r="N136" i="13"/>
  <c r="N137" i="13"/>
  <c r="N138" i="13"/>
  <c r="N139" i="13"/>
  <c r="N140" i="13"/>
  <c r="N141" i="13"/>
  <c r="N142" i="13"/>
  <c r="N143" i="13"/>
  <c r="N144" i="13"/>
  <c r="N145" i="13"/>
  <c r="N146" i="13"/>
  <c r="N147" i="13"/>
  <c r="N148" i="13"/>
  <c r="N149" i="13"/>
  <c r="N150" i="13"/>
  <c r="N151" i="13"/>
  <c r="N152" i="13"/>
  <c r="N153" i="13"/>
  <c r="N154" i="13"/>
  <c r="N155" i="13"/>
  <c r="N156" i="13"/>
  <c r="N157" i="13"/>
  <c r="N158" i="13"/>
  <c r="N159" i="13"/>
  <c r="N160" i="13"/>
  <c r="N161" i="13"/>
  <c r="N162" i="13"/>
  <c r="N163" i="13"/>
  <c r="N164" i="13"/>
  <c r="N165" i="13"/>
  <c r="N166" i="13"/>
  <c r="N167" i="13"/>
  <c r="N168" i="13"/>
  <c r="N169" i="13"/>
  <c r="N170" i="13"/>
  <c r="N171" i="13"/>
  <c r="N172" i="13"/>
  <c r="N173" i="13"/>
  <c r="N174" i="13"/>
  <c r="N175" i="13"/>
  <c r="N176" i="13"/>
  <c r="N177" i="13"/>
  <c r="N178" i="13"/>
  <c r="N179" i="13"/>
  <c r="N180" i="13"/>
  <c r="N181" i="13"/>
  <c r="N182" i="13"/>
  <c r="N183" i="13"/>
  <c r="N184" i="13"/>
  <c r="N185" i="13"/>
  <c r="N186" i="13"/>
  <c r="N187" i="13"/>
  <c r="N188" i="13"/>
  <c r="N189" i="13"/>
  <c r="N190" i="13"/>
  <c r="N191" i="13"/>
  <c r="N192" i="13"/>
  <c r="N193" i="13"/>
  <c r="N194" i="13"/>
  <c r="N195" i="13"/>
  <c r="N196" i="13"/>
  <c r="N197" i="13"/>
  <c r="N198" i="13"/>
  <c r="N199" i="13"/>
  <c r="N200" i="13"/>
  <c r="N201" i="13"/>
  <c r="N202" i="13"/>
  <c r="N203" i="13"/>
  <c r="N204" i="13"/>
  <c r="N205" i="13"/>
  <c r="N206" i="13"/>
  <c r="N207" i="13"/>
  <c r="N208" i="13"/>
  <c r="N209" i="13"/>
  <c r="N210" i="13"/>
  <c r="N211" i="13"/>
  <c r="N212" i="13"/>
  <c r="N213" i="13"/>
  <c r="N214" i="13"/>
  <c r="N215" i="13"/>
  <c r="N216" i="13"/>
  <c r="N217" i="13"/>
  <c r="N218" i="13"/>
  <c r="N219" i="13"/>
  <c r="N220" i="13"/>
  <c r="N221" i="13"/>
  <c r="N222" i="13"/>
  <c r="N223" i="13"/>
  <c r="N224" i="13"/>
  <c r="N225" i="13"/>
  <c r="N226" i="13"/>
  <c r="N227" i="13"/>
  <c r="N228" i="13"/>
  <c r="N229" i="13"/>
  <c r="N230" i="13"/>
  <c r="N231" i="13"/>
  <c r="N232" i="13"/>
  <c r="N233" i="13"/>
  <c r="N234" i="13"/>
  <c r="N235" i="13"/>
  <c r="N236" i="13"/>
  <c r="N237" i="13"/>
  <c r="N238" i="13"/>
  <c r="N239" i="13"/>
  <c r="N240" i="13"/>
  <c r="N241" i="13"/>
  <c r="N242" i="13"/>
  <c r="N243" i="13"/>
  <c r="N244" i="13"/>
  <c r="N245" i="13"/>
  <c r="N246" i="13"/>
  <c r="N247" i="13"/>
  <c r="N248" i="13"/>
  <c r="N249" i="13"/>
  <c r="N250" i="13"/>
  <c r="N251" i="13"/>
  <c r="N252" i="13"/>
  <c r="N253" i="13"/>
  <c r="N254" i="13"/>
  <c r="N255" i="13"/>
  <c r="N256" i="13"/>
  <c r="N257" i="13"/>
  <c r="N258" i="13"/>
  <c r="N259" i="13"/>
  <c r="N260" i="13"/>
  <c r="N261" i="13"/>
  <c r="N262" i="13"/>
  <c r="N263" i="13"/>
  <c r="N264" i="13"/>
  <c r="N265" i="13"/>
  <c r="N266" i="13"/>
  <c r="N267" i="13"/>
  <c r="N268" i="13"/>
  <c r="N269" i="13"/>
  <c r="N270" i="13"/>
  <c r="N271" i="13"/>
  <c r="N272" i="13"/>
  <c r="N273" i="13"/>
  <c r="N274" i="13"/>
  <c r="N275" i="13"/>
  <c r="N276" i="13"/>
  <c r="N277" i="13"/>
  <c r="N278" i="13"/>
  <c r="N279" i="13"/>
  <c r="N280" i="13"/>
  <c r="N281" i="13"/>
  <c r="N282" i="13"/>
  <c r="N283" i="13"/>
  <c r="N284" i="13"/>
  <c r="N285" i="13"/>
  <c r="N286" i="13"/>
  <c r="N287" i="13"/>
  <c r="N288" i="13"/>
  <c r="N289" i="13"/>
  <c r="N290" i="13"/>
  <c r="N291" i="13"/>
  <c r="N292" i="13"/>
  <c r="N293" i="13"/>
  <c r="N294" i="13"/>
  <c r="N295" i="13"/>
  <c r="N296" i="13"/>
  <c r="N297" i="13"/>
  <c r="N298" i="13"/>
  <c r="N299" i="13"/>
  <c r="N300" i="13"/>
  <c r="N301" i="13"/>
  <c r="N302" i="13"/>
  <c r="N303" i="13"/>
  <c r="N304" i="13"/>
  <c r="N305" i="13"/>
  <c r="N306" i="13"/>
  <c r="N307" i="13"/>
  <c r="N308" i="13"/>
  <c r="N309" i="13"/>
  <c r="N310" i="13"/>
  <c r="N311" i="13"/>
  <c r="N312" i="13"/>
  <c r="N313" i="13"/>
  <c r="N314" i="13"/>
  <c r="N315" i="13"/>
  <c r="N316" i="13"/>
  <c r="N317" i="13"/>
  <c r="N318" i="13"/>
  <c r="N319" i="13"/>
  <c r="N320" i="13"/>
  <c r="N321" i="13"/>
  <c r="N322" i="13"/>
  <c r="N323" i="13"/>
  <c r="N324" i="13"/>
  <c r="N325" i="13"/>
  <c r="N326" i="13"/>
  <c r="N327" i="13"/>
  <c r="N328" i="13"/>
  <c r="N329" i="13"/>
  <c r="N330" i="13"/>
  <c r="N331" i="13"/>
  <c r="N23" i="37" l="1"/>
  <c r="N22" i="37"/>
  <c r="L22" i="37"/>
  <c r="N21" i="37"/>
  <c r="N20" i="37"/>
  <c r="M23" i="37"/>
  <c r="M22" i="37"/>
  <c r="M21" i="37"/>
  <c r="M20" i="37"/>
  <c r="L23" i="37"/>
  <c r="L21" i="37"/>
  <c r="K23" i="37"/>
  <c r="K22" i="37"/>
  <c r="K21" i="37"/>
  <c r="H4" i="13" l="1"/>
  <c r="F4" i="13"/>
  <c r="H7" i="13"/>
  <c r="K5" i="13" l="1"/>
  <c r="K6" i="13"/>
  <c r="K4" i="13"/>
  <c r="G74" i="30" l="1"/>
  <c r="G75" i="30"/>
  <c r="G76" i="30"/>
  <c r="G77" i="30"/>
  <c r="G78" i="30"/>
  <c r="G79" i="30"/>
  <c r="G80" i="30"/>
  <c r="G81" i="30"/>
  <c r="G82" i="30"/>
  <c r="G73" i="30"/>
  <c r="K76" i="30"/>
  <c r="E44" i="28"/>
  <c r="D13" i="18"/>
  <c r="F11" i="31"/>
  <c r="F31" i="31" l="1"/>
  <c r="F20" i="31"/>
  <c r="F24" i="31" s="1"/>
  <c r="D17" i="18"/>
  <c r="B16" i="28" l="1" a="1"/>
  <c r="B16" i="28" s="1"/>
  <c r="F16" i="28" a="1"/>
  <c r="F16" i="28" s="1"/>
  <c r="G16" i="28" a="1"/>
  <c r="G16" i="28" s="1"/>
  <c r="D16" i="28" s="1" a="1"/>
  <c r="D16" i="28" s="1"/>
  <c r="C38" i="18"/>
  <c r="C37" i="18"/>
  <c r="D4" i="13"/>
  <c r="L34" i="30"/>
  <c r="F9" i="31"/>
  <c r="B6" i="18"/>
  <c r="B7" i="18"/>
  <c r="F12" i="31"/>
  <c r="F10" i="31"/>
  <c r="B4" i="13"/>
  <c r="S322" i="35" a="1"/>
  <c r="S322" i="35" s="1"/>
  <c r="V322" i="35" s="1"/>
  <c r="R322" i="35" a="1"/>
  <c r="R322" i="35" s="1"/>
  <c r="U322" i="35" s="1"/>
  <c r="X322" i="35" s="1"/>
  <c r="Q322" i="35" a="1"/>
  <c r="Q322" i="35" s="1"/>
  <c r="T322" i="35" s="1"/>
  <c r="W322" i="35" s="1"/>
  <c r="S321" i="35" a="1"/>
  <c r="S321" i="35" s="1"/>
  <c r="V321" i="35" s="1"/>
  <c r="R321" i="35" a="1"/>
  <c r="R321" i="35" s="1"/>
  <c r="U321" i="35" s="1"/>
  <c r="X321" i="35" s="1"/>
  <c r="Q321" i="35" a="1"/>
  <c r="Q321" i="35" s="1"/>
  <c r="T321" i="35" s="1"/>
  <c r="W321" i="35" s="1"/>
  <c r="S320" i="35" a="1"/>
  <c r="S320" i="35" s="1"/>
  <c r="V320" i="35" s="1"/>
  <c r="R320" i="35" a="1"/>
  <c r="R320" i="35" s="1"/>
  <c r="U320" i="35" s="1"/>
  <c r="X320" i="35" s="1"/>
  <c r="Q320" i="35" a="1"/>
  <c r="Q320" i="35" s="1"/>
  <c r="T320" i="35" s="1"/>
  <c r="W320" i="35" s="1"/>
  <c r="S319" i="35" a="1"/>
  <c r="S319" i="35" s="1"/>
  <c r="V319" i="35" s="1"/>
  <c r="R319" i="35" a="1"/>
  <c r="R319" i="35" s="1"/>
  <c r="U319" i="35" s="1"/>
  <c r="X319" i="35" s="1"/>
  <c r="Q319" i="35" a="1"/>
  <c r="Q319" i="35" s="1"/>
  <c r="T319" i="35" s="1"/>
  <c r="W319" i="35" s="1"/>
  <c r="S318" i="35" a="1"/>
  <c r="S318" i="35" s="1"/>
  <c r="V318" i="35" s="1"/>
  <c r="AA318" i="35" s="1"/>
  <c r="R318" i="35" a="1"/>
  <c r="R318" i="35" s="1"/>
  <c r="U318" i="35" s="1"/>
  <c r="X318" i="35" s="1"/>
  <c r="Q318" i="35" a="1"/>
  <c r="Q318" i="35" s="1"/>
  <c r="T318" i="35" s="1"/>
  <c r="W318" i="35" s="1"/>
  <c r="S317" i="35" a="1"/>
  <c r="S317" i="35" s="1"/>
  <c r="V317" i="35" s="1"/>
  <c r="R317" i="35" a="1"/>
  <c r="R317" i="35" s="1"/>
  <c r="U317" i="35" s="1"/>
  <c r="X317" i="35" s="1"/>
  <c r="Q317" i="35" a="1"/>
  <c r="Q317" i="35" s="1"/>
  <c r="T317" i="35" s="1"/>
  <c r="W317" i="35" s="1"/>
  <c r="S316" i="35" a="1"/>
  <c r="S316" i="35" s="1"/>
  <c r="V316" i="35" s="1"/>
  <c r="R316" i="35" a="1"/>
  <c r="R316" i="35" s="1"/>
  <c r="U316" i="35" s="1"/>
  <c r="X316" i="35" s="1"/>
  <c r="Q316" i="35" a="1"/>
  <c r="Q316" i="35" s="1"/>
  <c r="T316" i="35" s="1"/>
  <c r="W316" i="35" s="1"/>
  <c r="S315" i="35" a="1"/>
  <c r="S315" i="35" s="1"/>
  <c r="V315" i="35" s="1"/>
  <c r="R315" i="35" a="1"/>
  <c r="R315" i="35" s="1"/>
  <c r="U315" i="35" s="1"/>
  <c r="X315" i="35" s="1"/>
  <c r="Q315" i="35" a="1"/>
  <c r="Q315" i="35" s="1"/>
  <c r="T315" i="35" s="1"/>
  <c r="W315" i="35" s="1"/>
  <c r="S314" i="35" a="1"/>
  <c r="S314" i="35" s="1"/>
  <c r="V314" i="35" s="1"/>
  <c r="R314" i="35" a="1"/>
  <c r="R314" i="35" s="1"/>
  <c r="U314" i="35" s="1"/>
  <c r="X314" i="35" s="1"/>
  <c r="Q314" i="35" a="1"/>
  <c r="Q314" i="35" s="1"/>
  <c r="T314" i="35" s="1"/>
  <c r="W314" i="35" s="1"/>
  <c r="S313" i="35" a="1"/>
  <c r="S313" i="35" s="1"/>
  <c r="V313" i="35" s="1"/>
  <c r="R313" i="35" a="1"/>
  <c r="R313" i="35" s="1"/>
  <c r="U313" i="35" s="1"/>
  <c r="X313" i="35" s="1"/>
  <c r="Q313" i="35" a="1"/>
  <c r="Q313" i="35" s="1"/>
  <c r="T313" i="35" s="1"/>
  <c r="W313" i="35" s="1"/>
  <c r="S312" i="35" a="1"/>
  <c r="S312" i="35" s="1"/>
  <c r="V312" i="35" s="1"/>
  <c r="R312" i="35" a="1"/>
  <c r="R312" i="35" s="1"/>
  <c r="U312" i="35" s="1"/>
  <c r="X312" i="35" s="1"/>
  <c r="Q312" i="35" a="1"/>
  <c r="Q312" i="35" s="1"/>
  <c r="T312" i="35" s="1"/>
  <c r="W312" i="35" s="1"/>
  <c r="S311" i="35" a="1"/>
  <c r="S311" i="35" s="1"/>
  <c r="V311" i="35" s="1"/>
  <c r="R311" i="35" a="1"/>
  <c r="R311" i="35" s="1"/>
  <c r="U311" i="35" s="1"/>
  <c r="X311" i="35" s="1"/>
  <c r="Q311" i="35" a="1"/>
  <c r="Q311" i="35" s="1"/>
  <c r="T311" i="35" s="1"/>
  <c r="W311" i="35" s="1"/>
  <c r="S310" i="35" a="1"/>
  <c r="S310" i="35" s="1"/>
  <c r="V310" i="35" s="1"/>
  <c r="R310" i="35" a="1"/>
  <c r="R310" i="35" s="1"/>
  <c r="U310" i="35" s="1"/>
  <c r="X310" i="35" s="1"/>
  <c r="Q310" i="35" a="1"/>
  <c r="Q310" i="35" s="1"/>
  <c r="T310" i="35" s="1"/>
  <c r="W310" i="35" s="1"/>
  <c r="S309" i="35" a="1"/>
  <c r="S309" i="35" s="1"/>
  <c r="V309" i="35" s="1"/>
  <c r="R309" i="35" a="1"/>
  <c r="R309" i="35" s="1"/>
  <c r="U309" i="35" s="1"/>
  <c r="X309" i="35" s="1"/>
  <c r="Q309" i="35" a="1"/>
  <c r="Q309" i="35" s="1"/>
  <c r="T309" i="35" s="1"/>
  <c r="W309" i="35" s="1"/>
  <c r="S308" i="35" a="1"/>
  <c r="S308" i="35" s="1"/>
  <c r="V308" i="35" s="1"/>
  <c r="AA308" i="35" s="1"/>
  <c r="R308" i="35" a="1"/>
  <c r="R308" i="35" s="1"/>
  <c r="U308" i="35" s="1"/>
  <c r="X308" i="35" s="1"/>
  <c r="Q308" i="35" a="1"/>
  <c r="Q308" i="35" s="1"/>
  <c r="T308" i="35" s="1"/>
  <c r="W308" i="35" s="1"/>
  <c r="S307" i="35" a="1"/>
  <c r="S307" i="35" s="1"/>
  <c r="V307" i="35" s="1"/>
  <c r="AA307" i="35" s="1"/>
  <c r="R307" i="35" a="1"/>
  <c r="R307" i="35" s="1"/>
  <c r="U307" i="35" s="1"/>
  <c r="X307" i="35" s="1"/>
  <c r="Q307" i="35" a="1"/>
  <c r="Q307" i="35" s="1"/>
  <c r="T307" i="35" s="1"/>
  <c r="W307" i="35" s="1"/>
  <c r="S306" i="35" a="1"/>
  <c r="S306" i="35" s="1"/>
  <c r="V306" i="35" s="1"/>
  <c r="AA306" i="35" s="1"/>
  <c r="R306" i="35" a="1"/>
  <c r="R306" i="35" s="1"/>
  <c r="U306" i="35" s="1"/>
  <c r="X306" i="35" s="1"/>
  <c r="Q306" i="35" a="1"/>
  <c r="Q306" i="35" s="1"/>
  <c r="T306" i="35" s="1"/>
  <c r="W306" i="35" s="1"/>
  <c r="S305" i="35" a="1"/>
  <c r="S305" i="35" s="1"/>
  <c r="V305" i="35" s="1"/>
  <c r="R305" i="35" a="1"/>
  <c r="R305" i="35" s="1"/>
  <c r="U305" i="35" s="1"/>
  <c r="X305" i="35" s="1"/>
  <c r="Q305" i="35" a="1"/>
  <c r="Q305" i="35" s="1"/>
  <c r="T305" i="35" s="1"/>
  <c r="W305" i="35" s="1"/>
  <c r="S304" i="35" a="1"/>
  <c r="S304" i="35" s="1"/>
  <c r="V304" i="35" s="1"/>
  <c r="R304" i="35" a="1"/>
  <c r="R304" i="35" s="1"/>
  <c r="U304" i="35" s="1"/>
  <c r="X304" i="35" s="1"/>
  <c r="Q304" i="35" a="1"/>
  <c r="Q304" i="35" s="1"/>
  <c r="T304" i="35" s="1"/>
  <c r="W304" i="35" s="1"/>
  <c r="S303" i="35" a="1"/>
  <c r="S303" i="35" s="1"/>
  <c r="V303" i="35" s="1"/>
  <c r="R303" i="35" a="1"/>
  <c r="R303" i="35" s="1"/>
  <c r="U303" i="35" s="1"/>
  <c r="X303" i="35" s="1"/>
  <c r="Q303" i="35" a="1"/>
  <c r="Q303" i="35" s="1"/>
  <c r="T303" i="35" s="1"/>
  <c r="W303" i="35" s="1"/>
  <c r="S302" i="35" a="1"/>
  <c r="S302" i="35" s="1"/>
  <c r="V302" i="35" s="1"/>
  <c r="R302" i="35" a="1"/>
  <c r="R302" i="35" s="1"/>
  <c r="U302" i="35" s="1"/>
  <c r="X302" i="35" s="1"/>
  <c r="Q302" i="35" a="1"/>
  <c r="Q302" i="35" s="1"/>
  <c r="T302" i="35" s="1"/>
  <c r="W302" i="35" s="1"/>
  <c r="S301" i="35" a="1"/>
  <c r="S301" i="35" s="1"/>
  <c r="V301" i="35" s="1"/>
  <c r="R301" i="35" a="1"/>
  <c r="R301" i="35" s="1"/>
  <c r="U301" i="35" s="1"/>
  <c r="X301" i="35" s="1"/>
  <c r="Q301" i="35" a="1"/>
  <c r="Q301" i="35" s="1"/>
  <c r="T301" i="35" s="1"/>
  <c r="W301" i="35" s="1"/>
  <c r="S300" i="35" a="1"/>
  <c r="S300" i="35" s="1"/>
  <c r="V300" i="35" s="1"/>
  <c r="R300" i="35" a="1"/>
  <c r="R300" i="35" s="1"/>
  <c r="U300" i="35" s="1"/>
  <c r="X300" i="35" s="1"/>
  <c r="Q300" i="35" a="1"/>
  <c r="Q300" i="35" s="1"/>
  <c r="T300" i="35" s="1"/>
  <c r="W300" i="35" s="1"/>
  <c r="S299" i="35" a="1"/>
  <c r="S299" i="35" s="1"/>
  <c r="V299" i="35" s="1"/>
  <c r="Y299" i="35" s="1"/>
  <c r="R299" i="35" a="1"/>
  <c r="R299" i="35" s="1"/>
  <c r="U299" i="35" s="1"/>
  <c r="X299" i="35" s="1"/>
  <c r="Q299" i="35" a="1"/>
  <c r="Q299" i="35" s="1"/>
  <c r="T299" i="35" s="1"/>
  <c r="W299" i="35" s="1"/>
  <c r="S298" i="35" a="1"/>
  <c r="S298" i="35" s="1"/>
  <c r="V298" i="35" s="1"/>
  <c r="R298" i="35" a="1"/>
  <c r="R298" i="35" s="1"/>
  <c r="U298" i="35" s="1"/>
  <c r="X298" i="35" s="1"/>
  <c r="Q298" i="35" a="1"/>
  <c r="Q298" i="35" s="1"/>
  <c r="T298" i="35" s="1"/>
  <c r="W298" i="35" s="1"/>
  <c r="S297" i="35" a="1"/>
  <c r="S297" i="35" s="1"/>
  <c r="V297" i="35" s="1"/>
  <c r="R297" i="35" a="1"/>
  <c r="R297" i="35" s="1"/>
  <c r="U297" i="35" s="1"/>
  <c r="X297" i="35" s="1"/>
  <c r="Q297" i="35" a="1"/>
  <c r="Q297" i="35" s="1"/>
  <c r="T297" i="35" s="1"/>
  <c r="W297" i="35" s="1"/>
  <c r="S296" i="35" a="1"/>
  <c r="S296" i="35" s="1"/>
  <c r="V296" i="35" s="1"/>
  <c r="R296" i="35" a="1"/>
  <c r="R296" i="35" s="1"/>
  <c r="U296" i="35" s="1"/>
  <c r="X296" i="35" s="1"/>
  <c r="Q296" i="35" a="1"/>
  <c r="Q296" i="35" s="1"/>
  <c r="T296" i="35" s="1"/>
  <c r="W296" i="35" s="1"/>
  <c r="S295" i="35" a="1"/>
  <c r="S295" i="35" s="1"/>
  <c r="V295" i="35" s="1"/>
  <c r="R295" i="35" a="1"/>
  <c r="R295" i="35" s="1"/>
  <c r="U295" i="35" s="1"/>
  <c r="X295" i="35" s="1"/>
  <c r="Q295" i="35" a="1"/>
  <c r="Q295" i="35" s="1"/>
  <c r="T295" i="35" s="1"/>
  <c r="W295" i="35" s="1"/>
  <c r="S294" i="35" a="1"/>
  <c r="S294" i="35" s="1"/>
  <c r="V294" i="35" s="1"/>
  <c r="Y294" i="35" s="1"/>
  <c r="R294" i="35" a="1"/>
  <c r="R294" i="35" s="1"/>
  <c r="U294" i="35" s="1"/>
  <c r="X294" i="35" s="1"/>
  <c r="Q294" i="35" a="1"/>
  <c r="Q294" i="35" s="1"/>
  <c r="T294" i="35" s="1"/>
  <c r="W294" i="35" s="1"/>
  <c r="S293" i="35" a="1"/>
  <c r="S293" i="35" s="1"/>
  <c r="V293" i="35" s="1"/>
  <c r="R293" i="35" a="1"/>
  <c r="R293" i="35" s="1"/>
  <c r="U293" i="35" s="1"/>
  <c r="X293" i="35" s="1"/>
  <c r="Q293" i="35" a="1"/>
  <c r="Q293" i="35" s="1"/>
  <c r="T293" i="35" s="1"/>
  <c r="W293" i="35" s="1"/>
  <c r="S292" i="35" a="1"/>
  <c r="S292" i="35" s="1"/>
  <c r="V292" i="35" s="1"/>
  <c r="R292" i="35" a="1"/>
  <c r="R292" i="35" s="1"/>
  <c r="U292" i="35" s="1"/>
  <c r="X292" i="35" s="1"/>
  <c r="Q292" i="35" a="1"/>
  <c r="Q292" i="35" s="1"/>
  <c r="T292" i="35" s="1"/>
  <c r="W292" i="35" s="1"/>
  <c r="S291" i="35" a="1"/>
  <c r="S291" i="35" s="1"/>
  <c r="V291" i="35" s="1"/>
  <c r="AA291" i="35" s="1"/>
  <c r="R291" i="35" a="1"/>
  <c r="R291" i="35" s="1"/>
  <c r="U291" i="35" s="1"/>
  <c r="X291" i="35" s="1"/>
  <c r="Q291" i="35" a="1"/>
  <c r="Q291" i="35" s="1"/>
  <c r="T291" i="35" s="1"/>
  <c r="W291" i="35" s="1"/>
  <c r="S290" i="35" a="1"/>
  <c r="S290" i="35" s="1"/>
  <c r="V290" i="35" s="1"/>
  <c r="Y290" i="35" s="1"/>
  <c r="R290" i="35" a="1"/>
  <c r="R290" i="35" s="1"/>
  <c r="U290" i="35" s="1"/>
  <c r="X290" i="35" s="1"/>
  <c r="Q290" i="35" a="1"/>
  <c r="Q290" i="35" s="1"/>
  <c r="T290" i="35" s="1"/>
  <c r="W290" i="35" s="1"/>
  <c r="S289" i="35" a="1"/>
  <c r="S289" i="35" s="1"/>
  <c r="V289" i="35" s="1"/>
  <c r="R289" i="35" a="1"/>
  <c r="R289" i="35" s="1"/>
  <c r="U289" i="35" s="1"/>
  <c r="X289" i="35" s="1"/>
  <c r="Q289" i="35" a="1"/>
  <c r="Q289" i="35" s="1"/>
  <c r="T289" i="35" s="1"/>
  <c r="W289" i="35" s="1"/>
  <c r="S288" i="35" a="1"/>
  <c r="S288" i="35" s="1"/>
  <c r="V288" i="35" s="1"/>
  <c r="Y288" i="35" s="1"/>
  <c r="R288" i="35" a="1"/>
  <c r="R288" i="35" s="1"/>
  <c r="U288" i="35" s="1"/>
  <c r="X288" i="35" s="1"/>
  <c r="Q288" i="35" a="1"/>
  <c r="Q288" i="35" s="1"/>
  <c r="T288" i="35" s="1"/>
  <c r="W288" i="35" s="1"/>
  <c r="S287" i="35" a="1"/>
  <c r="S287" i="35" s="1"/>
  <c r="V287" i="35" s="1"/>
  <c r="R287" i="35" a="1"/>
  <c r="R287" i="35" s="1"/>
  <c r="U287" i="35" s="1"/>
  <c r="X287" i="35" s="1"/>
  <c r="Q287" i="35" a="1"/>
  <c r="Q287" i="35" s="1"/>
  <c r="T287" i="35" s="1"/>
  <c r="W287" i="35" s="1"/>
  <c r="S286" i="35" a="1"/>
  <c r="S286" i="35" s="1"/>
  <c r="V286" i="35" s="1"/>
  <c r="R286" i="35" a="1"/>
  <c r="R286" i="35" s="1"/>
  <c r="U286" i="35" s="1"/>
  <c r="X286" i="35" s="1"/>
  <c r="Q286" i="35" a="1"/>
  <c r="Q286" i="35" s="1"/>
  <c r="T286" i="35" s="1"/>
  <c r="W286" i="35" s="1"/>
  <c r="S285" i="35" a="1"/>
  <c r="S285" i="35" s="1"/>
  <c r="V285" i="35" s="1"/>
  <c r="R285" i="35" a="1"/>
  <c r="R285" i="35" s="1"/>
  <c r="U285" i="35" s="1"/>
  <c r="X285" i="35" s="1"/>
  <c r="Q285" i="35" a="1"/>
  <c r="Q285" i="35" s="1"/>
  <c r="T285" i="35" s="1"/>
  <c r="W285" i="35" s="1"/>
  <c r="S284" i="35" a="1"/>
  <c r="S284" i="35" s="1"/>
  <c r="V284" i="35" s="1"/>
  <c r="Y284" i="35" s="1"/>
  <c r="R284" i="35" a="1"/>
  <c r="R284" i="35" s="1"/>
  <c r="U284" i="35" s="1"/>
  <c r="X284" i="35" s="1"/>
  <c r="Q284" i="35" a="1"/>
  <c r="Q284" i="35" s="1"/>
  <c r="T284" i="35" s="1"/>
  <c r="W284" i="35" s="1"/>
  <c r="S283" i="35" a="1"/>
  <c r="S283" i="35" s="1"/>
  <c r="V283" i="35" s="1"/>
  <c r="AA283" i="35" s="1"/>
  <c r="R283" i="35" a="1"/>
  <c r="R283" i="35" s="1"/>
  <c r="U283" i="35" s="1"/>
  <c r="X283" i="35" s="1"/>
  <c r="Q283" i="35" a="1"/>
  <c r="Q283" i="35" s="1"/>
  <c r="T283" i="35" s="1"/>
  <c r="W283" i="35" s="1"/>
  <c r="S282" i="35" a="1"/>
  <c r="S282" i="35" s="1"/>
  <c r="V282" i="35" s="1"/>
  <c r="R282" i="35" a="1"/>
  <c r="R282" i="35" s="1"/>
  <c r="U282" i="35" s="1"/>
  <c r="X282" i="35" s="1"/>
  <c r="Q282" i="35" a="1"/>
  <c r="Q282" i="35" s="1"/>
  <c r="T282" i="35" s="1"/>
  <c r="W282" i="35" s="1"/>
  <c r="S281" i="35" a="1"/>
  <c r="S281" i="35" s="1"/>
  <c r="V281" i="35" s="1"/>
  <c r="R281" i="35" a="1"/>
  <c r="R281" i="35" s="1"/>
  <c r="U281" i="35" s="1"/>
  <c r="X281" i="35" s="1"/>
  <c r="Q281" i="35" a="1"/>
  <c r="Q281" i="35" s="1"/>
  <c r="T281" i="35" s="1"/>
  <c r="W281" i="35" s="1"/>
  <c r="S280" i="35" a="1"/>
  <c r="S280" i="35" s="1"/>
  <c r="V280" i="35" s="1"/>
  <c r="R280" i="35" a="1"/>
  <c r="R280" i="35" s="1"/>
  <c r="U280" i="35" s="1"/>
  <c r="X280" i="35" s="1"/>
  <c r="Q280" i="35" a="1"/>
  <c r="Q280" i="35" s="1"/>
  <c r="T280" i="35" s="1"/>
  <c r="W280" i="35" s="1"/>
  <c r="S279" i="35" a="1"/>
  <c r="S279" i="35" s="1"/>
  <c r="V279" i="35" s="1"/>
  <c r="AA279" i="35" s="1"/>
  <c r="R279" i="35" a="1"/>
  <c r="R279" i="35" s="1"/>
  <c r="U279" i="35" s="1"/>
  <c r="X279" i="35" s="1"/>
  <c r="Q279" i="35" a="1"/>
  <c r="Q279" i="35" s="1"/>
  <c r="T279" i="35" s="1"/>
  <c r="W279" i="35" s="1"/>
  <c r="S278" i="35" a="1"/>
  <c r="S278" i="35" s="1"/>
  <c r="V278" i="35" s="1"/>
  <c r="R278" i="35" a="1"/>
  <c r="R278" i="35" s="1"/>
  <c r="U278" i="35" s="1"/>
  <c r="X278" i="35" s="1"/>
  <c r="Q278" i="35" a="1"/>
  <c r="Q278" i="35" s="1"/>
  <c r="T278" i="35" s="1"/>
  <c r="W278" i="35" s="1"/>
  <c r="S277" i="35" a="1"/>
  <c r="S277" i="35" s="1"/>
  <c r="V277" i="35" s="1"/>
  <c r="AA277" i="35" s="1"/>
  <c r="R277" i="35" a="1"/>
  <c r="R277" i="35" s="1"/>
  <c r="U277" i="35" s="1"/>
  <c r="X277" i="35" s="1"/>
  <c r="Q277" i="35" a="1"/>
  <c r="Q277" i="35" s="1"/>
  <c r="T277" i="35" s="1"/>
  <c r="W277" i="35" s="1"/>
  <c r="S276" i="35" a="1"/>
  <c r="S276" i="35" s="1"/>
  <c r="V276" i="35" s="1"/>
  <c r="R276" i="35" a="1"/>
  <c r="R276" i="35" s="1"/>
  <c r="U276" i="35" s="1"/>
  <c r="X276" i="35" s="1"/>
  <c r="Q276" i="35" a="1"/>
  <c r="Q276" i="35" s="1"/>
  <c r="T276" i="35" s="1"/>
  <c r="W276" i="35" s="1"/>
  <c r="S275" i="35" a="1"/>
  <c r="S275" i="35" s="1"/>
  <c r="V275" i="35" s="1"/>
  <c r="Y275" i="35" s="1"/>
  <c r="R275" i="35" a="1"/>
  <c r="R275" i="35" s="1"/>
  <c r="U275" i="35" s="1"/>
  <c r="X275" i="35" s="1"/>
  <c r="Q275" i="35" a="1"/>
  <c r="Q275" i="35" s="1"/>
  <c r="T275" i="35" s="1"/>
  <c r="W275" i="35" s="1"/>
  <c r="S274" i="35" a="1"/>
  <c r="S274" i="35" s="1"/>
  <c r="V274" i="35" s="1"/>
  <c r="AA274" i="35" s="1"/>
  <c r="R274" i="35" a="1"/>
  <c r="R274" i="35" s="1"/>
  <c r="U274" i="35" s="1"/>
  <c r="X274" i="35" s="1"/>
  <c r="Q274" i="35" a="1"/>
  <c r="Q274" i="35" s="1"/>
  <c r="T274" i="35" s="1"/>
  <c r="W274" i="35" s="1"/>
  <c r="S273" i="35" a="1"/>
  <c r="S273" i="35" s="1"/>
  <c r="V273" i="35" s="1"/>
  <c r="R273" i="35" a="1"/>
  <c r="R273" i="35" s="1"/>
  <c r="U273" i="35" s="1"/>
  <c r="X273" i="35" s="1"/>
  <c r="Q273" i="35" a="1"/>
  <c r="Q273" i="35" s="1"/>
  <c r="T273" i="35" s="1"/>
  <c r="W273" i="35" s="1"/>
  <c r="S272" i="35" a="1"/>
  <c r="S272" i="35" s="1"/>
  <c r="V272" i="35" s="1"/>
  <c r="R272" i="35" a="1"/>
  <c r="R272" i="35" s="1"/>
  <c r="U272" i="35" s="1"/>
  <c r="X272" i="35" s="1"/>
  <c r="Q272" i="35" a="1"/>
  <c r="Q272" i="35" s="1"/>
  <c r="T272" i="35" s="1"/>
  <c r="W272" i="35" s="1"/>
  <c r="S271" i="35" a="1"/>
  <c r="S271" i="35" s="1"/>
  <c r="V271" i="35" s="1"/>
  <c r="R271" i="35" a="1"/>
  <c r="R271" i="35" s="1"/>
  <c r="U271" i="35" s="1"/>
  <c r="X271" i="35" s="1"/>
  <c r="Q271" i="35" a="1"/>
  <c r="Q271" i="35" s="1"/>
  <c r="T271" i="35" s="1"/>
  <c r="W271" i="35" s="1"/>
  <c r="S270" i="35" a="1"/>
  <c r="S270" i="35" s="1"/>
  <c r="V270" i="35" s="1"/>
  <c r="R270" i="35" a="1"/>
  <c r="R270" i="35" s="1"/>
  <c r="U270" i="35" s="1"/>
  <c r="X270" i="35" s="1"/>
  <c r="Q270" i="35" a="1"/>
  <c r="Q270" i="35" s="1"/>
  <c r="T270" i="35" s="1"/>
  <c r="W270" i="35" s="1"/>
  <c r="S269" i="35" a="1"/>
  <c r="S269" i="35" s="1"/>
  <c r="V269" i="35" s="1"/>
  <c r="R269" i="35" a="1"/>
  <c r="R269" i="35" s="1"/>
  <c r="U269" i="35" s="1"/>
  <c r="X269" i="35" s="1"/>
  <c r="Q269" i="35" a="1"/>
  <c r="Q269" i="35" s="1"/>
  <c r="T269" i="35" s="1"/>
  <c r="W269" i="35" s="1"/>
  <c r="S268" i="35" a="1"/>
  <c r="S268" i="35" s="1"/>
  <c r="V268" i="35" s="1"/>
  <c r="R268" i="35" a="1"/>
  <c r="R268" i="35" s="1"/>
  <c r="U268" i="35" s="1"/>
  <c r="X268" i="35" s="1"/>
  <c r="Q268" i="35" a="1"/>
  <c r="Q268" i="35" s="1"/>
  <c r="T268" i="35" s="1"/>
  <c r="W268" i="35" s="1"/>
  <c r="S267" i="35" a="1"/>
  <c r="S267" i="35" s="1"/>
  <c r="V267" i="35" s="1"/>
  <c r="AA267" i="35" s="1"/>
  <c r="R267" i="35" a="1"/>
  <c r="R267" i="35" s="1"/>
  <c r="U267" i="35" s="1"/>
  <c r="X267" i="35" s="1"/>
  <c r="Q267" i="35" a="1"/>
  <c r="Q267" i="35" s="1"/>
  <c r="T267" i="35" s="1"/>
  <c r="W267" i="35" s="1"/>
  <c r="S266" i="35" a="1"/>
  <c r="S266" i="35" s="1"/>
  <c r="V266" i="35" s="1"/>
  <c r="R266" i="35" a="1"/>
  <c r="R266" i="35" s="1"/>
  <c r="U266" i="35" s="1"/>
  <c r="X266" i="35" s="1"/>
  <c r="Q266" i="35" a="1"/>
  <c r="Q266" i="35" s="1"/>
  <c r="T266" i="35" s="1"/>
  <c r="W266" i="35" s="1"/>
  <c r="S265" i="35" a="1"/>
  <c r="S265" i="35" s="1"/>
  <c r="V265" i="35" s="1"/>
  <c r="R265" i="35" a="1"/>
  <c r="R265" i="35" s="1"/>
  <c r="U265" i="35" s="1"/>
  <c r="X265" i="35" s="1"/>
  <c r="Q265" i="35" a="1"/>
  <c r="Q265" i="35" s="1"/>
  <c r="T265" i="35" s="1"/>
  <c r="W265" i="35" s="1"/>
  <c r="S264" i="35" a="1"/>
  <c r="S264" i="35" s="1"/>
  <c r="V264" i="35" s="1"/>
  <c r="R264" i="35" a="1"/>
  <c r="R264" i="35" s="1"/>
  <c r="U264" i="35" s="1"/>
  <c r="X264" i="35" s="1"/>
  <c r="Q264" i="35" a="1"/>
  <c r="Q264" i="35" s="1"/>
  <c r="T264" i="35" s="1"/>
  <c r="W264" i="35" s="1"/>
  <c r="S263" i="35" a="1"/>
  <c r="S263" i="35" s="1"/>
  <c r="V263" i="35" s="1"/>
  <c r="R263" i="35" a="1"/>
  <c r="R263" i="35" s="1"/>
  <c r="U263" i="35" s="1"/>
  <c r="X263" i="35" s="1"/>
  <c r="Q263" i="35" a="1"/>
  <c r="Q263" i="35" s="1"/>
  <c r="T263" i="35" s="1"/>
  <c r="W263" i="35" s="1"/>
  <c r="S262" i="35" a="1"/>
  <c r="S262" i="35" s="1"/>
  <c r="V262" i="35" s="1"/>
  <c r="R262" i="35" a="1"/>
  <c r="R262" i="35" s="1"/>
  <c r="U262" i="35" s="1"/>
  <c r="X262" i="35" s="1"/>
  <c r="Q262" i="35" a="1"/>
  <c r="Q262" i="35" s="1"/>
  <c r="T262" i="35" s="1"/>
  <c r="W262" i="35" s="1"/>
  <c r="S261" i="35" a="1"/>
  <c r="S261" i="35" s="1"/>
  <c r="V261" i="35" s="1"/>
  <c r="R261" i="35" a="1"/>
  <c r="R261" i="35" s="1"/>
  <c r="U261" i="35" s="1"/>
  <c r="X261" i="35" s="1"/>
  <c r="Q261" i="35" a="1"/>
  <c r="Q261" i="35" s="1"/>
  <c r="T261" i="35" s="1"/>
  <c r="W261" i="35" s="1"/>
  <c r="S260" i="35" a="1"/>
  <c r="S260" i="35" s="1"/>
  <c r="V260" i="35" s="1"/>
  <c r="R260" i="35" a="1"/>
  <c r="R260" i="35" s="1"/>
  <c r="U260" i="35" s="1"/>
  <c r="X260" i="35" s="1"/>
  <c r="Q260" i="35" a="1"/>
  <c r="Q260" i="35" s="1"/>
  <c r="T260" i="35" s="1"/>
  <c r="W260" i="35" s="1"/>
  <c r="S259" i="35" a="1"/>
  <c r="S259" i="35" s="1"/>
  <c r="V259" i="35" s="1"/>
  <c r="R259" i="35" a="1"/>
  <c r="R259" i="35" s="1"/>
  <c r="U259" i="35" s="1"/>
  <c r="X259" i="35" s="1"/>
  <c r="Q259" i="35" a="1"/>
  <c r="Q259" i="35" s="1"/>
  <c r="T259" i="35" s="1"/>
  <c r="W259" i="35" s="1"/>
  <c r="S258" i="35" a="1"/>
  <c r="S258" i="35" s="1"/>
  <c r="V258" i="35" s="1"/>
  <c r="R258" i="35" a="1"/>
  <c r="R258" i="35" s="1"/>
  <c r="U258" i="35" s="1"/>
  <c r="X258" i="35" s="1"/>
  <c r="Q258" i="35" a="1"/>
  <c r="Q258" i="35" s="1"/>
  <c r="T258" i="35" s="1"/>
  <c r="W258" i="35" s="1"/>
  <c r="S257" i="35" a="1"/>
  <c r="S257" i="35" s="1"/>
  <c r="V257" i="35" s="1"/>
  <c r="R257" i="35" a="1"/>
  <c r="R257" i="35" s="1"/>
  <c r="U257" i="35" s="1"/>
  <c r="X257" i="35" s="1"/>
  <c r="Q257" i="35" a="1"/>
  <c r="Q257" i="35" s="1"/>
  <c r="T257" i="35" s="1"/>
  <c r="W257" i="35" s="1"/>
  <c r="S256" i="35" a="1"/>
  <c r="S256" i="35" s="1"/>
  <c r="V256" i="35" s="1"/>
  <c r="R256" i="35" a="1"/>
  <c r="R256" i="35" s="1"/>
  <c r="U256" i="35" s="1"/>
  <c r="X256" i="35" s="1"/>
  <c r="Q256" i="35" a="1"/>
  <c r="Q256" i="35" s="1"/>
  <c r="T256" i="35" s="1"/>
  <c r="W256" i="35" s="1"/>
  <c r="S255" i="35" a="1"/>
  <c r="S255" i="35" s="1"/>
  <c r="V255" i="35" s="1"/>
  <c r="R255" i="35" a="1"/>
  <c r="R255" i="35" s="1"/>
  <c r="U255" i="35" s="1"/>
  <c r="X255" i="35" s="1"/>
  <c r="Q255" i="35" a="1"/>
  <c r="Q255" i="35" s="1"/>
  <c r="T255" i="35" s="1"/>
  <c r="W255" i="35" s="1"/>
  <c r="S254" i="35" a="1"/>
  <c r="S254" i="35" s="1"/>
  <c r="V254" i="35" s="1"/>
  <c r="R254" i="35" a="1"/>
  <c r="R254" i="35" s="1"/>
  <c r="U254" i="35" s="1"/>
  <c r="X254" i="35" s="1"/>
  <c r="Q254" i="35" a="1"/>
  <c r="Q254" i="35" s="1"/>
  <c r="T254" i="35" s="1"/>
  <c r="W254" i="35" s="1"/>
  <c r="S253" i="35" a="1"/>
  <c r="S253" i="35" s="1"/>
  <c r="V253" i="35" s="1"/>
  <c r="R253" i="35" a="1"/>
  <c r="R253" i="35" s="1"/>
  <c r="U253" i="35" s="1"/>
  <c r="X253" i="35" s="1"/>
  <c r="Q253" i="35" a="1"/>
  <c r="Q253" i="35" s="1"/>
  <c r="T253" i="35" s="1"/>
  <c r="W253" i="35" s="1"/>
  <c r="S252" i="35" a="1"/>
  <c r="S252" i="35" s="1"/>
  <c r="V252" i="35" s="1"/>
  <c r="R252" i="35" a="1"/>
  <c r="R252" i="35" s="1"/>
  <c r="U252" i="35" s="1"/>
  <c r="X252" i="35" s="1"/>
  <c r="Q252" i="35" a="1"/>
  <c r="Q252" i="35" s="1"/>
  <c r="T252" i="35" s="1"/>
  <c r="W252" i="35" s="1"/>
  <c r="S251" i="35" a="1"/>
  <c r="S251" i="35" s="1"/>
  <c r="V251" i="35" s="1"/>
  <c r="R251" i="35" a="1"/>
  <c r="R251" i="35" s="1"/>
  <c r="U251" i="35" s="1"/>
  <c r="X251" i="35" s="1"/>
  <c r="Q251" i="35" a="1"/>
  <c r="Q251" i="35" s="1"/>
  <c r="T251" i="35" s="1"/>
  <c r="W251" i="35" s="1"/>
  <c r="S250" i="35" a="1"/>
  <c r="S250" i="35" s="1"/>
  <c r="V250" i="35" s="1"/>
  <c r="R250" i="35" a="1"/>
  <c r="R250" i="35" s="1"/>
  <c r="U250" i="35" s="1"/>
  <c r="X250" i="35" s="1"/>
  <c r="Q250" i="35" a="1"/>
  <c r="Q250" i="35" s="1"/>
  <c r="T250" i="35" s="1"/>
  <c r="W250" i="35" s="1"/>
  <c r="S249" i="35" a="1"/>
  <c r="S249" i="35" s="1"/>
  <c r="V249" i="35" s="1"/>
  <c r="R249" i="35" a="1"/>
  <c r="R249" i="35" s="1"/>
  <c r="U249" i="35" s="1"/>
  <c r="X249" i="35" s="1"/>
  <c r="Q249" i="35" a="1"/>
  <c r="Q249" i="35" s="1"/>
  <c r="T249" i="35" s="1"/>
  <c r="W249" i="35" s="1"/>
  <c r="S248" i="35" a="1"/>
  <c r="S248" i="35" s="1"/>
  <c r="V248" i="35" s="1"/>
  <c r="R248" i="35" a="1"/>
  <c r="R248" i="35" s="1"/>
  <c r="U248" i="35" s="1"/>
  <c r="X248" i="35" s="1"/>
  <c r="Q248" i="35" a="1"/>
  <c r="Q248" i="35" s="1"/>
  <c r="T248" i="35" s="1"/>
  <c r="W248" i="35" s="1"/>
  <c r="S247" i="35" a="1"/>
  <c r="S247" i="35" s="1"/>
  <c r="V247" i="35" s="1"/>
  <c r="AA247" i="35" s="1"/>
  <c r="R247" i="35" a="1"/>
  <c r="R247" i="35" s="1"/>
  <c r="U247" i="35" s="1"/>
  <c r="X247" i="35" s="1"/>
  <c r="Q247" i="35" a="1"/>
  <c r="Q247" i="35" s="1"/>
  <c r="T247" i="35" s="1"/>
  <c r="W247" i="35" s="1"/>
  <c r="S246" i="35" a="1"/>
  <c r="S246" i="35" s="1"/>
  <c r="V246" i="35" s="1"/>
  <c r="R246" i="35" a="1"/>
  <c r="R246" i="35" s="1"/>
  <c r="U246" i="35" s="1"/>
  <c r="X246" i="35" s="1"/>
  <c r="Q246" i="35" a="1"/>
  <c r="Q246" i="35" s="1"/>
  <c r="T246" i="35" s="1"/>
  <c r="W246" i="35" s="1"/>
  <c r="S245" i="35" a="1"/>
  <c r="S245" i="35" s="1"/>
  <c r="V245" i="35" s="1"/>
  <c r="AA245" i="35" s="1"/>
  <c r="R245" i="35" a="1"/>
  <c r="R245" i="35" s="1"/>
  <c r="U245" i="35" s="1"/>
  <c r="X245" i="35" s="1"/>
  <c r="Q245" i="35" a="1"/>
  <c r="Q245" i="35" s="1"/>
  <c r="T245" i="35" s="1"/>
  <c r="W245" i="35" s="1"/>
  <c r="S244" i="35" a="1"/>
  <c r="S244" i="35" s="1"/>
  <c r="V244" i="35" s="1"/>
  <c r="R244" i="35" a="1"/>
  <c r="R244" i="35" s="1"/>
  <c r="U244" i="35" s="1"/>
  <c r="X244" i="35" s="1"/>
  <c r="Q244" i="35" a="1"/>
  <c r="Q244" i="35" s="1"/>
  <c r="T244" i="35" s="1"/>
  <c r="W244" i="35" s="1"/>
  <c r="S243" i="35" a="1"/>
  <c r="S243" i="35" s="1"/>
  <c r="V243" i="35" s="1"/>
  <c r="R243" i="35" a="1"/>
  <c r="R243" i="35" s="1"/>
  <c r="U243" i="35" s="1"/>
  <c r="X243" i="35" s="1"/>
  <c r="Q243" i="35" a="1"/>
  <c r="Q243" i="35" s="1"/>
  <c r="T243" i="35" s="1"/>
  <c r="W243" i="35" s="1"/>
  <c r="S242" i="35" a="1"/>
  <c r="S242" i="35" s="1"/>
  <c r="V242" i="35" s="1"/>
  <c r="Y242" i="35" s="1"/>
  <c r="R242" i="35" a="1"/>
  <c r="R242" i="35" s="1"/>
  <c r="U242" i="35" s="1"/>
  <c r="X242" i="35" s="1"/>
  <c r="Q242" i="35" a="1"/>
  <c r="Q242" i="35" s="1"/>
  <c r="T242" i="35" s="1"/>
  <c r="W242" i="35" s="1"/>
  <c r="S241" i="35" a="1"/>
  <c r="S241" i="35" s="1"/>
  <c r="V241" i="35" s="1"/>
  <c r="R241" i="35" a="1"/>
  <c r="R241" i="35" s="1"/>
  <c r="U241" i="35" s="1"/>
  <c r="X241" i="35" s="1"/>
  <c r="Q241" i="35" a="1"/>
  <c r="Q241" i="35" s="1"/>
  <c r="T241" i="35" s="1"/>
  <c r="W241" i="35" s="1"/>
  <c r="S240" i="35" a="1"/>
  <c r="S240" i="35" s="1"/>
  <c r="V240" i="35" s="1"/>
  <c r="R240" i="35" a="1"/>
  <c r="R240" i="35" s="1"/>
  <c r="U240" i="35" s="1"/>
  <c r="X240" i="35" s="1"/>
  <c r="Q240" i="35" a="1"/>
  <c r="Q240" i="35" s="1"/>
  <c r="T240" i="35" s="1"/>
  <c r="W240" i="35" s="1"/>
  <c r="S239" i="35" a="1"/>
  <c r="S239" i="35" s="1"/>
  <c r="V239" i="35" s="1"/>
  <c r="R239" i="35" a="1"/>
  <c r="R239" i="35" s="1"/>
  <c r="U239" i="35" s="1"/>
  <c r="X239" i="35" s="1"/>
  <c r="Q239" i="35" a="1"/>
  <c r="Q239" i="35" s="1"/>
  <c r="T239" i="35" s="1"/>
  <c r="W239" i="35" s="1"/>
  <c r="S238" i="35" a="1"/>
  <c r="S238" i="35" s="1"/>
  <c r="V238" i="35" s="1"/>
  <c r="R238" i="35" a="1"/>
  <c r="R238" i="35" s="1"/>
  <c r="U238" i="35" s="1"/>
  <c r="X238" i="35" s="1"/>
  <c r="Q238" i="35" a="1"/>
  <c r="Q238" i="35" s="1"/>
  <c r="T238" i="35" s="1"/>
  <c r="W238" i="35" s="1"/>
  <c r="S237" i="35" a="1"/>
  <c r="S237" i="35" s="1"/>
  <c r="V237" i="35" s="1"/>
  <c r="R237" i="35" a="1"/>
  <c r="R237" i="35" s="1"/>
  <c r="U237" i="35" s="1"/>
  <c r="X237" i="35" s="1"/>
  <c r="Q237" i="35" a="1"/>
  <c r="Q237" i="35" s="1"/>
  <c r="T237" i="35" s="1"/>
  <c r="W237" i="35" s="1"/>
  <c r="S236" i="35" a="1"/>
  <c r="S236" i="35" s="1"/>
  <c r="V236" i="35" s="1"/>
  <c r="R236" i="35" a="1"/>
  <c r="R236" i="35" s="1"/>
  <c r="U236" i="35" s="1"/>
  <c r="X236" i="35" s="1"/>
  <c r="Q236" i="35" a="1"/>
  <c r="Q236" i="35" s="1"/>
  <c r="T236" i="35" s="1"/>
  <c r="W236" i="35" s="1"/>
  <c r="S235" i="35" a="1"/>
  <c r="S235" i="35" s="1"/>
  <c r="V235" i="35" s="1"/>
  <c r="R235" i="35" a="1"/>
  <c r="R235" i="35" s="1"/>
  <c r="U235" i="35" s="1"/>
  <c r="X235" i="35" s="1"/>
  <c r="Q235" i="35" a="1"/>
  <c r="Q235" i="35" s="1"/>
  <c r="T235" i="35" s="1"/>
  <c r="W235" i="35" s="1"/>
  <c r="S234" i="35" a="1"/>
  <c r="S234" i="35" s="1"/>
  <c r="V234" i="35" s="1"/>
  <c r="R234" i="35" a="1"/>
  <c r="R234" i="35" s="1"/>
  <c r="U234" i="35" s="1"/>
  <c r="X234" i="35" s="1"/>
  <c r="Q234" i="35" a="1"/>
  <c r="Q234" i="35" s="1"/>
  <c r="T234" i="35" s="1"/>
  <c r="W234" i="35" s="1"/>
  <c r="S233" i="35" a="1"/>
  <c r="S233" i="35" s="1"/>
  <c r="V233" i="35" s="1"/>
  <c r="R233" i="35" a="1"/>
  <c r="R233" i="35" s="1"/>
  <c r="U233" i="35" s="1"/>
  <c r="X233" i="35" s="1"/>
  <c r="Q233" i="35" a="1"/>
  <c r="Q233" i="35" s="1"/>
  <c r="T233" i="35" s="1"/>
  <c r="W233" i="35" s="1"/>
  <c r="S232" i="35" a="1"/>
  <c r="S232" i="35" s="1"/>
  <c r="V232" i="35" s="1"/>
  <c r="R232" i="35" a="1"/>
  <c r="R232" i="35" s="1"/>
  <c r="U232" i="35" s="1"/>
  <c r="X232" i="35" s="1"/>
  <c r="Q232" i="35" a="1"/>
  <c r="Q232" i="35" s="1"/>
  <c r="T232" i="35" s="1"/>
  <c r="W232" i="35" s="1"/>
  <c r="S231" i="35" a="1"/>
  <c r="S231" i="35" s="1"/>
  <c r="V231" i="35" s="1"/>
  <c r="R231" i="35" a="1"/>
  <c r="R231" i="35" s="1"/>
  <c r="U231" i="35" s="1"/>
  <c r="X231" i="35" s="1"/>
  <c r="Q231" i="35" a="1"/>
  <c r="Q231" i="35" s="1"/>
  <c r="T231" i="35" s="1"/>
  <c r="W231" i="35" s="1"/>
  <c r="S230" i="35" a="1"/>
  <c r="S230" i="35" s="1"/>
  <c r="V230" i="35" s="1"/>
  <c r="R230" i="35" a="1"/>
  <c r="R230" i="35" s="1"/>
  <c r="U230" i="35" s="1"/>
  <c r="X230" i="35" s="1"/>
  <c r="Q230" i="35" a="1"/>
  <c r="Q230" i="35" s="1"/>
  <c r="T230" i="35" s="1"/>
  <c r="W230" i="35" s="1"/>
  <c r="S229" i="35" a="1"/>
  <c r="S229" i="35" s="1"/>
  <c r="V229" i="35" s="1"/>
  <c r="R229" i="35" a="1"/>
  <c r="R229" i="35" s="1"/>
  <c r="U229" i="35" s="1"/>
  <c r="X229" i="35" s="1"/>
  <c r="Q229" i="35" a="1"/>
  <c r="Q229" i="35" s="1"/>
  <c r="T229" i="35" s="1"/>
  <c r="W229" i="35" s="1"/>
  <c r="S228" i="35" a="1"/>
  <c r="S228" i="35" s="1"/>
  <c r="V228" i="35" s="1"/>
  <c r="R228" i="35" a="1"/>
  <c r="R228" i="35" s="1"/>
  <c r="U228" i="35" s="1"/>
  <c r="X228" i="35" s="1"/>
  <c r="Q228" i="35" a="1"/>
  <c r="Q228" i="35" s="1"/>
  <c r="T228" i="35" s="1"/>
  <c r="W228" i="35" s="1"/>
  <c r="S227" i="35" a="1"/>
  <c r="S227" i="35" s="1"/>
  <c r="V227" i="35" s="1"/>
  <c r="R227" i="35" a="1"/>
  <c r="R227" i="35" s="1"/>
  <c r="U227" i="35" s="1"/>
  <c r="X227" i="35" s="1"/>
  <c r="Q227" i="35" a="1"/>
  <c r="Q227" i="35" s="1"/>
  <c r="T227" i="35" s="1"/>
  <c r="W227" i="35" s="1"/>
  <c r="S226" i="35" a="1"/>
  <c r="S226" i="35" s="1"/>
  <c r="V226" i="35" s="1"/>
  <c r="R226" i="35" a="1"/>
  <c r="R226" i="35" s="1"/>
  <c r="U226" i="35" s="1"/>
  <c r="X226" i="35" s="1"/>
  <c r="Q226" i="35" a="1"/>
  <c r="Q226" i="35" s="1"/>
  <c r="T226" i="35" s="1"/>
  <c r="W226" i="35" s="1"/>
  <c r="S225" i="35" a="1"/>
  <c r="S225" i="35" s="1"/>
  <c r="V225" i="35" s="1"/>
  <c r="R225" i="35" a="1"/>
  <c r="R225" i="35" s="1"/>
  <c r="U225" i="35" s="1"/>
  <c r="X225" i="35" s="1"/>
  <c r="Q225" i="35" a="1"/>
  <c r="Q225" i="35" s="1"/>
  <c r="T225" i="35" s="1"/>
  <c r="W225" i="35" s="1"/>
  <c r="S224" i="35" a="1"/>
  <c r="S224" i="35" s="1"/>
  <c r="V224" i="35" s="1"/>
  <c r="Y224" i="35" s="1"/>
  <c r="R224" i="35" a="1"/>
  <c r="R224" i="35" s="1"/>
  <c r="U224" i="35" s="1"/>
  <c r="X224" i="35" s="1"/>
  <c r="Q224" i="35" a="1"/>
  <c r="Q224" i="35" s="1"/>
  <c r="T224" i="35" s="1"/>
  <c r="W224" i="35" s="1"/>
  <c r="S223" i="35" a="1"/>
  <c r="S223" i="35" s="1"/>
  <c r="V223" i="35" s="1"/>
  <c r="R223" i="35" a="1"/>
  <c r="R223" i="35" s="1"/>
  <c r="U223" i="35" s="1"/>
  <c r="X223" i="35" s="1"/>
  <c r="Q223" i="35" a="1"/>
  <c r="Q223" i="35" s="1"/>
  <c r="T223" i="35" s="1"/>
  <c r="W223" i="35" s="1"/>
  <c r="S222" i="35" a="1"/>
  <c r="S222" i="35" s="1"/>
  <c r="V222" i="35" s="1"/>
  <c r="R222" i="35" a="1"/>
  <c r="R222" i="35" s="1"/>
  <c r="U222" i="35" s="1"/>
  <c r="X222" i="35" s="1"/>
  <c r="Q222" i="35" a="1"/>
  <c r="Q222" i="35" s="1"/>
  <c r="T222" i="35" s="1"/>
  <c r="W222" i="35" s="1"/>
  <c r="S221" i="35" a="1"/>
  <c r="S221" i="35" s="1"/>
  <c r="V221" i="35" s="1"/>
  <c r="R221" i="35" a="1"/>
  <c r="R221" i="35" s="1"/>
  <c r="U221" i="35" s="1"/>
  <c r="X221" i="35" s="1"/>
  <c r="Q221" i="35" a="1"/>
  <c r="Q221" i="35" s="1"/>
  <c r="T221" i="35" s="1"/>
  <c r="W221" i="35" s="1"/>
  <c r="S220" i="35" a="1"/>
  <c r="S220" i="35" s="1"/>
  <c r="V220" i="35" s="1"/>
  <c r="AA220" i="35" s="1"/>
  <c r="R220" i="35" a="1"/>
  <c r="R220" i="35" s="1"/>
  <c r="U220" i="35" s="1"/>
  <c r="X220" i="35" s="1"/>
  <c r="Q220" i="35" a="1"/>
  <c r="Q220" i="35" s="1"/>
  <c r="T220" i="35" s="1"/>
  <c r="W220" i="35" s="1"/>
  <c r="S219" i="35" a="1"/>
  <c r="S219" i="35" s="1"/>
  <c r="V219" i="35" s="1"/>
  <c r="R219" i="35" a="1"/>
  <c r="R219" i="35" s="1"/>
  <c r="U219" i="35" s="1"/>
  <c r="X219" i="35" s="1"/>
  <c r="Q219" i="35" a="1"/>
  <c r="Q219" i="35" s="1"/>
  <c r="T219" i="35" s="1"/>
  <c r="W219" i="35" s="1"/>
  <c r="S218" i="35" a="1"/>
  <c r="S218" i="35" s="1"/>
  <c r="V218" i="35" s="1"/>
  <c r="R218" i="35" a="1"/>
  <c r="R218" i="35" s="1"/>
  <c r="U218" i="35" s="1"/>
  <c r="X218" i="35" s="1"/>
  <c r="Q218" i="35" a="1"/>
  <c r="Q218" i="35" s="1"/>
  <c r="T218" i="35" s="1"/>
  <c r="W218" i="35" s="1"/>
  <c r="S217" i="35" a="1"/>
  <c r="S217" i="35" s="1"/>
  <c r="V217" i="35" s="1"/>
  <c r="AA217" i="35" s="1"/>
  <c r="R217" i="35" a="1"/>
  <c r="R217" i="35" s="1"/>
  <c r="U217" i="35" s="1"/>
  <c r="X217" i="35" s="1"/>
  <c r="Q217" i="35" a="1"/>
  <c r="Q217" i="35" s="1"/>
  <c r="T217" i="35" s="1"/>
  <c r="W217" i="35" s="1"/>
  <c r="S216" i="35" a="1"/>
  <c r="S216" i="35" s="1"/>
  <c r="V216" i="35" s="1"/>
  <c r="R216" i="35" a="1"/>
  <c r="R216" i="35" s="1"/>
  <c r="U216" i="35" s="1"/>
  <c r="X216" i="35" s="1"/>
  <c r="Q216" i="35" a="1"/>
  <c r="Q216" i="35" s="1"/>
  <c r="T216" i="35" s="1"/>
  <c r="W216" i="35" s="1"/>
  <c r="S215" i="35" a="1"/>
  <c r="S215" i="35" s="1"/>
  <c r="V215" i="35" s="1"/>
  <c r="R215" i="35" a="1"/>
  <c r="R215" i="35" s="1"/>
  <c r="U215" i="35" s="1"/>
  <c r="X215" i="35" s="1"/>
  <c r="Q215" i="35" a="1"/>
  <c r="Q215" i="35" s="1"/>
  <c r="T215" i="35" s="1"/>
  <c r="W215" i="35" s="1"/>
  <c r="S214" i="35" a="1"/>
  <c r="S214" i="35" s="1"/>
  <c r="V214" i="35" s="1"/>
  <c r="R214" i="35" a="1"/>
  <c r="R214" i="35" s="1"/>
  <c r="U214" i="35" s="1"/>
  <c r="X214" i="35" s="1"/>
  <c r="Q214" i="35" a="1"/>
  <c r="Q214" i="35" s="1"/>
  <c r="T214" i="35" s="1"/>
  <c r="W214" i="35" s="1"/>
  <c r="S213" i="35" a="1"/>
  <c r="S213" i="35" s="1"/>
  <c r="V213" i="35" s="1"/>
  <c r="R213" i="35" a="1"/>
  <c r="R213" i="35" s="1"/>
  <c r="U213" i="35" s="1"/>
  <c r="X213" i="35" s="1"/>
  <c r="Q213" i="35" a="1"/>
  <c r="Q213" i="35" s="1"/>
  <c r="T213" i="35" s="1"/>
  <c r="W213" i="35" s="1"/>
  <c r="S212" i="35" a="1"/>
  <c r="S212" i="35" s="1"/>
  <c r="V212" i="35" s="1"/>
  <c r="R212" i="35" a="1"/>
  <c r="R212" i="35" s="1"/>
  <c r="U212" i="35" s="1"/>
  <c r="X212" i="35" s="1"/>
  <c r="Q212" i="35" a="1"/>
  <c r="Q212" i="35" s="1"/>
  <c r="T212" i="35" s="1"/>
  <c r="W212" i="35" s="1"/>
  <c r="S211" i="35" a="1"/>
  <c r="S211" i="35" s="1"/>
  <c r="V211" i="35" s="1"/>
  <c r="R211" i="35" a="1"/>
  <c r="R211" i="35" s="1"/>
  <c r="U211" i="35" s="1"/>
  <c r="X211" i="35" s="1"/>
  <c r="Q211" i="35" a="1"/>
  <c r="Q211" i="35" s="1"/>
  <c r="T211" i="35" s="1"/>
  <c r="W211" i="35" s="1"/>
  <c r="S210" i="35" a="1"/>
  <c r="S210" i="35" s="1"/>
  <c r="V210" i="35" s="1"/>
  <c r="AA210" i="35" s="1"/>
  <c r="R210" i="35" a="1"/>
  <c r="R210" i="35" s="1"/>
  <c r="U210" i="35" s="1"/>
  <c r="X210" i="35" s="1"/>
  <c r="Q210" i="35" a="1"/>
  <c r="Q210" i="35" s="1"/>
  <c r="T210" i="35" s="1"/>
  <c r="W210" i="35" s="1"/>
  <c r="S209" i="35" a="1"/>
  <c r="S209" i="35" s="1"/>
  <c r="V209" i="35" s="1"/>
  <c r="Y209" i="35" s="1"/>
  <c r="R209" i="35" a="1"/>
  <c r="R209" i="35" s="1"/>
  <c r="U209" i="35" s="1"/>
  <c r="X209" i="35" s="1"/>
  <c r="Q209" i="35" a="1"/>
  <c r="Q209" i="35" s="1"/>
  <c r="T209" i="35" s="1"/>
  <c r="W209" i="35" s="1"/>
  <c r="S208" i="35" a="1"/>
  <c r="S208" i="35" s="1"/>
  <c r="V208" i="35" s="1"/>
  <c r="R208" i="35" a="1"/>
  <c r="R208" i="35" s="1"/>
  <c r="U208" i="35" s="1"/>
  <c r="X208" i="35" s="1"/>
  <c r="Q208" i="35" a="1"/>
  <c r="Q208" i="35" s="1"/>
  <c r="T208" i="35" s="1"/>
  <c r="W208" i="35" s="1"/>
  <c r="S207" i="35" a="1"/>
  <c r="S207" i="35" s="1"/>
  <c r="V207" i="35" s="1"/>
  <c r="R207" i="35" a="1"/>
  <c r="R207" i="35" s="1"/>
  <c r="U207" i="35" s="1"/>
  <c r="X207" i="35" s="1"/>
  <c r="Q207" i="35" a="1"/>
  <c r="Q207" i="35" s="1"/>
  <c r="T207" i="35" s="1"/>
  <c r="W207" i="35" s="1"/>
  <c r="S206" i="35" a="1"/>
  <c r="S206" i="35" s="1"/>
  <c r="V206" i="35" s="1"/>
  <c r="R206" i="35" a="1"/>
  <c r="R206" i="35" s="1"/>
  <c r="U206" i="35" s="1"/>
  <c r="X206" i="35" s="1"/>
  <c r="Q206" i="35" a="1"/>
  <c r="Q206" i="35" s="1"/>
  <c r="T206" i="35" s="1"/>
  <c r="W206" i="35" s="1"/>
  <c r="S205" i="35" a="1"/>
  <c r="S205" i="35" s="1"/>
  <c r="V205" i="35" s="1"/>
  <c r="R205" i="35" a="1"/>
  <c r="R205" i="35" s="1"/>
  <c r="U205" i="35" s="1"/>
  <c r="X205" i="35" s="1"/>
  <c r="Q205" i="35" a="1"/>
  <c r="Q205" i="35" s="1"/>
  <c r="T205" i="35" s="1"/>
  <c r="W205" i="35" s="1"/>
  <c r="S204" i="35" a="1"/>
  <c r="S204" i="35" s="1"/>
  <c r="V204" i="35" s="1"/>
  <c r="R204" i="35" a="1"/>
  <c r="R204" i="35" s="1"/>
  <c r="U204" i="35" s="1"/>
  <c r="X204" i="35" s="1"/>
  <c r="Q204" i="35" a="1"/>
  <c r="Q204" i="35" s="1"/>
  <c r="T204" i="35" s="1"/>
  <c r="W204" i="35" s="1"/>
  <c r="S203" i="35" a="1"/>
  <c r="S203" i="35" s="1"/>
  <c r="V203" i="35" s="1"/>
  <c r="R203" i="35" a="1"/>
  <c r="R203" i="35" s="1"/>
  <c r="U203" i="35" s="1"/>
  <c r="X203" i="35" s="1"/>
  <c r="Q203" i="35" a="1"/>
  <c r="Q203" i="35" s="1"/>
  <c r="T203" i="35" s="1"/>
  <c r="W203" i="35" s="1"/>
  <c r="S202" i="35" a="1"/>
  <c r="S202" i="35" s="1"/>
  <c r="V202" i="35" s="1"/>
  <c r="AA202" i="35" s="1"/>
  <c r="R202" i="35" a="1"/>
  <c r="R202" i="35" s="1"/>
  <c r="U202" i="35" s="1"/>
  <c r="X202" i="35" s="1"/>
  <c r="Q202" i="35" a="1"/>
  <c r="Q202" i="35" s="1"/>
  <c r="T202" i="35" s="1"/>
  <c r="W202" i="35" s="1"/>
  <c r="S201" i="35" a="1"/>
  <c r="S201" i="35" s="1"/>
  <c r="V201" i="35" s="1"/>
  <c r="Y201" i="35" s="1"/>
  <c r="R201" i="35" a="1"/>
  <c r="R201" i="35" s="1"/>
  <c r="U201" i="35" s="1"/>
  <c r="X201" i="35" s="1"/>
  <c r="Q201" i="35" a="1"/>
  <c r="Q201" i="35" s="1"/>
  <c r="T201" i="35" s="1"/>
  <c r="W201" i="35" s="1"/>
  <c r="S200" i="35" a="1"/>
  <c r="S200" i="35" s="1"/>
  <c r="V200" i="35" s="1"/>
  <c r="R200" i="35" a="1"/>
  <c r="R200" i="35" s="1"/>
  <c r="U200" i="35" s="1"/>
  <c r="X200" i="35" s="1"/>
  <c r="Q200" i="35" a="1"/>
  <c r="Q200" i="35" s="1"/>
  <c r="T200" i="35" s="1"/>
  <c r="W200" i="35" s="1"/>
  <c r="S199" i="35" a="1"/>
  <c r="S199" i="35" s="1"/>
  <c r="V199" i="35" s="1"/>
  <c r="R199" i="35" a="1"/>
  <c r="R199" i="35" s="1"/>
  <c r="U199" i="35" s="1"/>
  <c r="X199" i="35" s="1"/>
  <c r="Q199" i="35" a="1"/>
  <c r="Q199" i="35" s="1"/>
  <c r="T199" i="35" s="1"/>
  <c r="W199" i="35" s="1"/>
  <c r="S198" i="35" a="1"/>
  <c r="S198" i="35" s="1"/>
  <c r="V198" i="35" s="1"/>
  <c r="Y198" i="35" s="1"/>
  <c r="R198" i="35" a="1"/>
  <c r="R198" i="35" s="1"/>
  <c r="U198" i="35" s="1"/>
  <c r="X198" i="35" s="1"/>
  <c r="Q198" i="35" a="1"/>
  <c r="Q198" i="35" s="1"/>
  <c r="T198" i="35" s="1"/>
  <c r="W198" i="35" s="1"/>
  <c r="S197" i="35" a="1"/>
  <c r="S197" i="35" s="1"/>
  <c r="V197" i="35" s="1"/>
  <c r="R197" i="35" a="1"/>
  <c r="R197" i="35" s="1"/>
  <c r="U197" i="35" s="1"/>
  <c r="X197" i="35" s="1"/>
  <c r="Q197" i="35" a="1"/>
  <c r="Q197" i="35" s="1"/>
  <c r="T197" i="35" s="1"/>
  <c r="W197" i="35" s="1"/>
  <c r="S196" i="35" a="1"/>
  <c r="S196" i="35" s="1"/>
  <c r="V196" i="35" s="1"/>
  <c r="R196" i="35" a="1"/>
  <c r="R196" i="35" s="1"/>
  <c r="U196" i="35" s="1"/>
  <c r="X196" i="35" s="1"/>
  <c r="Q196" i="35" a="1"/>
  <c r="Q196" i="35" s="1"/>
  <c r="T196" i="35" s="1"/>
  <c r="W196" i="35" s="1"/>
  <c r="S195" i="35" a="1"/>
  <c r="S195" i="35" s="1"/>
  <c r="V195" i="35" s="1"/>
  <c r="R195" i="35" a="1"/>
  <c r="R195" i="35" s="1"/>
  <c r="U195" i="35" s="1"/>
  <c r="X195" i="35" s="1"/>
  <c r="Q195" i="35" a="1"/>
  <c r="Q195" i="35" s="1"/>
  <c r="T195" i="35" s="1"/>
  <c r="W195" i="35" s="1"/>
  <c r="S194" i="35" a="1"/>
  <c r="S194" i="35" s="1"/>
  <c r="V194" i="35" s="1"/>
  <c r="AA194" i="35" s="1"/>
  <c r="R194" i="35" a="1"/>
  <c r="R194" i="35" s="1"/>
  <c r="U194" i="35" s="1"/>
  <c r="X194" i="35" s="1"/>
  <c r="Q194" i="35" a="1"/>
  <c r="Q194" i="35" s="1"/>
  <c r="T194" i="35" s="1"/>
  <c r="W194" i="35" s="1"/>
  <c r="S193" i="35" a="1"/>
  <c r="S193" i="35" s="1"/>
  <c r="V193" i="35" s="1"/>
  <c r="R193" i="35" a="1"/>
  <c r="R193" i="35" s="1"/>
  <c r="U193" i="35" s="1"/>
  <c r="X193" i="35" s="1"/>
  <c r="Q193" i="35" a="1"/>
  <c r="Q193" i="35" s="1"/>
  <c r="T193" i="35" s="1"/>
  <c r="W193" i="35" s="1"/>
  <c r="S192" i="35" a="1"/>
  <c r="S192" i="35" s="1"/>
  <c r="V192" i="35" s="1"/>
  <c r="R192" i="35" a="1"/>
  <c r="R192" i="35" s="1"/>
  <c r="U192" i="35" s="1"/>
  <c r="X192" i="35" s="1"/>
  <c r="Q192" i="35" a="1"/>
  <c r="Q192" i="35" s="1"/>
  <c r="T192" i="35" s="1"/>
  <c r="W192" i="35" s="1"/>
  <c r="S191" i="35" a="1"/>
  <c r="S191" i="35" s="1"/>
  <c r="V191" i="35" s="1"/>
  <c r="AA191" i="35" s="1"/>
  <c r="R191" i="35" a="1"/>
  <c r="R191" i="35" s="1"/>
  <c r="U191" i="35" s="1"/>
  <c r="X191" i="35" s="1"/>
  <c r="Q191" i="35" a="1"/>
  <c r="Q191" i="35" s="1"/>
  <c r="T191" i="35" s="1"/>
  <c r="W191" i="35" s="1"/>
  <c r="S190" i="35" a="1"/>
  <c r="S190" i="35" s="1"/>
  <c r="V190" i="35" s="1"/>
  <c r="AA190" i="35" s="1"/>
  <c r="R190" i="35" a="1"/>
  <c r="R190" i="35" s="1"/>
  <c r="U190" i="35" s="1"/>
  <c r="X190" i="35" s="1"/>
  <c r="Q190" i="35" a="1"/>
  <c r="Q190" i="35" s="1"/>
  <c r="T190" i="35" s="1"/>
  <c r="W190" i="35" s="1"/>
  <c r="S189" i="35" a="1"/>
  <c r="S189" i="35" s="1"/>
  <c r="V189" i="35" s="1"/>
  <c r="R189" i="35" a="1"/>
  <c r="R189" i="35" s="1"/>
  <c r="U189" i="35" s="1"/>
  <c r="X189" i="35" s="1"/>
  <c r="Q189" i="35" a="1"/>
  <c r="Q189" i="35" s="1"/>
  <c r="T189" i="35" s="1"/>
  <c r="W189" i="35" s="1"/>
  <c r="S188" i="35" a="1"/>
  <c r="S188" i="35" s="1"/>
  <c r="V188" i="35" s="1"/>
  <c r="R188" i="35" a="1"/>
  <c r="R188" i="35" s="1"/>
  <c r="U188" i="35" s="1"/>
  <c r="X188" i="35" s="1"/>
  <c r="Q188" i="35" a="1"/>
  <c r="Q188" i="35" s="1"/>
  <c r="T188" i="35" s="1"/>
  <c r="W188" i="35" s="1"/>
  <c r="S187" i="35" a="1"/>
  <c r="S187" i="35" s="1"/>
  <c r="V187" i="35" s="1"/>
  <c r="R187" i="35" a="1"/>
  <c r="R187" i="35" s="1"/>
  <c r="U187" i="35" s="1"/>
  <c r="X187" i="35" s="1"/>
  <c r="Q187" i="35" a="1"/>
  <c r="Q187" i="35" s="1"/>
  <c r="T187" i="35" s="1"/>
  <c r="W187" i="35" s="1"/>
  <c r="S186" i="35" a="1"/>
  <c r="S186" i="35" s="1"/>
  <c r="V186" i="35" s="1"/>
  <c r="Y186" i="35" s="1"/>
  <c r="R186" i="35" a="1"/>
  <c r="R186" i="35" s="1"/>
  <c r="U186" i="35" s="1"/>
  <c r="X186" i="35" s="1"/>
  <c r="Q186" i="35" a="1"/>
  <c r="Q186" i="35" s="1"/>
  <c r="T186" i="35" s="1"/>
  <c r="W186" i="35" s="1"/>
  <c r="S185" i="35" a="1"/>
  <c r="S185" i="35" s="1"/>
  <c r="V185" i="35" s="1"/>
  <c r="R185" i="35" a="1"/>
  <c r="R185" i="35" s="1"/>
  <c r="U185" i="35" s="1"/>
  <c r="X185" i="35" s="1"/>
  <c r="Q185" i="35" a="1"/>
  <c r="Q185" i="35" s="1"/>
  <c r="T185" i="35" s="1"/>
  <c r="W185" i="35" s="1"/>
  <c r="S184" i="35" a="1"/>
  <c r="S184" i="35" s="1"/>
  <c r="V184" i="35" s="1"/>
  <c r="AA184" i="35" s="1"/>
  <c r="R184" i="35" a="1"/>
  <c r="R184" i="35" s="1"/>
  <c r="U184" i="35" s="1"/>
  <c r="X184" i="35" s="1"/>
  <c r="Q184" i="35" a="1"/>
  <c r="Q184" i="35" s="1"/>
  <c r="T184" i="35" s="1"/>
  <c r="W184" i="35" s="1"/>
  <c r="S183" i="35" a="1"/>
  <c r="S183" i="35" s="1"/>
  <c r="V183" i="35" s="1"/>
  <c r="R183" i="35" a="1"/>
  <c r="R183" i="35" s="1"/>
  <c r="U183" i="35" s="1"/>
  <c r="X183" i="35" s="1"/>
  <c r="Q183" i="35" a="1"/>
  <c r="Q183" i="35" s="1"/>
  <c r="T183" i="35" s="1"/>
  <c r="W183" i="35" s="1"/>
  <c r="S182" i="35" a="1"/>
  <c r="S182" i="35" s="1"/>
  <c r="V182" i="35" s="1"/>
  <c r="AA182" i="35" s="1"/>
  <c r="R182" i="35" a="1"/>
  <c r="R182" i="35" s="1"/>
  <c r="U182" i="35" s="1"/>
  <c r="X182" i="35" s="1"/>
  <c r="Q182" i="35" a="1"/>
  <c r="Q182" i="35" s="1"/>
  <c r="T182" i="35" s="1"/>
  <c r="W182" i="35" s="1"/>
  <c r="S181" i="35" a="1"/>
  <c r="S181" i="35" s="1"/>
  <c r="V181" i="35" s="1"/>
  <c r="AA181" i="35" s="1"/>
  <c r="R181" i="35" a="1"/>
  <c r="R181" i="35" s="1"/>
  <c r="U181" i="35" s="1"/>
  <c r="X181" i="35" s="1"/>
  <c r="Q181" i="35" a="1"/>
  <c r="Q181" i="35" s="1"/>
  <c r="T181" i="35" s="1"/>
  <c r="W181" i="35" s="1"/>
  <c r="S180" i="35" a="1"/>
  <c r="S180" i="35" s="1"/>
  <c r="V180" i="35" s="1"/>
  <c r="R180" i="35" a="1"/>
  <c r="R180" i="35" s="1"/>
  <c r="U180" i="35" s="1"/>
  <c r="X180" i="35" s="1"/>
  <c r="Q180" i="35" a="1"/>
  <c r="Q180" i="35" s="1"/>
  <c r="T180" i="35" s="1"/>
  <c r="W180" i="35" s="1"/>
  <c r="S179" i="35" a="1"/>
  <c r="S179" i="35" s="1"/>
  <c r="V179" i="35" s="1"/>
  <c r="AA179" i="35" s="1"/>
  <c r="R179" i="35" a="1"/>
  <c r="R179" i="35" s="1"/>
  <c r="U179" i="35" s="1"/>
  <c r="X179" i="35" s="1"/>
  <c r="Q179" i="35" a="1"/>
  <c r="Q179" i="35" s="1"/>
  <c r="T179" i="35" s="1"/>
  <c r="W179" i="35" s="1"/>
  <c r="S178" i="35" a="1"/>
  <c r="S178" i="35" s="1"/>
  <c r="V178" i="35" s="1"/>
  <c r="Y178" i="35" s="1"/>
  <c r="R178" i="35" a="1"/>
  <c r="R178" i="35" s="1"/>
  <c r="U178" i="35" s="1"/>
  <c r="X178" i="35" s="1"/>
  <c r="Q178" i="35" a="1"/>
  <c r="Q178" i="35" s="1"/>
  <c r="T178" i="35" s="1"/>
  <c r="W178" i="35" s="1"/>
  <c r="S177" i="35" a="1"/>
  <c r="S177" i="35" s="1"/>
  <c r="V177" i="35" s="1"/>
  <c r="AA177" i="35" s="1"/>
  <c r="R177" i="35" a="1"/>
  <c r="R177" i="35" s="1"/>
  <c r="U177" i="35" s="1"/>
  <c r="X177" i="35" s="1"/>
  <c r="Q177" i="35" a="1"/>
  <c r="Q177" i="35" s="1"/>
  <c r="T177" i="35" s="1"/>
  <c r="W177" i="35" s="1"/>
  <c r="S176" i="35" a="1"/>
  <c r="S176" i="35" s="1"/>
  <c r="V176" i="35" s="1"/>
  <c r="R176" i="35" a="1"/>
  <c r="R176" i="35" s="1"/>
  <c r="U176" i="35" s="1"/>
  <c r="X176" i="35" s="1"/>
  <c r="Q176" i="35" a="1"/>
  <c r="Q176" i="35" s="1"/>
  <c r="T176" i="35" s="1"/>
  <c r="W176" i="35" s="1"/>
  <c r="S175" i="35" a="1"/>
  <c r="S175" i="35" s="1"/>
  <c r="V175" i="35" s="1"/>
  <c r="AA175" i="35" s="1"/>
  <c r="R175" i="35" a="1"/>
  <c r="R175" i="35" s="1"/>
  <c r="U175" i="35" s="1"/>
  <c r="X175" i="35" s="1"/>
  <c r="Q175" i="35" a="1"/>
  <c r="Q175" i="35" s="1"/>
  <c r="T175" i="35" s="1"/>
  <c r="W175" i="35" s="1"/>
  <c r="S174" i="35" a="1"/>
  <c r="S174" i="35" s="1"/>
  <c r="V174" i="35" s="1"/>
  <c r="Y174" i="35" s="1"/>
  <c r="R174" i="35" a="1"/>
  <c r="R174" i="35" s="1"/>
  <c r="U174" i="35" s="1"/>
  <c r="X174" i="35" s="1"/>
  <c r="Q174" i="35" a="1"/>
  <c r="Q174" i="35" s="1"/>
  <c r="T174" i="35" s="1"/>
  <c r="W174" i="35" s="1"/>
  <c r="S173" i="35" a="1"/>
  <c r="S173" i="35" s="1"/>
  <c r="V173" i="35" s="1"/>
  <c r="R173" i="35" a="1"/>
  <c r="R173" i="35" s="1"/>
  <c r="U173" i="35" s="1"/>
  <c r="X173" i="35" s="1"/>
  <c r="Q173" i="35" a="1"/>
  <c r="Q173" i="35" s="1"/>
  <c r="T173" i="35" s="1"/>
  <c r="W173" i="35" s="1"/>
  <c r="S172" i="35" a="1"/>
  <c r="S172" i="35" s="1"/>
  <c r="V172" i="35" s="1"/>
  <c r="R172" i="35" a="1"/>
  <c r="R172" i="35" s="1"/>
  <c r="U172" i="35" s="1"/>
  <c r="X172" i="35" s="1"/>
  <c r="Q172" i="35" a="1"/>
  <c r="Q172" i="35" s="1"/>
  <c r="T172" i="35" s="1"/>
  <c r="W172" i="35" s="1"/>
  <c r="S171" i="35" a="1"/>
  <c r="S171" i="35" s="1"/>
  <c r="V171" i="35" s="1"/>
  <c r="R171" i="35" a="1"/>
  <c r="R171" i="35" s="1"/>
  <c r="U171" i="35" s="1"/>
  <c r="X171" i="35" s="1"/>
  <c r="Q171" i="35" a="1"/>
  <c r="Q171" i="35" s="1"/>
  <c r="T171" i="35" s="1"/>
  <c r="W171" i="35" s="1"/>
  <c r="S170" i="35" a="1"/>
  <c r="S170" i="35" s="1"/>
  <c r="V170" i="35" s="1"/>
  <c r="AA170" i="35" s="1"/>
  <c r="R170" i="35" a="1"/>
  <c r="R170" i="35" s="1"/>
  <c r="U170" i="35" s="1"/>
  <c r="X170" i="35" s="1"/>
  <c r="Q170" i="35" a="1"/>
  <c r="Q170" i="35" s="1"/>
  <c r="T170" i="35" s="1"/>
  <c r="W170" i="35" s="1"/>
  <c r="S169" i="35" a="1"/>
  <c r="S169" i="35" s="1"/>
  <c r="V169" i="35" s="1"/>
  <c r="R169" i="35" a="1"/>
  <c r="R169" i="35" s="1"/>
  <c r="U169" i="35" s="1"/>
  <c r="X169" i="35" s="1"/>
  <c r="Q169" i="35" a="1"/>
  <c r="Q169" i="35" s="1"/>
  <c r="T169" i="35" s="1"/>
  <c r="W169" i="35" s="1"/>
  <c r="S168" i="35" a="1"/>
  <c r="S168" i="35" s="1"/>
  <c r="V168" i="35" s="1"/>
  <c r="R168" i="35" a="1"/>
  <c r="R168" i="35" s="1"/>
  <c r="U168" i="35" s="1"/>
  <c r="X168" i="35" s="1"/>
  <c r="Q168" i="35" a="1"/>
  <c r="Q168" i="35" s="1"/>
  <c r="T168" i="35" s="1"/>
  <c r="W168" i="35" s="1"/>
  <c r="S167" i="35" a="1"/>
  <c r="S167" i="35" s="1"/>
  <c r="V167" i="35" s="1"/>
  <c r="R167" i="35" a="1"/>
  <c r="R167" i="35" s="1"/>
  <c r="U167" i="35" s="1"/>
  <c r="X167" i="35" s="1"/>
  <c r="Q167" i="35" a="1"/>
  <c r="Q167" i="35" s="1"/>
  <c r="T167" i="35" s="1"/>
  <c r="W167" i="35" s="1"/>
  <c r="S166" i="35" a="1"/>
  <c r="S166" i="35" s="1"/>
  <c r="V166" i="35" s="1"/>
  <c r="R166" i="35" a="1"/>
  <c r="R166" i="35" s="1"/>
  <c r="U166" i="35" s="1"/>
  <c r="X166" i="35" s="1"/>
  <c r="Q166" i="35" a="1"/>
  <c r="Q166" i="35" s="1"/>
  <c r="T166" i="35" s="1"/>
  <c r="W166" i="35" s="1"/>
  <c r="S165" i="35" a="1"/>
  <c r="S165" i="35" s="1"/>
  <c r="V165" i="35" s="1"/>
  <c r="AA165" i="35" s="1"/>
  <c r="R165" i="35" a="1"/>
  <c r="R165" i="35" s="1"/>
  <c r="U165" i="35" s="1"/>
  <c r="X165" i="35" s="1"/>
  <c r="Q165" i="35" a="1"/>
  <c r="Q165" i="35" s="1"/>
  <c r="T165" i="35" s="1"/>
  <c r="W165" i="35" s="1"/>
  <c r="S164" i="35" a="1"/>
  <c r="S164" i="35" s="1"/>
  <c r="V164" i="35" s="1"/>
  <c r="Y164" i="35" s="1"/>
  <c r="R164" i="35" a="1"/>
  <c r="R164" i="35" s="1"/>
  <c r="U164" i="35" s="1"/>
  <c r="X164" i="35" s="1"/>
  <c r="Q164" i="35" a="1"/>
  <c r="Q164" i="35" s="1"/>
  <c r="T164" i="35" s="1"/>
  <c r="W164" i="35" s="1"/>
  <c r="S163" i="35" a="1"/>
  <c r="S163" i="35" s="1"/>
  <c r="V163" i="35" s="1"/>
  <c r="R163" i="35" a="1"/>
  <c r="R163" i="35" s="1"/>
  <c r="U163" i="35" s="1"/>
  <c r="X163" i="35" s="1"/>
  <c r="Q163" i="35" a="1"/>
  <c r="Q163" i="35" s="1"/>
  <c r="T163" i="35" s="1"/>
  <c r="W163" i="35" s="1"/>
  <c r="S162" i="35" a="1"/>
  <c r="S162" i="35" s="1"/>
  <c r="V162" i="35" s="1"/>
  <c r="R162" i="35" a="1"/>
  <c r="R162" i="35" s="1"/>
  <c r="U162" i="35" s="1"/>
  <c r="X162" i="35" s="1"/>
  <c r="Q162" i="35" a="1"/>
  <c r="Q162" i="35" s="1"/>
  <c r="T162" i="35" s="1"/>
  <c r="W162" i="35" s="1"/>
  <c r="S161" i="35" a="1"/>
  <c r="S161" i="35" s="1"/>
  <c r="V161" i="35" s="1"/>
  <c r="R161" i="35" a="1"/>
  <c r="R161" i="35" s="1"/>
  <c r="U161" i="35" s="1"/>
  <c r="X161" i="35" s="1"/>
  <c r="Q161" i="35" a="1"/>
  <c r="Q161" i="35" s="1"/>
  <c r="T161" i="35" s="1"/>
  <c r="W161" i="35" s="1"/>
  <c r="S160" i="35" a="1"/>
  <c r="S160" i="35" s="1"/>
  <c r="V160" i="35" s="1"/>
  <c r="R160" i="35" a="1"/>
  <c r="R160" i="35" s="1"/>
  <c r="U160" i="35" s="1"/>
  <c r="X160" i="35" s="1"/>
  <c r="Q160" i="35" a="1"/>
  <c r="Q160" i="35" s="1"/>
  <c r="T160" i="35" s="1"/>
  <c r="W160" i="35" s="1"/>
  <c r="S159" i="35" a="1"/>
  <c r="S159" i="35" s="1"/>
  <c r="V159" i="35" s="1"/>
  <c r="R159" i="35" a="1"/>
  <c r="R159" i="35" s="1"/>
  <c r="U159" i="35" s="1"/>
  <c r="X159" i="35" s="1"/>
  <c r="Q159" i="35" a="1"/>
  <c r="Q159" i="35" s="1"/>
  <c r="T159" i="35" s="1"/>
  <c r="W159" i="35" s="1"/>
  <c r="S158" i="35" a="1"/>
  <c r="S158" i="35" s="1"/>
  <c r="V158" i="35" s="1"/>
  <c r="R158" i="35" a="1"/>
  <c r="R158" i="35" s="1"/>
  <c r="U158" i="35" s="1"/>
  <c r="X158" i="35" s="1"/>
  <c r="Q158" i="35" a="1"/>
  <c r="Q158" i="35" s="1"/>
  <c r="T158" i="35" s="1"/>
  <c r="W158" i="35" s="1"/>
  <c r="S157" i="35" a="1"/>
  <c r="S157" i="35" s="1"/>
  <c r="V157" i="35" s="1"/>
  <c r="R157" i="35" a="1"/>
  <c r="R157" i="35" s="1"/>
  <c r="U157" i="35" s="1"/>
  <c r="X157" i="35" s="1"/>
  <c r="Q157" i="35" a="1"/>
  <c r="Q157" i="35" s="1"/>
  <c r="T157" i="35" s="1"/>
  <c r="W157" i="35" s="1"/>
  <c r="S156" i="35" a="1"/>
  <c r="S156" i="35" s="1"/>
  <c r="V156" i="35" s="1"/>
  <c r="Y156" i="35" s="1"/>
  <c r="R156" i="35" a="1"/>
  <c r="R156" i="35" s="1"/>
  <c r="U156" i="35" s="1"/>
  <c r="X156" i="35" s="1"/>
  <c r="Q156" i="35" a="1"/>
  <c r="Q156" i="35" s="1"/>
  <c r="T156" i="35" s="1"/>
  <c r="W156" i="35" s="1"/>
  <c r="S155" i="35" a="1"/>
  <c r="S155" i="35" s="1"/>
  <c r="V155" i="35" s="1"/>
  <c r="R155" i="35" a="1"/>
  <c r="R155" i="35" s="1"/>
  <c r="U155" i="35" s="1"/>
  <c r="X155" i="35" s="1"/>
  <c r="Q155" i="35" a="1"/>
  <c r="Q155" i="35" s="1"/>
  <c r="T155" i="35" s="1"/>
  <c r="W155" i="35" s="1"/>
  <c r="S154" i="35" a="1"/>
  <c r="S154" i="35" s="1"/>
  <c r="V154" i="35" s="1"/>
  <c r="R154" i="35" a="1"/>
  <c r="R154" i="35" s="1"/>
  <c r="U154" i="35" s="1"/>
  <c r="X154" i="35" s="1"/>
  <c r="Q154" i="35" a="1"/>
  <c r="Q154" i="35" s="1"/>
  <c r="T154" i="35" s="1"/>
  <c r="W154" i="35" s="1"/>
  <c r="S153" i="35" a="1"/>
  <c r="S153" i="35" s="1"/>
  <c r="V153" i="35" s="1"/>
  <c r="Y153" i="35" s="1"/>
  <c r="R153" i="35" a="1"/>
  <c r="R153" i="35" s="1"/>
  <c r="U153" i="35" s="1"/>
  <c r="X153" i="35" s="1"/>
  <c r="Q153" i="35" a="1"/>
  <c r="Q153" i="35" s="1"/>
  <c r="T153" i="35" s="1"/>
  <c r="W153" i="35" s="1"/>
  <c r="S152" i="35" a="1"/>
  <c r="S152" i="35" s="1"/>
  <c r="V152" i="35" s="1"/>
  <c r="Y152" i="35" s="1"/>
  <c r="R152" i="35" a="1"/>
  <c r="R152" i="35" s="1"/>
  <c r="U152" i="35" s="1"/>
  <c r="X152" i="35" s="1"/>
  <c r="Q152" i="35" a="1"/>
  <c r="Q152" i="35" s="1"/>
  <c r="T152" i="35" s="1"/>
  <c r="W152" i="35" s="1"/>
  <c r="S151" i="35" a="1"/>
  <c r="S151" i="35" s="1"/>
  <c r="V151" i="35" s="1"/>
  <c r="R151" i="35" a="1"/>
  <c r="R151" i="35" s="1"/>
  <c r="U151" i="35" s="1"/>
  <c r="X151" i="35" s="1"/>
  <c r="Q151" i="35" a="1"/>
  <c r="Q151" i="35" s="1"/>
  <c r="T151" i="35" s="1"/>
  <c r="W151" i="35" s="1"/>
  <c r="S150" i="35" a="1"/>
  <c r="S150" i="35" s="1"/>
  <c r="V150" i="35" s="1"/>
  <c r="R150" i="35" a="1"/>
  <c r="R150" i="35" s="1"/>
  <c r="U150" i="35" s="1"/>
  <c r="X150" i="35" s="1"/>
  <c r="Q150" i="35" a="1"/>
  <c r="Q150" i="35" s="1"/>
  <c r="T150" i="35" s="1"/>
  <c r="W150" i="35" s="1"/>
  <c r="S149" i="35" a="1"/>
  <c r="S149" i="35" s="1"/>
  <c r="V149" i="35" s="1"/>
  <c r="AA149" i="35" s="1"/>
  <c r="R149" i="35" a="1"/>
  <c r="R149" i="35" s="1"/>
  <c r="U149" i="35" s="1"/>
  <c r="X149" i="35" s="1"/>
  <c r="Q149" i="35" a="1"/>
  <c r="Q149" i="35" s="1"/>
  <c r="T149" i="35" s="1"/>
  <c r="W149" i="35" s="1"/>
  <c r="S148" i="35" a="1"/>
  <c r="S148" i="35" s="1"/>
  <c r="V148" i="35" s="1"/>
  <c r="R148" i="35" a="1"/>
  <c r="R148" i="35" s="1"/>
  <c r="U148" i="35" s="1"/>
  <c r="X148" i="35" s="1"/>
  <c r="Q148" i="35" a="1"/>
  <c r="Q148" i="35" s="1"/>
  <c r="T148" i="35" s="1"/>
  <c r="W148" i="35" s="1"/>
  <c r="S147" i="35" a="1"/>
  <c r="S147" i="35" s="1"/>
  <c r="V147" i="35" s="1"/>
  <c r="R147" i="35" a="1"/>
  <c r="R147" i="35" s="1"/>
  <c r="U147" i="35" s="1"/>
  <c r="X147" i="35" s="1"/>
  <c r="Q147" i="35" a="1"/>
  <c r="Q147" i="35" s="1"/>
  <c r="T147" i="35" s="1"/>
  <c r="W147" i="35" s="1"/>
  <c r="S146" i="35" a="1"/>
  <c r="S146" i="35" s="1"/>
  <c r="V146" i="35" s="1"/>
  <c r="AA146" i="35" s="1"/>
  <c r="R146" i="35" a="1"/>
  <c r="R146" i="35" s="1"/>
  <c r="U146" i="35" s="1"/>
  <c r="X146" i="35" s="1"/>
  <c r="Q146" i="35" a="1"/>
  <c r="Q146" i="35" s="1"/>
  <c r="T146" i="35" s="1"/>
  <c r="W146" i="35" s="1"/>
  <c r="S145" i="35" a="1"/>
  <c r="S145" i="35" s="1"/>
  <c r="V145" i="35" s="1"/>
  <c r="R145" i="35" a="1"/>
  <c r="R145" i="35" s="1"/>
  <c r="U145" i="35" s="1"/>
  <c r="X145" i="35" s="1"/>
  <c r="Q145" i="35" a="1"/>
  <c r="Q145" i="35" s="1"/>
  <c r="T145" i="35" s="1"/>
  <c r="W145" i="35" s="1"/>
  <c r="S144" i="35" a="1"/>
  <c r="S144" i="35" s="1"/>
  <c r="V144" i="35" s="1"/>
  <c r="R144" i="35" a="1"/>
  <c r="R144" i="35" s="1"/>
  <c r="U144" i="35" s="1"/>
  <c r="X144" i="35" s="1"/>
  <c r="Q144" i="35" a="1"/>
  <c r="Q144" i="35" s="1"/>
  <c r="T144" i="35" s="1"/>
  <c r="W144" i="35" s="1"/>
  <c r="S143" i="35" a="1"/>
  <c r="S143" i="35" s="1"/>
  <c r="V143" i="35" s="1"/>
  <c r="R143" i="35" a="1"/>
  <c r="R143" i="35" s="1"/>
  <c r="U143" i="35" s="1"/>
  <c r="X143" i="35" s="1"/>
  <c r="Q143" i="35" a="1"/>
  <c r="Q143" i="35" s="1"/>
  <c r="T143" i="35" s="1"/>
  <c r="W143" i="35" s="1"/>
  <c r="S142" i="35" a="1"/>
  <c r="S142" i="35" s="1"/>
  <c r="V142" i="35" s="1"/>
  <c r="R142" i="35" a="1"/>
  <c r="R142" i="35" s="1"/>
  <c r="U142" i="35" s="1"/>
  <c r="X142" i="35" s="1"/>
  <c r="Q142" i="35" a="1"/>
  <c r="Q142" i="35" s="1"/>
  <c r="T142" i="35" s="1"/>
  <c r="W142" i="35" s="1"/>
  <c r="S141" i="35" a="1"/>
  <c r="S141" i="35" s="1"/>
  <c r="V141" i="35" s="1"/>
  <c r="AA141" i="35" s="1"/>
  <c r="R141" i="35" a="1"/>
  <c r="R141" i="35" s="1"/>
  <c r="U141" i="35" s="1"/>
  <c r="X141" i="35" s="1"/>
  <c r="Q141" i="35" a="1"/>
  <c r="Q141" i="35" s="1"/>
  <c r="T141" i="35" s="1"/>
  <c r="W141" i="35" s="1"/>
  <c r="S140" i="35" a="1"/>
  <c r="S140" i="35" s="1"/>
  <c r="V140" i="35" s="1"/>
  <c r="Y140" i="35" s="1"/>
  <c r="R140" i="35" a="1"/>
  <c r="R140" i="35" s="1"/>
  <c r="U140" i="35" s="1"/>
  <c r="X140" i="35" s="1"/>
  <c r="Q140" i="35" a="1"/>
  <c r="Q140" i="35" s="1"/>
  <c r="T140" i="35" s="1"/>
  <c r="W140" i="35" s="1"/>
  <c r="S139" i="35" a="1"/>
  <c r="S139" i="35" s="1"/>
  <c r="V139" i="35" s="1"/>
  <c r="R139" i="35" a="1"/>
  <c r="R139" i="35" s="1"/>
  <c r="U139" i="35" s="1"/>
  <c r="X139" i="35" s="1"/>
  <c r="Q139" i="35" a="1"/>
  <c r="Q139" i="35" s="1"/>
  <c r="T139" i="35" s="1"/>
  <c r="W139" i="35" s="1"/>
  <c r="S138" i="35" a="1"/>
  <c r="S138" i="35" s="1"/>
  <c r="V138" i="35" s="1"/>
  <c r="R138" i="35" a="1"/>
  <c r="R138" i="35" s="1"/>
  <c r="U138" i="35" s="1"/>
  <c r="X138" i="35" s="1"/>
  <c r="Q138" i="35" a="1"/>
  <c r="Q138" i="35" s="1"/>
  <c r="T138" i="35" s="1"/>
  <c r="W138" i="35" s="1"/>
  <c r="S137" i="35" a="1"/>
  <c r="S137" i="35" s="1"/>
  <c r="V137" i="35" s="1"/>
  <c r="AA137" i="35" s="1"/>
  <c r="R137" i="35" a="1"/>
  <c r="R137" i="35" s="1"/>
  <c r="U137" i="35" s="1"/>
  <c r="X137" i="35" s="1"/>
  <c r="Q137" i="35" a="1"/>
  <c r="Q137" i="35" s="1"/>
  <c r="T137" i="35" s="1"/>
  <c r="W137" i="35" s="1"/>
  <c r="S136" i="35" a="1"/>
  <c r="S136" i="35" s="1"/>
  <c r="V136" i="35" s="1"/>
  <c r="R136" i="35" a="1"/>
  <c r="R136" i="35" s="1"/>
  <c r="U136" i="35" s="1"/>
  <c r="X136" i="35" s="1"/>
  <c r="Q136" i="35" a="1"/>
  <c r="Q136" i="35" s="1"/>
  <c r="T136" i="35" s="1"/>
  <c r="W136" i="35" s="1"/>
  <c r="S135" i="35" a="1"/>
  <c r="S135" i="35" s="1"/>
  <c r="V135" i="35" s="1"/>
  <c r="R135" i="35" a="1"/>
  <c r="R135" i="35" s="1"/>
  <c r="U135" i="35" s="1"/>
  <c r="X135" i="35" s="1"/>
  <c r="Q135" i="35" a="1"/>
  <c r="Q135" i="35" s="1"/>
  <c r="T135" i="35" s="1"/>
  <c r="W135" i="35" s="1"/>
  <c r="S134" i="35" a="1"/>
  <c r="S134" i="35" s="1"/>
  <c r="V134" i="35" s="1"/>
  <c r="Y134" i="35" s="1"/>
  <c r="R134" i="35" a="1"/>
  <c r="R134" i="35" s="1"/>
  <c r="U134" i="35" s="1"/>
  <c r="X134" i="35" s="1"/>
  <c r="Q134" i="35" a="1"/>
  <c r="Q134" i="35" s="1"/>
  <c r="T134" i="35" s="1"/>
  <c r="W134" i="35" s="1"/>
  <c r="S133" i="35" a="1"/>
  <c r="S133" i="35" s="1"/>
  <c r="V133" i="35" s="1"/>
  <c r="R133" i="35" a="1"/>
  <c r="R133" i="35" s="1"/>
  <c r="U133" i="35" s="1"/>
  <c r="X133" i="35" s="1"/>
  <c r="Q133" i="35" a="1"/>
  <c r="Q133" i="35" s="1"/>
  <c r="T133" i="35" s="1"/>
  <c r="W133" i="35" s="1"/>
  <c r="S132" i="35" a="1"/>
  <c r="S132" i="35" s="1"/>
  <c r="V132" i="35" s="1"/>
  <c r="AA132" i="35" s="1"/>
  <c r="R132" i="35" a="1"/>
  <c r="R132" i="35" s="1"/>
  <c r="U132" i="35" s="1"/>
  <c r="X132" i="35" s="1"/>
  <c r="Q132" i="35" a="1"/>
  <c r="Q132" i="35" s="1"/>
  <c r="T132" i="35" s="1"/>
  <c r="W132" i="35" s="1"/>
  <c r="S131" i="35" a="1"/>
  <c r="S131" i="35" s="1"/>
  <c r="V131" i="35" s="1"/>
  <c r="R131" i="35" a="1"/>
  <c r="R131" i="35" s="1"/>
  <c r="U131" i="35" s="1"/>
  <c r="X131" i="35" s="1"/>
  <c r="Q131" i="35" a="1"/>
  <c r="Q131" i="35" s="1"/>
  <c r="T131" i="35" s="1"/>
  <c r="W131" i="35" s="1"/>
  <c r="S130" i="35" a="1"/>
  <c r="S130" i="35" s="1"/>
  <c r="V130" i="35" s="1"/>
  <c r="R130" i="35" a="1"/>
  <c r="R130" i="35" s="1"/>
  <c r="U130" i="35" s="1"/>
  <c r="X130" i="35" s="1"/>
  <c r="Q130" i="35" a="1"/>
  <c r="Q130" i="35" s="1"/>
  <c r="T130" i="35" s="1"/>
  <c r="W130" i="35" s="1"/>
  <c r="S129" i="35" a="1"/>
  <c r="S129" i="35" s="1"/>
  <c r="V129" i="35" s="1"/>
  <c r="Y129" i="35" s="1"/>
  <c r="R129" i="35" a="1"/>
  <c r="R129" i="35" s="1"/>
  <c r="U129" i="35" s="1"/>
  <c r="X129" i="35" s="1"/>
  <c r="Q129" i="35" a="1"/>
  <c r="Q129" i="35" s="1"/>
  <c r="T129" i="35" s="1"/>
  <c r="W129" i="35" s="1"/>
  <c r="S128" i="35" a="1"/>
  <c r="S128" i="35" s="1"/>
  <c r="V128" i="35" s="1"/>
  <c r="R128" i="35" a="1"/>
  <c r="R128" i="35" s="1"/>
  <c r="U128" i="35" s="1"/>
  <c r="X128" i="35" s="1"/>
  <c r="Q128" i="35" a="1"/>
  <c r="Q128" i="35" s="1"/>
  <c r="T128" i="35" s="1"/>
  <c r="W128" i="35" s="1"/>
  <c r="S127" i="35" a="1"/>
  <c r="S127" i="35" s="1"/>
  <c r="V127" i="35" s="1"/>
  <c r="R127" i="35" a="1"/>
  <c r="R127" i="35" s="1"/>
  <c r="U127" i="35" s="1"/>
  <c r="X127" i="35" s="1"/>
  <c r="Q127" i="35" a="1"/>
  <c r="Q127" i="35" s="1"/>
  <c r="T127" i="35" s="1"/>
  <c r="W127" i="35" s="1"/>
  <c r="S126" i="35" a="1"/>
  <c r="S126" i="35" s="1"/>
  <c r="V126" i="35" s="1"/>
  <c r="R126" i="35" a="1"/>
  <c r="R126" i="35" s="1"/>
  <c r="U126" i="35" s="1"/>
  <c r="X126" i="35" s="1"/>
  <c r="Q126" i="35" a="1"/>
  <c r="Q126" i="35" s="1"/>
  <c r="T126" i="35" s="1"/>
  <c r="W126" i="35" s="1"/>
  <c r="S125" i="35" a="1"/>
  <c r="S125" i="35" s="1"/>
  <c r="V125" i="35" s="1"/>
  <c r="R125" i="35" a="1"/>
  <c r="R125" i="35" s="1"/>
  <c r="U125" i="35" s="1"/>
  <c r="X125" i="35" s="1"/>
  <c r="Q125" i="35" a="1"/>
  <c r="Q125" i="35" s="1"/>
  <c r="T125" i="35" s="1"/>
  <c r="W125" i="35" s="1"/>
  <c r="S124" i="35" a="1"/>
  <c r="S124" i="35" s="1"/>
  <c r="V124" i="35" s="1"/>
  <c r="Y124" i="35" s="1"/>
  <c r="R124" i="35" a="1"/>
  <c r="R124" i="35" s="1"/>
  <c r="U124" i="35" s="1"/>
  <c r="X124" i="35" s="1"/>
  <c r="Q124" i="35" a="1"/>
  <c r="Q124" i="35" s="1"/>
  <c r="T124" i="35" s="1"/>
  <c r="W124" i="35" s="1"/>
  <c r="S123" i="35" a="1"/>
  <c r="S123" i="35" s="1"/>
  <c r="V123" i="35" s="1"/>
  <c r="R123" i="35" a="1"/>
  <c r="R123" i="35" s="1"/>
  <c r="U123" i="35" s="1"/>
  <c r="X123" i="35" s="1"/>
  <c r="Q123" i="35" a="1"/>
  <c r="Q123" i="35" s="1"/>
  <c r="T123" i="35" s="1"/>
  <c r="W123" i="35" s="1"/>
  <c r="S122" i="35" a="1"/>
  <c r="S122" i="35" s="1"/>
  <c r="V122" i="35" s="1"/>
  <c r="R122" i="35" a="1"/>
  <c r="R122" i="35" s="1"/>
  <c r="U122" i="35" s="1"/>
  <c r="X122" i="35" s="1"/>
  <c r="Q122" i="35" a="1"/>
  <c r="Q122" i="35" s="1"/>
  <c r="T122" i="35" s="1"/>
  <c r="W122" i="35" s="1"/>
  <c r="S121" i="35" a="1"/>
  <c r="S121" i="35" s="1"/>
  <c r="V121" i="35" s="1"/>
  <c r="AA121" i="35" s="1"/>
  <c r="R121" i="35" a="1"/>
  <c r="R121" i="35" s="1"/>
  <c r="U121" i="35" s="1"/>
  <c r="X121" i="35" s="1"/>
  <c r="Q121" i="35" a="1"/>
  <c r="Q121" i="35" s="1"/>
  <c r="T121" i="35" s="1"/>
  <c r="W121" i="35" s="1"/>
  <c r="S120" i="35" a="1"/>
  <c r="S120" i="35" s="1"/>
  <c r="V120" i="35" s="1"/>
  <c r="R120" i="35" a="1"/>
  <c r="R120" i="35" s="1"/>
  <c r="U120" i="35" s="1"/>
  <c r="X120" i="35" s="1"/>
  <c r="Q120" i="35" a="1"/>
  <c r="Q120" i="35" s="1"/>
  <c r="T120" i="35" s="1"/>
  <c r="W120" i="35" s="1"/>
  <c r="S119" i="35" a="1"/>
  <c r="S119" i="35" s="1"/>
  <c r="V119" i="35" s="1"/>
  <c r="AA119" i="35" s="1"/>
  <c r="R119" i="35" a="1"/>
  <c r="R119" i="35" s="1"/>
  <c r="U119" i="35" s="1"/>
  <c r="X119" i="35" s="1"/>
  <c r="Q119" i="35" a="1"/>
  <c r="Q119" i="35" s="1"/>
  <c r="T119" i="35" s="1"/>
  <c r="W119" i="35" s="1"/>
  <c r="S118" i="35" a="1"/>
  <c r="S118" i="35" s="1"/>
  <c r="V118" i="35" s="1"/>
  <c r="AA118" i="35" s="1"/>
  <c r="R118" i="35" a="1"/>
  <c r="R118" i="35" s="1"/>
  <c r="U118" i="35" s="1"/>
  <c r="X118" i="35" s="1"/>
  <c r="Q118" i="35" a="1"/>
  <c r="Q118" i="35" s="1"/>
  <c r="T118" i="35" s="1"/>
  <c r="W118" i="35" s="1"/>
  <c r="S117" i="35" a="1"/>
  <c r="S117" i="35" s="1"/>
  <c r="V117" i="35" s="1"/>
  <c r="R117" i="35" a="1"/>
  <c r="R117" i="35" s="1"/>
  <c r="U117" i="35" s="1"/>
  <c r="X117" i="35" s="1"/>
  <c r="Q117" i="35" a="1"/>
  <c r="Q117" i="35" s="1"/>
  <c r="T117" i="35" s="1"/>
  <c r="W117" i="35" s="1"/>
  <c r="S116" i="35" a="1"/>
  <c r="S116" i="35" s="1"/>
  <c r="V116" i="35" s="1"/>
  <c r="R116" i="35" a="1"/>
  <c r="R116" i="35" s="1"/>
  <c r="U116" i="35" s="1"/>
  <c r="X116" i="35" s="1"/>
  <c r="Q116" i="35" a="1"/>
  <c r="Q116" i="35" s="1"/>
  <c r="T116" i="35" s="1"/>
  <c r="W116" i="35" s="1"/>
  <c r="S115" i="35" a="1"/>
  <c r="S115" i="35" s="1"/>
  <c r="V115" i="35" s="1"/>
  <c r="Y115" i="35" s="1"/>
  <c r="R115" i="35" a="1"/>
  <c r="R115" i="35" s="1"/>
  <c r="U115" i="35" s="1"/>
  <c r="X115" i="35" s="1"/>
  <c r="Q115" i="35" a="1"/>
  <c r="Q115" i="35" s="1"/>
  <c r="T115" i="35" s="1"/>
  <c r="W115" i="35" s="1"/>
  <c r="S114" i="35" a="1"/>
  <c r="S114" i="35" s="1"/>
  <c r="V114" i="35" s="1"/>
  <c r="AA114" i="35" s="1"/>
  <c r="R114" i="35" a="1"/>
  <c r="R114" i="35" s="1"/>
  <c r="U114" i="35" s="1"/>
  <c r="X114" i="35" s="1"/>
  <c r="Q114" i="35" a="1"/>
  <c r="Q114" i="35" s="1"/>
  <c r="T114" i="35" s="1"/>
  <c r="W114" i="35" s="1"/>
  <c r="S113" i="35" a="1"/>
  <c r="S113" i="35" s="1"/>
  <c r="V113" i="35" s="1"/>
  <c r="R113" i="35" a="1"/>
  <c r="R113" i="35" s="1"/>
  <c r="U113" i="35" s="1"/>
  <c r="X113" i="35" s="1"/>
  <c r="Q113" i="35" a="1"/>
  <c r="Q113" i="35" s="1"/>
  <c r="T113" i="35" s="1"/>
  <c r="W113" i="35" s="1"/>
  <c r="S112" i="35" a="1"/>
  <c r="S112" i="35" s="1"/>
  <c r="V112" i="35" s="1"/>
  <c r="R112" i="35" a="1"/>
  <c r="R112" i="35" s="1"/>
  <c r="U112" i="35" s="1"/>
  <c r="X112" i="35" s="1"/>
  <c r="Q112" i="35" a="1"/>
  <c r="Q112" i="35" s="1"/>
  <c r="T112" i="35" s="1"/>
  <c r="W112" i="35" s="1"/>
  <c r="S111" i="35" a="1"/>
  <c r="S111" i="35" s="1"/>
  <c r="V111" i="35" s="1"/>
  <c r="R111" i="35" a="1"/>
  <c r="R111" i="35" s="1"/>
  <c r="U111" i="35" s="1"/>
  <c r="X111" i="35" s="1"/>
  <c r="Q111" i="35" a="1"/>
  <c r="Q111" i="35" s="1"/>
  <c r="T111" i="35" s="1"/>
  <c r="W111" i="35" s="1"/>
  <c r="S110" i="35" a="1"/>
  <c r="S110" i="35" s="1"/>
  <c r="V110" i="35" s="1"/>
  <c r="AA110" i="35" s="1"/>
  <c r="R110" i="35" a="1"/>
  <c r="R110" i="35" s="1"/>
  <c r="U110" i="35" s="1"/>
  <c r="X110" i="35" s="1"/>
  <c r="Q110" i="35" a="1"/>
  <c r="Q110" i="35" s="1"/>
  <c r="T110" i="35" s="1"/>
  <c r="W110" i="35" s="1"/>
  <c r="S109" i="35" a="1"/>
  <c r="S109" i="35" s="1"/>
  <c r="V109" i="35" s="1"/>
  <c r="R109" i="35" a="1"/>
  <c r="R109" i="35" s="1"/>
  <c r="U109" i="35" s="1"/>
  <c r="X109" i="35" s="1"/>
  <c r="Q109" i="35" a="1"/>
  <c r="Q109" i="35" s="1"/>
  <c r="T109" i="35" s="1"/>
  <c r="W109" i="35" s="1"/>
  <c r="S108" i="35" a="1"/>
  <c r="S108" i="35" s="1"/>
  <c r="V108" i="35" s="1"/>
  <c r="R108" i="35" a="1"/>
  <c r="R108" i="35" s="1"/>
  <c r="U108" i="35" s="1"/>
  <c r="X108" i="35" s="1"/>
  <c r="Q108" i="35" a="1"/>
  <c r="Q108" i="35" s="1"/>
  <c r="T108" i="35" s="1"/>
  <c r="W108" i="35" s="1"/>
  <c r="S107" i="35" a="1"/>
  <c r="S107" i="35" s="1"/>
  <c r="V107" i="35" s="1"/>
  <c r="R107" i="35" a="1"/>
  <c r="R107" i="35" s="1"/>
  <c r="U107" i="35" s="1"/>
  <c r="X107" i="35" s="1"/>
  <c r="Q107" i="35" a="1"/>
  <c r="Q107" i="35" s="1"/>
  <c r="T107" i="35" s="1"/>
  <c r="W107" i="35" s="1"/>
  <c r="S106" i="35" a="1"/>
  <c r="S106" i="35" s="1"/>
  <c r="V106" i="35" s="1"/>
  <c r="R106" i="35" a="1"/>
  <c r="R106" i="35" s="1"/>
  <c r="U106" i="35" s="1"/>
  <c r="X106" i="35" s="1"/>
  <c r="Q106" i="35" a="1"/>
  <c r="Q106" i="35" s="1"/>
  <c r="T106" i="35" s="1"/>
  <c r="W106" i="35" s="1"/>
  <c r="S105" i="35" a="1"/>
  <c r="S105" i="35" s="1"/>
  <c r="V105" i="35" s="1"/>
  <c r="R105" i="35" a="1"/>
  <c r="R105" i="35" s="1"/>
  <c r="U105" i="35" s="1"/>
  <c r="X105" i="35" s="1"/>
  <c r="Q105" i="35" a="1"/>
  <c r="Q105" i="35" s="1"/>
  <c r="T105" i="35" s="1"/>
  <c r="W105" i="35" s="1"/>
  <c r="S104" i="35" a="1"/>
  <c r="S104" i="35" s="1"/>
  <c r="V104" i="35" s="1"/>
  <c r="R104" i="35" a="1"/>
  <c r="R104" i="35" s="1"/>
  <c r="U104" i="35" s="1"/>
  <c r="X104" i="35" s="1"/>
  <c r="Q104" i="35" a="1"/>
  <c r="Q104" i="35" s="1"/>
  <c r="T104" i="35" s="1"/>
  <c r="W104" i="35" s="1"/>
  <c r="S103" i="35" a="1"/>
  <c r="S103" i="35" s="1"/>
  <c r="V103" i="35" s="1"/>
  <c r="R103" i="35" a="1"/>
  <c r="R103" i="35" s="1"/>
  <c r="U103" i="35" s="1"/>
  <c r="X103" i="35" s="1"/>
  <c r="Q103" i="35" a="1"/>
  <c r="Q103" i="35" s="1"/>
  <c r="T103" i="35" s="1"/>
  <c r="W103" i="35" s="1"/>
  <c r="S102" i="35" a="1"/>
  <c r="S102" i="35" s="1"/>
  <c r="V102" i="35" s="1"/>
  <c r="AA102" i="35" s="1"/>
  <c r="R102" i="35" a="1"/>
  <c r="R102" i="35" s="1"/>
  <c r="U102" i="35" s="1"/>
  <c r="X102" i="35" s="1"/>
  <c r="Q102" i="35" a="1"/>
  <c r="Q102" i="35" s="1"/>
  <c r="T102" i="35" s="1"/>
  <c r="W102" i="35" s="1"/>
  <c r="S101" i="35" a="1"/>
  <c r="S101" i="35" s="1"/>
  <c r="V101" i="35" s="1"/>
  <c r="R101" i="35" a="1"/>
  <c r="R101" i="35" s="1"/>
  <c r="U101" i="35" s="1"/>
  <c r="X101" i="35" s="1"/>
  <c r="Q101" i="35" a="1"/>
  <c r="Q101" i="35" s="1"/>
  <c r="T101" i="35" s="1"/>
  <c r="W101" i="35" s="1"/>
  <c r="S100" i="35" a="1"/>
  <c r="S100" i="35" s="1"/>
  <c r="V100" i="35" s="1"/>
  <c r="AA100" i="35" s="1"/>
  <c r="R100" i="35" a="1"/>
  <c r="R100" i="35" s="1"/>
  <c r="U100" i="35" s="1"/>
  <c r="X100" i="35" s="1"/>
  <c r="Q100" i="35" a="1"/>
  <c r="Q100" i="35" s="1"/>
  <c r="T100" i="35" s="1"/>
  <c r="W100" i="35" s="1"/>
  <c r="S99" i="35" a="1"/>
  <c r="S99" i="35" s="1"/>
  <c r="V99" i="35" s="1"/>
  <c r="Y99" i="35" s="1"/>
  <c r="R99" i="35" a="1"/>
  <c r="R99" i="35" s="1"/>
  <c r="U99" i="35" s="1"/>
  <c r="X99" i="35" s="1"/>
  <c r="Q99" i="35" a="1"/>
  <c r="Q99" i="35" s="1"/>
  <c r="T99" i="35" s="1"/>
  <c r="W99" i="35" s="1"/>
  <c r="S98" i="35" a="1"/>
  <c r="S98" i="35" s="1"/>
  <c r="V98" i="35" s="1"/>
  <c r="R98" i="35" a="1"/>
  <c r="R98" i="35" s="1"/>
  <c r="U98" i="35" s="1"/>
  <c r="X98" i="35" s="1"/>
  <c r="Q98" i="35" a="1"/>
  <c r="Q98" i="35" s="1"/>
  <c r="T98" i="35" s="1"/>
  <c r="W98" i="35" s="1"/>
  <c r="S97" i="35" a="1"/>
  <c r="S97" i="35" s="1"/>
  <c r="V97" i="35" s="1"/>
  <c r="R97" i="35" a="1"/>
  <c r="R97" i="35" s="1"/>
  <c r="U97" i="35" s="1"/>
  <c r="X97" i="35" s="1"/>
  <c r="Q97" i="35" a="1"/>
  <c r="Q97" i="35" s="1"/>
  <c r="T97" i="35" s="1"/>
  <c r="W97" i="35" s="1"/>
  <c r="S96" i="35" a="1"/>
  <c r="S96" i="35" s="1"/>
  <c r="V96" i="35" s="1"/>
  <c r="R96" i="35" a="1"/>
  <c r="R96" i="35" s="1"/>
  <c r="U96" i="35" s="1"/>
  <c r="X96" i="35" s="1"/>
  <c r="Q96" i="35" a="1"/>
  <c r="Q96" i="35" s="1"/>
  <c r="T96" i="35" s="1"/>
  <c r="W96" i="35" s="1"/>
  <c r="S95" i="35" a="1"/>
  <c r="S95" i="35" s="1"/>
  <c r="V95" i="35" s="1"/>
  <c r="R95" i="35" a="1"/>
  <c r="R95" i="35" s="1"/>
  <c r="U95" i="35" s="1"/>
  <c r="X95" i="35" s="1"/>
  <c r="Q95" i="35" a="1"/>
  <c r="Q95" i="35" s="1"/>
  <c r="T95" i="35" s="1"/>
  <c r="W95" i="35" s="1"/>
  <c r="S94" i="35" a="1"/>
  <c r="S94" i="35" s="1"/>
  <c r="V94" i="35" s="1"/>
  <c r="R94" i="35" a="1"/>
  <c r="R94" i="35" s="1"/>
  <c r="U94" i="35" s="1"/>
  <c r="X94" i="35" s="1"/>
  <c r="Q94" i="35" a="1"/>
  <c r="Q94" i="35" s="1"/>
  <c r="T94" i="35" s="1"/>
  <c r="W94" i="35" s="1"/>
  <c r="S93" i="35" a="1"/>
  <c r="S93" i="35" s="1"/>
  <c r="V93" i="35" s="1"/>
  <c r="Y93" i="35" s="1"/>
  <c r="R93" i="35" a="1"/>
  <c r="R93" i="35" s="1"/>
  <c r="U93" i="35" s="1"/>
  <c r="X93" i="35" s="1"/>
  <c r="Q93" i="35" a="1"/>
  <c r="Q93" i="35" s="1"/>
  <c r="T93" i="35" s="1"/>
  <c r="W93" i="35" s="1"/>
  <c r="S92" i="35" a="1"/>
  <c r="S92" i="35" s="1"/>
  <c r="V92" i="35" s="1"/>
  <c r="R92" i="35" a="1"/>
  <c r="R92" i="35" s="1"/>
  <c r="U92" i="35" s="1"/>
  <c r="X92" i="35" s="1"/>
  <c r="Q92" i="35" a="1"/>
  <c r="Q92" i="35" s="1"/>
  <c r="T92" i="35" s="1"/>
  <c r="W92" i="35" s="1"/>
  <c r="S91" i="35" a="1"/>
  <c r="S91" i="35" s="1"/>
  <c r="V91" i="35" s="1"/>
  <c r="R91" i="35" a="1"/>
  <c r="R91" i="35" s="1"/>
  <c r="U91" i="35" s="1"/>
  <c r="X91" i="35" s="1"/>
  <c r="Q91" i="35" a="1"/>
  <c r="Q91" i="35" s="1"/>
  <c r="T91" i="35" s="1"/>
  <c r="W91" i="35" s="1"/>
  <c r="S90" i="35" a="1"/>
  <c r="S90" i="35" s="1"/>
  <c r="V90" i="35" s="1"/>
  <c r="R90" i="35" a="1"/>
  <c r="R90" i="35" s="1"/>
  <c r="U90" i="35" s="1"/>
  <c r="X90" i="35" s="1"/>
  <c r="Q90" i="35" a="1"/>
  <c r="Q90" i="35" s="1"/>
  <c r="T90" i="35" s="1"/>
  <c r="W90" i="35" s="1"/>
  <c r="S89" i="35" a="1"/>
  <c r="S89" i="35" s="1"/>
  <c r="V89" i="35" s="1"/>
  <c r="R89" i="35" a="1"/>
  <c r="R89" i="35" s="1"/>
  <c r="U89" i="35" s="1"/>
  <c r="X89" i="35" s="1"/>
  <c r="Q89" i="35" a="1"/>
  <c r="Q89" i="35" s="1"/>
  <c r="T89" i="35" s="1"/>
  <c r="W89" i="35" s="1"/>
  <c r="S88" i="35" a="1"/>
  <c r="S88" i="35" s="1"/>
  <c r="V88" i="35" s="1"/>
  <c r="R88" i="35" a="1"/>
  <c r="R88" i="35" s="1"/>
  <c r="U88" i="35" s="1"/>
  <c r="X88" i="35" s="1"/>
  <c r="Q88" i="35" a="1"/>
  <c r="Q88" i="35" s="1"/>
  <c r="T88" i="35" s="1"/>
  <c r="W88" i="35" s="1"/>
  <c r="S87" i="35" a="1"/>
  <c r="S87" i="35" s="1"/>
  <c r="V87" i="35" s="1"/>
  <c r="AA87" i="35" s="1"/>
  <c r="R87" i="35" a="1"/>
  <c r="R87" i="35" s="1"/>
  <c r="U87" i="35" s="1"/>
  <c r="X87" i="35" s="1"/>
  <c r="Q87" i="35" a="1"/>
  <c r="Q87" i="35" s="1"/>
  <c r="T87" i="35" s="1"/>
  <c r="W87" i="35" s="1"/>
  <c r="S86" i="35" a="1"/>
  <c r="S86" i="35" s="1"/>
  <c r="V86" i="35" s="1"/>
  <c r="R86" i="35" a="1"/>
  <c r="R86" i="35" s="1"/>
  <c r="U86" i="35" s="1"/>
  <c r="X86" i="35" s="1"/>
  <c r="Q86" i="35" a="1"/>
  <c r="Q86" i="35" s="1"/>
  <c r="T86" i="35" s="1"/>
  <c r="W86" i="35" s="1"/>
  <c r="S85" i="35" a="1"/>
  <c r="S85" i="35" s="1"/>
  <c r="V85" i="35" s="1"/>
  <c r="R85" i="35" a="1"/>
  <c r="R85" i="35" s="1"/>
  <c r="U85" i="35" s="1"/>
  <c r="X85" i="35" s="1"/>
  <c r="Q85" i="35" a="1"/>
  <c r="Q85" i="35" s="1"/>
  <c r="T85" i="35" s="1"/>
  <c r="W85" i="35" s="1"/>
  <c r="S84" i="35" a="1"/>
  <c r="S84" i="35" s="1"/>
  <c r="V84" i="35" s="1"/>
  <c r="R84" i="35" a="1"/>
  <c r="R84" i="35" s="1"/>
  <c r="U84" i="35" s="1"/>
  <c r="X84" i="35" s="1"/>
  <c r="Q84" i="35" a="1"/>
  <c r="Q84" i="35" s="1"/>
  <c r="T84" i="35" s="1"/>
  <c r="W84" i="35" s="1"/>
  <c r="S83" i="35" a="1"/>
  <c r="S83" i="35" s="1"/>
  <c r="V83" i="35" s="1"/>
  <c r="R83" i="35" a="1"/>
  <c r="R83" i="35" s="1"/>
  <c r="U83" i="35" s="1"/>
  <c r="X83" i="35" s="1"/>
  <c r="Q83" i="35" a="1"/>
  <c r="Q83" i="35" s="1"/>
  <c r="T83" i="35" s="1"/>
  <c r="W83" i="35" s="1"/>
  <c r="S82" i="35" a="1"/>
  <c r="S82" i="35" s="1"/>
  <c r="V82" i="35" s="1"/>
  <c r="Y82" i="35" s="1"/>
  <c r="R82" i="35" a="1"/>
  <c r="R82" i="35" s="1"/>
  <c r="U82" i="35" s="1"/>
  <c r="X82" i="35" s="1"/>
  <c r="Q82" i="35" a="1"/>
  <c r="Q82" i="35" s="1"/>
  <c r="T82" i="35" s="1"/>
  <c r="W82" i="35" s="1"/>
  <c r="S81" i="35" a="1"/>
  <c r="S81" i="35" s="1"/>
  <c r="V81" i="35" s="1"/>
  <c r="R81" i="35" a="1"/>
  <c r="R81" i="35" s="1"/>
  <c r="U81" i="35" s="1"/>
  <c r="X81" i="35" s="1"/>
  <c r="Q81" i="35" a="1"/>
  <c r="Q81" i="35" s="1"/>
  <c r="T81" i="35" s="1"/>
  <c r="W81" i="35" s="1"/>
  <c r="S80" i="35" a="1"/>
  <c r="S80" i="35" s="1"/>
  <c r="V80" i="35" s="1"/>
  <c r="R80" i="35" a="1"/>
  <c r="R80" i="35" s="1"/>
  <c r="U80" i="35" s="1"/>
  <c r="X80" i="35" s="1"/>
  <c r="Q80" i="35" a="1"/>
  <c r="Q80" i="35" s="1"/>
  <c r="T80" i="35" s="1"/>
  <c r="W80" i="35" s="1"/>
  <c r="S79" i="35" a="1"/>
  <c r="S79" i="35" s="1"/>
  <c r="V79" i="35" s="1"/>
  <c r="R79" i="35" a="1"/>
  <c r="R79" i="35" s="1"/>
  <c r="U79" i="35" s="1"/>
  <c r="X79" i="35" s="1"/>
  <c r="Q79" i="35" a="1"/>
  <c r="Q79" i="35" s="1"/>
  <c r="T79" i="35" s="1"/>
  <c r="W79" i="35" s="1"/>
  <c r="S78" i="35" a="1"/>
  <c r="S78" i="35" s="1"/>
  <c r="V78" i="35" s="1"/>
  <c r="Y78" i="35" s="1"/>
  <c r="R78" i="35" a="1"/>
  <c r="R78" i="35" s="1"/>
  <c r="U78" i="35" s="1"/>
  <c r="X78" i="35" s="1"/>
  <c r="Q78" i="35" a="1"/>
  <c r="Q78" i="35" s="1"/>
  <c r="T78" i="35" s="1"/>
  <c r="W78" i="35" s="1"/>
  <c r="S77" i="35" a="1"/>
  <c r="S77" i="35" s="1"/>
  <c r="V77" i="35" s="1"/>
  <c r="R77" i="35" a="1"/>
  <c r="R77" i="35" s="1"/>
  <c r="U77" i="35" s="1"/>
  <c r="X77" i="35" s="1"/>
  <c r="Q77" i="35" a="1"/>
  <c r="Q77" i="35" s="1"/>
  <c r="T77" i="35" s="1"/>
  <c r="W77" i="35" s="1"/>
  <c r="S76" i="35" a="1"/>
  <c r="S76" i="35" s="1"/>
  <c r="V76" i="35" s="1"/>
  <c r="R76" i="35" a="1"/>
  <c r="R76" i="35" s="1"/>
  <c r="U76" i="35" s="1"/>
  <c r="X76" i="35" s="1"/>
  <c r="Q76" i="35" a="1"/>
  <c r="Q76" i="35" s="1"/>
  <c r="T76" i="35" s="1"/>
  <c r="W76" i="35" s="1"/>
  <c r="S75" i="35" a="1"/>
  <c r="S75" i="35" s="1"/>
  <c r="V75" i="35" s="1"/>
  <c r="R75" i="35" a="1"/>
  <c r="R75" i="35" s="1"/>
  <c r="U75" i="35" s="1"/>
  <c r="X75" i="35" s="1"/>
  <c r="Q75" i="35" a="1"/>
  <c r="Q75" i="35" s="1"/>
  <c r="T75" i="35" s="1"/>
  <c r="W75" i="35" s="1"/>
  <c r="S74" i="35" a="1"/>
  <c r="S74" i="35" s="1"/>
  <c r="V74" i="35" s="1"/>
  <c r="R74" i="35" a="1"/>
  <c r="R74" i="35" s="1"/>
  <c r="U74" i="35" s="1"/>
  <c r="X74" i="35" s="1"/>
  <c r="Q74" i="35" a="1"/>
  <c r="Q74" i="35" s="1"/>
  <c r="T74" i="35" s="1"/>
  <c r="W74" i="35" s="1"/>
  <c r="S73" i="35" a="1"/>
  <c r="S73" i="35" s="1"/>
  <c r="V73" i="35" s="1"/>
  <c r="R73" i="35" a="1"/>
  <c r="R73" i="35" s="1"/>
  <c r="U73" i="35" s="1"/>
  <c r="X73" i="35" s="1"/>
  <c r="Q73" i="35" a="1"/>
  <c r="Q73" i="35" s="1"/>
  <c r="T73" i="35" s="1"/>
  <c r="W73" i="35" s="1"/>
  <c r="S72" i="35" a="1"/>
  <c r="S72" i="35" s="1"/>
  <c r="V72" i="35" s="1"/>
  <c r="AA72" i="35" s="1"/>
  <c r="R72" i="35" a="1"/>
  <c r="R72" i="35" s="1"/>
  <c r="U72" i="35" s="1"/>
  <c r="X72" i="35" s="1"/>
  <c r="Q72" i="35" a="1"/>
  <c r="Q72" i="35" s="1"/>
  <c r="T72" i="35" s="1"/>
  <c r="W72" i="35" s="1"/>
  <c r="S71" i="35" a="1"/>
  <c r="S71" i="35" s="1"/>
  <c r="V71" i="35" s="1"/>
  <c r="R71" i="35" a="1"/>
  <c r="R71" i="35" s="1"/>
  <c r="U71" i="35" s="1"/>
  <c r="X71" i="35" s="1"/>
  <c r="Q71" i="35" a="1"/>
  <c r="Q71" i="35" s="1"/>
  <c r="T71" i="35" s="1"/>
  <c r="W71" i="35" s="1"/>
  <c r="S70" i="35" a="1"/>
  <c r="S70" i="35" s="1"/>
  <c r="V70" i="35" s="1"/>
  <c r="R70" i="35" a="1"/>
  <c r="R70" i="35" s="1"/>
  <c r="U70" i="35" s="1"/>
  <c r="X70" i="35" s="1"/>
  <c r="Q70" i="35" a="1"/>
  <c r="Q70" i="35" s="1"/>
  <c r="T70" i="35" s="1"/>
  <c r="W70" i="35" s="1"/>
  <c r="S69" i="35" a="1"/>
  <c r="S69" i="35" s="1"/>
  <c r="V69" i="35" s="1"/>
  <c r="AA69" i="35" s="1"/>
  <c r="R69" i="35" a="1"/>
  <c r="R69" i="35" s="1"/>
  <c r="U69" i="35" s="1"/>
  <c r="X69" i="35" s="1"/>
  <c r="Q69" i="35" a="1"/>
  <c r="Q69" i="35" s="1"/>
  <c r="T69" i="35" s="1"/>
  <c r="W69" i="35" s="1"/>
  <c r="S68" i="35" a="1"/>
  <c r="S68" i="35" s="1"/>
  <c r="V68" i="35" s="1"/>
  <c r="R68" i="35" a="1"/>
  <c r="R68" i="35" s="1"/>
  <c r="U68" i="35" s="1"/>
  <c r="X68" i="35" s="1"/>
  <c r="Q68" i="35" a="1"/>
  <c r="Q68" i="35" s="1"/>
  <c r="T68" i="35" s="1"/>
  <c r="W68" i="35" s="1"/>
  <c r="S67" i="35" a="1"/>
  <c r="S67" i="35" s="1"/>
  <c r="V67" i="35" s="1"/>
  <c r="R67" i="35" a="1"/>
  <c r="R67" i="35" s="1"/>
  <c r="U67" i="35" s="1"/>
  <c r="X67" i="35" s="1"/>
  <c r="Q67" i="35" a="1"/>
  <c r="Q67" i="35" s="1"/>
  <c r="T67" i="35" s="1"/>
  <c r="W67" i="35" s="1"/>
  <c r="S66" i="35" a="1"/>
  <c r="S66" i="35" s="1"/>
  <c r="V66" i="35" s="1"/>
  <c r="R66" i="35" a="1"/>
  <c r="R66" i="35" s="1"/>
  <c r="U66" i="35" s="1"/>
  <c r="X66" i="35" s="1"/>
  <c r="Q66" i="35" a="1"/>
  <c r="Q66" i="35" s="1"/>
  <c r="T66" i="35" s="1"/>
  <c r="W66" i="35" s="1"/>
  <c r="S65" i="35" a="1"/>
  <c r="S65" i="35" s="1"/>
  <c r="V65" i="35" s="1"/>
  <c r="AA65" i="35" s="1"/>
  <c r="R65" i="35" a="1"/>
  <c r="R65" i="35" s="1"/>
  <c r="U65" i="35" s="1"/>
  <c r="X65" i="35" s="1"/>
  <c r="Q65" i="35" a="1"/>
  <c r="Q65" i="35" s="1"/>
  <c r="T65" i="35" s="1"/>
  <c r="W65" i="35" s="1"/>
  <c r="S64" i="35" a="1"/>
  <c r="S64" i="35" s="1"/>
  <c r="V64" i="35" s="1"/>
  <c r="R64" i="35" a="1"/>
  <c r="R64" i="35" s="1"/>
  <c r="U64" i="35" s="1"/>
  <c r="X64" i="35" s="1"/>
  <c r="Q64" i="35" a="1"/>
  <c r="Q64" i="35" s="1"/>
  <c r="T64" i="35" s="1"/>
  <c r="W64" i="35" s="1"/>
  <c r="S63" i="35" a="1"/>
  <c r="S63" i="35" s="1"/>
  <c r="V63" i="35" s="1"/>
  <c r="R63" i="35" a="1"/>
  <c r="R63" i="35" s="1"/>
  <c r="U63" i="35" s="1"/>
  <c r="X63" i="35" s="1"/>
  <c r="Q63" i="35" a="1"/>
  <c r="Q63" i="35" s="1"/>
  <c r="T63" i="35" s="1"/>
  <c r="W63" i="35" s="1"/>
  <c r="S62" i="35" a="1"/>
  <c r="S62" i="35" s="1"/>
  <c r="V62" i="35" s="1"/>
  <c r="AA62" i="35" s="1"/>
  <c r="R62" i="35" a="1"/>
  <c r="R62" i="35" s="1"/>
  <c r="U62" i="35" s="1"/>
  <c r="X62" i="35" s="1"/>
  <c r="Q62" i="35" a="1"/>
  <c r="Q62" i="35" s="1"/>
  <c r="T62" i="35" s="1"/>
  <c r="W62" i="35" s="1"/>
  <c r="S61" i="35" a="1"/>
  <c r="S61" i="35" s="1"/>
  <c r="V61" i="35" s="1"/>
  <c r="R61" i="35" a="1"/>
  <c r="R61" i="35" s="1"/>
  <c r="U61" i="35" s="1"/>
  <c r="X61" i="35" s="1"/>
  <c r="Q61" i="35" a="1"/>
  <c r="Q61" i="35" s="1"/>
  <c r="T61" i="35" s="1"/>
  <c r="W61" i="35" s="1"/>
  <c r="S60" i="35" a="1"/>
  <c r="S60" i="35" s="1"/>
  <c r="V60" i="35" s="1"/>
  <c r="R60" i="35" a="1"/>
  <c r="R60" i="35" s="1"/>
  <c r="U60" i="35" s="1"/>
  <c r="X60" i="35" s="1"/>
  <c r="Q60" i="35" a="1"/>
  <c r="Q60" i="35" s="1"/>
  <c r="T60" i="35" s="1"/>
  <c r="W60" i="35" s="1"/>
  <c r="S59" i="35" a="1"/>
  <c r="S59" i="35" s="1"/>
  <c r="V59" i="35" s="1"/>
  <c r="R59" i="35" a="1"/>
  <c r="R59" i="35" s="1"/>
  <c r="U59" i="35" s="1"/>
  <c r="X59" i="35" s="1"/>
  <c r="Q59" i="35" a="1"/>
  <c r="Q59" i="35" s="1"/>
  <c r="T59" i="35" s="1"/>
  <c r="W59" i="35" s="1"/>
  <c r="S58" i="35" a="1"/>
  <c r="S58" i="35" s="1"/>
  <c r="V58" i="35" s="1"/>
  <c r="R58" i="35" a="1"/>
  <c r="R58" i="35" s="1"/>
  <c r="U58" i="35" s="1"/>
  <c r="X58" i="35" s="1"/>
  <c r="Q58" i="35" a="1"/>
  <c r="Q58" i="35" s="1"/>
  <c r="T58" i="35" s="1"/>
  <c r="W58" i="35" s="1"/>
  <c r="S57" i="35" a="1"/>
  <c r="S57" i="35" s="1"/>
  <c r="V57" i="35" s="1"/>
  <c r="R57" i="35" a="1"/>
  <c r="R57" i="35" s="1"/>
  <c r="U57" i="35" s="1"/>
  <c r="X57" i="35" s="1"/>
  <c r="Q57" i="35" a="1"/>
  <c r="Q57" i="35" s="1"/>
  <c r="T57" i="35" s="1"/>
  <c r="W57" i="35" s="1"/>
  <c r="S56" i="35" a="1"/>
  <c r="S56" i="35" s="1"/>
  <c r="V56" i="35" s="1"/>
  <c r="Y56" i="35" s="1"/>
  <c r="R56" i="35" a="1"/>
  <c r="R56" i="35" s="1"/>
  <c r="U56" i="35" s="1"/>
  <c r="X56" i="35" s="1"/>
  <c r="Q56" i="35" a="1"/>
  <c r="Q56" i="35" s="1"/>
  <c r="T56" i="35" s="1"/>
  <c r="W56" i="35" s="1"/>
  <c r="S55" i="35" a="1"/>
  <c r="S55" i="35" s="1"/>
  <c r="V55" i="35" s="1"/>
  <c r="R55" i="35" a="1"/>
  <c r="R55" i="35" s="1"/>
  <c r="U55" i="35" s="1"/>
  <c r="X55" i="35" s="1"/>
  <c r="Q55" i="35" a="1"/>
  <c r="Q55" i="35" s="1"/>
  <c r="T55" i="35" s="1"/>
  <c r="W55" i="35" s="1"/>
  <c r="S54" i="35" a="1"/>
  <c r="S54" i="35" s="1"/>
  <c r="V54" i="35" s="1"/>
  <c r="R54" i="35" a="1"/>
  <c r="R54" i="35" s="1"/>
  <c r="U54" i="35" s="1"/>
  <c r="X54" i="35" s="1"/>
  <c r="Q54" i="35" a="1"/>
  <c r="Q54" i="35" s="1"/>
  <c r="T54" i="35" s="1"/>
  <c r="W54" i="35" s="1"/>
  <c r="S53" i="35" a="1"/>
  <c r="S53" i="35" s="1"/>
  <c r="V53" i="35" s="1"/>
  <c r="R53" i="35" a="1"/>
  <c r="R53" i="35" s="1"/>
  <c r="U53" i="35" s="1"/>
  <c r="X53" i="35" s="1"/>
  <c r="Q53" i="35" a="1"/>
  <c r="Q53" i="35" s="1"/>
  <c r="T53" i="35" s="1"/>
  <c r="W53" i="35" s="1"/>
  <c r="S52" i="35" a="1"/>
  <c r="S52" i="35" s="1"/>
  <c r="V52" i="35" s="1"/>
  <c r="Y52" i="35" s="1"/>
  <c r="R52" i="35" a="1"/>
  <c r="R52" i="35" s="1"/>
  <c r="U52" i="35" s="1"/>
  <c r="X52" i="35" s="1"/>
  <c r="Q52" i="35" a="1"/>
  <c r="Q52" i="35" s="1"/>
  <c r="T52" i="35" s="1"/>
  <c r="W52" i="35" s="1"/>
  <c r="S51" i="35" a="1"/>
  <c r="S51" i="35" s="1"/>
  <c r="V51" i="35" s="1"/>
  <c r="R51" i="35" a="1"/>
  <c r="R51" i="35" s="1"/>
  <c r="U51" i="35" s="1"/>
  <c r="X51" i="35" s="1"/>
  <c r="Q51" i="35" a="1"/>
  <c r="Q51" i="35" s="1"/>
  <c r="T51" i="35" s="1"/>
  <c r="W51" i="35" s="1"/>
  <c r="S50" i="35" a="1"/>
  <c r="S50" i="35" s="1"/>
  <c r="V50" i="35" s="1"/>
  <c r="R50" i="35" a="1"/>
  <c r="R50" i="35" s="1"/>
  <c r="U50" i="35" s="1"/>
  <c r="X50" i="35" s="1"/>
  <c r="Q50" i="35" a="1"/>
  <c r="Q50" i="35" s="1"/>
  <c r="T50" i="35" s="1"/>
  <c r="W50" i="35" s="1"/>
  <c r="S49" i="35" a="1"/>
  <c r="S49" i="35" s="1"/>
  <c r="V49" i="35" s="1"/>
  <c r="R49" i="35" a="1"/>
  <c r="R49" i="35" s="1"/>
  <c r="U49" i="35" s="1"/>
  <c r="X49" i="35" s="1"/>
  <c r="Q49" i="35" a="1"/>
  <c r="Q49" i="35" s="1"/>
  <c r="T49" i="35" s="1"/>
  <c r="W49" i="35" s="1"/>
  <c r="S48" i="35" a="1"/>
  <c r="S48" i="35" s="1"/>
  <c r="V48" i="35" s="1"/>
  <c r="R48" i="35" a="1"/>
  <c r="R48" i="35" s="1"/>
  <c r="U48" i="35" s="1"/>
  <c r="X48" i="35" s="1"/>
  <c r="Q48" i="35" a="1"/>
  <c r="Q48" i="35" s="1"/>
  <c r="T48" i="35" s="1"/>
  <c r="W48" i="35" s="1"/>
  <c r="S47" i="35" a="1"/>
  <c r="S47" i="35" s="1"/>
  <c r="V47" i="35" s="1"/>
  <c r="Y47" i="35" s="1"/>
  <c r="R47" i="35" a="1"/>
  <c r="R47" i="35" s="1"/>
  <c r="U47" i="35" s="1"/>
  <c r="X47" i="35" s="1"/>
  <c r="Q47" i="35" a="1"/>
  <c r="Q47" i="35" s="1"/>
  <c r="T47" i="35" s="1"/>
  <c r="W47" i="35" s="1"/>
  <c r="S46" i="35" a="1"/>
  <c r="S46" i="35" s="1"/>
  <c r="V46" i="35" s="1"/>
  <c r="R46" i="35" a="1"/>
  <c r="R46" i="35" s="1"/>
  <c r="U46" i="35" s="1"/>
  <c r="X46" i="35" s="1"/>
  <c r="Q46" i="35" a="1"/>
  <c r="Q46" i="35" s="1"/>
  <c r="T46" i="35" s="1"/>
  <c r="W46" i="35" s="1"/>
  <c r="S45" i="35" a="1"/>
  <c r="S45" i="35" s="1"/>
  <c r="V45" i="35" s="1"/>
  <c r="R45" i="35" a="1"/>
  <c r="R45" i="35" s="1"/>
  <c r="U45" i="35" s="1"/>
  <c r="X45" i="35" s="1"/>
  <c r="Q45" i="35" a="1"/>
  <c r="Q45" i="35" s="1"/>
  <c r="T45" i="35" s="1"/>
  <c r="W45" i="35" s="1"/>
  <c r="S44" i="35" a="1"/>
  <c r="S44" i="35" s="1"/>
  <c r="V44" i="35" s="1"/>
  <c r="R44" i="35" a="1"/>
  <c r="R44" i="35" s="1"/>
  <c r="U44" i="35" s="1"/>
  <c r="X44" i="35" s="1"/>
  <c r="Q44" i="35" a="1"/>
  <c r="Q44" i="35" s="1"/>
  <c r="T44" i="35" s="1"/>
  <c r="W44" i="35" s="1"/>
  <c r="S43" i="35" a="1"/>
  <c r="S43" i="35" s="1"/>
  <c r="V43" i="35" s="1"/>
  <c r="R43" i="35" a="1"/>
  <c r="R43" i="35" s="1"/>
  <c r="U43" i="35" s="1"/>
  <c r="X43" i="35" s="1"/>
  <c r="Q43" i="35" a="1"/>
  <c r="Q43" i="35" s="1"/>
  <c r="T43" i="35" s="1"/>
  <c r="W43" i="35" s="1"/>
  <c r="S42" i="35" a="1"/>
  <c r="S42" i="35" s="1"/>
  <c r="V42" i="35" s="1"/>
  <c r="AA42" i="35" s="1"/>
  <c r="R42" i="35" a="1"/>
  <c r="R42" i="35" s="1"/>
  <c r="U42" i="35" s="1"/>
  <c r="X42" i="35" s="1"/>
  <c r="Q42" i="35" a="1"/>
  <c r="Q42" i="35" s="1"/>
  <c r="T42" i="35" s="1"/>
  <c r="W42" i="35" s="1"/>
  <c r="S41" i="35" a="1"/>
  <c r="S41" i="35" s="1"/>
  <c r="V41" i="35" s="1"/>
  <c r="Y41" i="35" s="1"/>
  <c r="R41" i="35" a="1"/>
  <c r="R41" i="35" s="1"/>
  <c r="U41" i="35" s="1"/>
  <c r="X41" i="35" s="1"/>
  <c r="Q41" i="35" a="1"/>
  <c r="Q41" i="35" s="1"/>
  <c r="T41" i="35" s="1"/>
  <c r="W41" i="35" s="1"/>
  <c r="S40" i="35" a="1"/>
  <c r="S40" i="35" s="1"/>
  <c r="V40" i="35" s="1"/>
  <c r="R40" i="35" a="1"/>
  <c r="R40" i="35" s="1"/>
  <c r="U40" i="35" s="1"/>
  <c r="X40" i="35" s="1"/>
  <c r="Q40" i="35" a="1"/>
  <c r="Q40" i="35" s="1"/>
  <c r="T40" i="35" s="1"/>
  <c r="W40" i="35" s="1"/>
  <c r="S39" i="35" a="1"/>
  <c r="S39" i="35" s="1"/>
  <c r="V39" i="35" s="1"/>
  <c r="R39" i="35" a="1"/>
  <c r="R39" i="35" s="1"/>
  <c r="U39" i="35" s="1"/>
  <c r="X39" i="35" s="1"/>
  <c r="Q39" i="35" a="1"/>
  <c r="Q39" i="35" s="1"/>
  <c r="T39" i="35" s="1"/>
  <c r="W39" i="35" s="1"/>
  <c r="S38" i="35" a="1"/>
  <c r="S38" i="35" s="1"/>
  <c r="V38" i="35" s="1"/>
  <c r="R38" i="35" a="1"/>
  <c r="R38" i="35" s="1"/>
  <c r="U38" i="35" s="1"/>
  <c r="X38" i="35" s="1"/>
  <c r="Q38" i="35" a="1"/>
  <c r="Q38" i="35" s="1"/>
  <c r="T38" i="35" s="1"/>
  <c r="W38" i="35" s="1"/>
  <c r="S37" i="35" a="1"/>
  <c r="S37" i="35" s="1"/>
  <c r="V37" i="35" s="1"/>
  <c r="Y37" i="35" s="1"/>
  <c r="R37" i="35" a="1"/>
  <c r="R37" i="35" s="1"/>
  <c r="U37" i="35" s="1"/>
  <c r="X37" i="35" s="1"/>
  <c r="Q37" i="35" a="1"/>
  <c r="Q37" i="35" s="1"/>
  <c r="T37" i="35" s="1"/>
  <c r="W37" i="35" s="1"/>
  <c r="S36" i="35" a="1"/>
  <c r="S36" i="35" s="1"/>
  <c r="V36" i="35" s="1"/>
  <c r="R36" i="35" a="1"/>
  <c r="R36" i="35" s="1"/>
  <c r="U36" i="35" s="1"/>
  <c r="X36" i="35" s="1"/>
  <c r="Q36" i="35" a="1"/>
  <c r="Q36" i="35" s="1"/>
  <c r="T36" i="35" s="1"/>
  <c r="W36" i="35" s="1"/>
  <c r="S35" i="35" a="1"/>
  <c r="S35" i="35" s="1"/>
  <c r="V35" i="35" s="1"/>
  <c r="R35" i="35" a="1"/>
  <c r="R35" i="35" s="1"/>
  <c r="U35" i="35" s="1"/>
  <c r="X35" i="35" s="1"/>
  <c r="Q35" i="35" a="1"/>
  <c r="Q35" i="35" s="1"/>
  <c r="T35" i="35" s="1"/>
  <c r="W35" i="35" s="1"/>
  <c r="S34" i="35" a="1"/>
  <c r="S34" i="35" s="1"/>
  <c r="V34" i="35" s="1"/>
  <c r="AA34" i="35" s="1"/>
  <c r="R34" i="35" a="1"/>
  <c r="R34" i="35" s="1"/>
  <c r="U34" i="35" s="1"/>
  <c r="X34" i="35" s="1"/>
  <c r="Q34" i="35" a="1"/>
  <c r="Q34" i="35" s="1"/>
  <c r="T34" i="35" s="1"/>
  <c r="W34" i="35" s="1"/>
  <c r="S33" i="35" a="1"/>
  <c r="S33" i="35" s="1"/>
  <c r="V33" i="35" s="1"/>
  <c r="R33" i="35" a="1"/>
  <c r="R33" i="35" s="1"/>
  <c r="U33" i="35" s="1"/>
  <c r="X33" i="35" s="1"/>
  <c r="Q33" i="35" a="1"/>
  <c r="Q33" i="35" s="1"/>
  <c r="T33" i="35" s="1"/>
  <c r="W33" i="35" s="1"/>
  <c r="S32" i="35" a="1"/>
  <c r="S32" i="35" s="1"/>
  <c r="V32" i="35" s="1"/>
  <c r="R32" i="35" a="1"/>
  <c r="R32" i="35" s="1"/>
  <c r="U32" i="35" s="1"/>
  <c r="X32" i="35" s="1"/>
  <c r="Q32" i="35" a="1"/>
  <c r="Q32" i="35" s="1"/>
  <c r="T32" i="35" s="1"/>
  <c r="W32" i="35" s="1"/>
  <c r="S31" i="35" a="1"/>
  <c r="S31" i="35" s="1"/>
  <c r="V31" i="35" s="1"/>
  <c r="R31" i="35" a="1"/>
  <c r="R31" i="35" s="1"/>
  <c r="U31" i="35" s="1"/>
  <c r="X31" i="35" s="1"/>
  <c r="Q31" i="35" a="1"/>
  <c r="Q31" i="35" s="1"/>
  <c r="T31" i="35" s="1"/>
  <c r="W31" i="35" s="1"/>
  <c r="S30" i="35" a="1"/>
  <c r="S30" i="35" s="1"/>
  <c r="V30" i="35" s="1"/>
  <c r="R30" i="35" a="1"/>
  <c r="R30" i="35" s="1"/>
  <c r="U30" i="35" s="1"/>
  <c r="X30" i="35" s="1"/>
  <c r="Q30" i="35" a="1"/>
  <c r="Q30" i="35" s="1"/>
  <c r="T30" i="35" s="1"/>
  <c r="W30" i="35" s="1"/>
  <c r="S29" i="35" a="1"/>
  <c r="S29" i="35" s="1"/>
  <c r="V29" i="35" s="1"/>
  <c r="R29" i="35" a="1"/>
  <c r="R29" i="35" s="1"/>
  <c r="U29" i="35" s="1"/>
  <c r="X29" i="35" s="1"/>
  <c r="Q29" i="35" a="1"/>
  <c r="Q29" i="35" s="1"/>
  <c r="T29" i="35" s="1"/>
  <c r="W29" i="35" s="1"/>
  <c r="S28" i="35" a="1"/>
  <c r="S28" i="35" s="1"/>
  <c r="V28" i="35" s="1"/>
  <c r="R28" i="35" a="1"/>
  <c r="R28" i="35" s="1"/>
  <c r="U28" i="35" s="1"/>
  <c r="X28" i="35" s="1"/>
  <c r="Q28" i="35" a="1"/>
  <c r="Q28" i="35" s="1"/>
  <c r="T28" i="35" s="1"/>
  <c r="W28" i="35" s="1"/>
  <c r="S27" i="35" a="1"/>
  <c r="S27" i="35" s="1"/>
  <c r="V27" i="35" s="1"/>
  <c r="R27" i="35" a="1"/>
  <c r="R27" i="35" s="1"/>
  <c r="U27" i="35" s="1"/>
  <c r="X27" i="35" s="1"/>
  <c r="Q27" i="35" a="1"/>
  <c r="Q27" i="35" s="1"/>
  <c r="T27" i="35" s="1"/>
  <c r="W27" i="35" s="1"/>
  <c r="S26" i="35" a="1"/>
  <c r="S26" i="35" s="1"/>
  <c r="V26" i="35" s="1"/>
  <c r="R26" i="35" a="1"/>
  <c r="R26" i="35" s="1"/>
  <c r="U26" i="35" s="1"/>
  <c r="X26" i="35" s="1"/>
  <c r="Q26" i="35" a="1"/>
  <c r="Q26" i="35" s="1"/>
  <c r="T26" i="35" s="1"/>
  <c r="W26" i="35" s="1"/>
  <c r="S25" i="35" a="1"/>
  <c r="S25" i="35" s="1"/>
  <c r="V25" i="35" s="1"/>
  <c r="R25" i="35" a="1"/>
  <c r="R25" i="35" s="1"/>
  <c r="U25" i="35" s="1"/>
  <c r="X25" i="35" s="1"/>
  <c r="Q25" i="35" a="1"/>
  <c r="Q25" i="35" s="1"/>
  <c r="T25" i="35" s="1"/>
  <c r="W25" i="35" s="1"/>
  <c r="S24" i="35" a="1"/>
  <c r="S24" i="35" s="1"/>
  <c r="V24" i="35" s="1"/>
  <c r="R24" i="35" a="1"/>
  <c r="R24" i="35" s="1"/>
  <c r="U24" i="35" s="1"/>
  <c r="X24" i="35" s="1"/>
  <c r="Q24" i="35" a="1"/>
  <c r="Q24" i="35" s="1"/>
  <c r="T24" i="35" s="1"/>
  <c r="W24" i="35" s="1"/>
  <c r="S23" i="35" a="1"/>
  <c r="S23" i="35" s="1"/>
  <c r="V23" i="35" s="1"/>
  <c r="R23" i="35" a="1"/>
  <c r="R23" i="35" s="1"/>
  <c r="U23" i="35" s="1"/>
  <c r="X23" i="35" s="1"/>
  <c r="Q23" i="35" a="1"/>
  <c r="Q23" i="35" s="1"/>
  <c r="T23" i="35" s="1"/>
  <c r="W23" i="35" s="1"/>
  <c r="S22" i="35" a="1"/>
  <c r="S22" i="35" s="1"/>
  <c r="V22" i="35" s="1"/>
  <c r="R22" i="35" a="1"/>
  <c r="R22" i="35" s="1"/>
  <c r="U22" i="35" s="1"/>
  <c r="X22" i="35" s="1"/>
  <c r="Q22" i="35" a="1"/>
  <c r="Q22" i="35" s="1"/>
  <c r="T22" i="35" s="1"/>
  <c r="W22" i="35" s="1"/>
  <c r="S21" i="35" a="1"/>
  <c r="S21" i="35" s="1"/>
  <c r="V21" i="35" s="1"/>
  <c r="R21" i="35" a="1"/>
  <c r="R21" i="35" s="1"/>
  <c r="U21" i="35" s="1"/>
  <c r="X21" i="35" s="1"/>
  <c r="Q21" i="35" a="1"/>
  <c r="Q21" i="35" s="1"/>
  <c r="T21" i="35" s="1"/>
  <c r="W21" i="35" s="1"/>
  <c r="S20" i="35" a="1"/>
  <c r="S20" i="35" s="1"/>
  <c r="V20" i="35" s="1"/>
  <c r="R20" i="35" a="1"/>
  <c r="R20" i="35" s="1"/>
  <c r="U20" i="35" s="1"/>
  <c r="X20" i="35" s="1"/>
  <c r="Q20" i="35" a="1"/>
  <c r="Q20" i="35" s="1"/>
  <c r="T20" i="35" s="1"/>
  <c r="W20" i="35" s="1"/>
  <c r="S19" i="35" a="1"/>
  <c r="S19" i="35" s="1"/>
  <c r="V19" i="35" s="1"/>
  <c r="R19" i="35" a="1"/>
  <c r="R19" i="35" s="1"/>
  <c r="U19" i="35" s="1"/>
  <c r="X19" i="35" s="1"/>
  <c r="Q19" i="35" a="1"/>
  <c r="Q19" i="35" s="1"/>
  <c r="T19" i="35" s="1"/>
  <c r="W19" i="35" s="1"/>
  <c r="S18" i="35" a="1"/>
  <c r="S18" i="35" s="1"/>
  <c r="V18" i="35" s="1"/>
  <c r="R18" i="35" a="1"/>
  <c r="R18" i="35" s="1"/>
  <c r="U18" i="35" s="1"/>
  <c r="X18" i="35" s="1"/>
  <c r="Q18" i="35" a="1"/>
  <c r="Q18" i="35" s="1"/>
  <c r="T18" i="35" s="1"/>
  <c r="W18" i="35" s="1"/>
  <c r="S17" i="35" a="1"/>
  <c r="S17" i="35" s="1"/>
  <c r="V17" i="35" s="1"/>
  <c r="R17" i="35" a="1"/>
  <c r="R17" i="35" s="1"/>
  <c r="U17" i="35" s="1"/>
  <c r="X17" i="35" s="1"/>
  <c r="Q17" i="35" a="1"/>
  <c r="Q17" i="35" s="1"/>
  <c r="T17" i="35" s="1"/>
  <c r="W17" i="35" s="1"/>
  <c r="S16" i="35" a="1"/>
  <c r="S16" i="35" s="1"/>
  <c r="V16" i="35" s="1"/>
  <c r="R16" i="35" a="1"/>
  <c r="R16" i="35" s="1"/>
  <c r="U16" i="35" s="1"/>
  <c r="X16" i="35" s="1"/>
  <c r="Q16" i="35" a="1"/>
  <c r="Q16" i="35" s="1"/>
  <c r="T16" i="35" s="1"/>
  <c r="W16" i="35" s="1"/>
  <c r="S15" i="35" a="1"/>
  <c r="S15" i="35" s="1"/>
  <c r="V15" i="35" s="1"/>
  <c r="AA15" i="35" s="1"/>
  <c r="R15" i="35" a="1"/>
  <c r="R15" i="35" s="1"/>
  <c r="U15" i="35" s="1"/>
  <c r="X15" i="35" s="1"/>
  <c r="Q15" i="35" a="1"/>
  <c r="Q15" i="35" s="1"/>
  <c r="T15" i="35" s="1"/>
  <c r="W15" i="35" s="1"/>
  <c r="S14" i="35" a="1"/>
  <c r="S14" i="35" s="1"/>
  <c r="V14" i="35" s="1"/>
  <c r="R14" i="35" a="1"/>
  <c r="R14" i="35" s="1"/>
  <c r="U14" i="35" s="1"/>
  <c r="X14" i="35" s="1"/>
  <c r="Q14" i="35" a="1"/>
  <c r="Q14" i="35" s="1"/>
  <c r="T14" i="35" s="1"/>
  <c r="W14" i="35" s="1"/>
  <c r="S13" i="35" a="1"/>
  <c r="S13" i="35" s="1"/>
  <c r="V13" i="35" s="1"/>
  <c r="R13" i="35" a="1"/>
  <c r="R13" i="35" s="1"/>
  <c r="U13" i="35" s="1"/>
  <c r="X13" i="35" s="1"/>
  <c r="Q13" i="35" a="1"/>
  <c r="Q13" i="35" s="1"/>
  <c r="T13" i="35" s="1"/>
  <c r="W13" i="35" s="1"/>
  <c r="S12" i="35" a="1"/>
  <c r="S12" i="35" s="1"/>
  <c r="V12" i="35" s="1"/>
  <c r="AA12" i="35" s="1"/>
  <c r="R12" i="35" a="1"/>
  <c r="R12" i="35" s="1"/>
  <c r="U12" i="35" s="1"/>
  <c r="X12" i="35" s="1"/>
  <c r="Q12" i="35" a="1"/>
  <c r="Q12" i="35" s="1"/>
  <c r="T12" i="35" s="1"/>
  <c r="W12" i="35" s="1"/>
  <c r="S11" i="35" a="1"/>
  <c r="S11" i="35" s="1"/>
  <c r="V11" i="35" s="1"/>
  <c r="Y11" i="35" s="1"/>
  <c r="R11" i="35" a="1"/>
  <c r="R11" i="35" s="1"/>
  <c r="U11" i="35" s="1"/>
  <c r="X11" i="35" s="1"/>
  <c r="Q11" i="35" a="1"/>
  <c r="Q11" i="35" s="1"/>
  <c r="T11" i="35" s="1"/>
  <c r="W11" i="35" s="1"/>
  <c r="S10" i="35" a="1"/>
  <c r="S10" i="35" s="1"/>
  <c r="V10" i="35" s="1"/>
  <c r="R10" i="35" a="1"/>
  <c r="R10" i="35" s="1"/>
  <c r="U10" i="35" s="1"/>
  <c r="X10" i="35" s="1"/>
  <c r="Q10" i="35" a="1"/>
  <c r="Q10" i="35" s="1"/>
  <c r="T10" i="35" s="1"/>
  <c r="W10" i="35" s="1"/>
  <c r="S9" i="35" a="1"/>
  <c r="S9" i="35" s="1"/>
  <c r="V9" i="35" s="1"/>
  <c r="R9" i="35" a="1"/>
  <c r="R9" i="35" s="1"/>
  <c r="U9" i="35" s="1"/>
  <c r="X9" i="35" s="1"/>
  <c r="Q9" i="35" a="1"/>
  <c r="Q9" i="35" s="1"/>
  <c r="T9" i="35" s="1"/>
  <c r="W9" i="35" s="1"/>
  <c r="S8" i="35" a="1"/>
  <c r="S8" i="35" s="1"/>
  <c r="V8" i="35" s="1"/>
  <c r="R8" i="35" a="1"/>
  <c r="R8" i="35" s="1"/>
  <c r="U8" i="35" s="1"/>
  <c r="X8" i="35" s="1"/>
  <c r="Q8" i="35" a="1"/>
  <c r="Q8" i="35" s="1"/>
  <c r="T8" i="35" s="1"/>
  <c r="W8" i="35" s="1"/>
  <c r="S7" i="35" a="1"/>
  <c r="S7" i="35" s="1"/>
  <c r="V7" i="35" s="1"/>
  <c r="R7" i="35" a="1"/>
  <c r="R7" i="35" s="1"/>
  <c r="U7" i="35" s="1"/>
  <c r="X7" i="35" s="1"/>
  <c r="Q7" i="35" a="1"/>
  <c r="Q7" i="35" s="1"/>
  <c r="T7" i="35" s="1"/>
  <c r="W7" i="35" s="1"/>
  <c r="S6" i="35" a="1"/>
  <c r="S6" i="35" s="1"/>
  <c r="V6" i="35" s="1"/>
  <c r="R6" i="35" a="1"/>
  <c r="R6" i="35" s="1"/>
  <c r="U6" i="35" s="1"/>
  <c r="X6" i="35" s="1"/>
  <c r="Q6" i="35" a="1"/>
  <c r="Q6" i="35" s="1"/>
  <c r="T6" i="35" s="1"/>
  <c r="W6" i="35" s="1"/>
  <c r="S5" i="35" a="1"/>
  <c r="S5" i="35" s="1"/>
  <c r="V5" i="35" s="1"/>
  <c r="R5" i="35" a="1"/>
  <c r="R5" i="35" s="1"/>
  <c r="U5" i="35" s="1"/>
  <c r="X5" i="35" s="1"/>
  <c r="Q5" i="35" a="1"/>
  <c r="Q5" i="35" s="1"/>
  <c r="T5" i="35" s="1"/>
  <c r="W5" i="35" s="1"/>
  <c r="S4" i="35" a="1"/>
  <c r="S4" i="35" s="1"/>
  <c r="V4" i="35" s="1"/>
  <c r="R4" i="35" a="1"/>
  <c r="R4" i="35" s="1"/>
  <c r="U4" i="35" s="1"/>
  <c r="X4" i="35" s="1"/>
  <c r="Q4" i="35" a="1"/>
  <c r="Q4" i="35" s="1"/>
  <c r="T4" i="35" s="1"/>
  <c r="W4" i="35" s="1"/>
  <c r="S3" i="35" a="1"/>
  <c r="S3" i="35" s="1"/>
  <c r="V3" i="35" s="1"/>
  <c r="R3" i="35" a="1"/>
  <c r="R3" i="35" s="1"/>
  <c r="U3" i="35" s="1"/>
  <c r="X3" i="35" s="1"/>
  <c r="Q3" i="35" a="1"/>
  <c r="Q3" i="35" s="1"/>
  <c r="T3" i="35" s="1"/>
  <c r="W3" i="35" s="1"/>
  <c r="S21" i="10" a="1"/>
  <c r="S21" i="10" s="1"/>
  <c r="V21" i="10" s="1"/>
  <c r="S22" i="10" a="1"/>
  <c r="S22" i="10" s="1"/>
  <c r="S23" i="10" a="1"/>
  <c r="S23" i="10" s="1"/>
  <c r="V23" i="10" s="1"/>
  <c r="S24" i="10" a="1"/>
  <c r="S24" i="10" s="1"/>
  <c r="V24" i="10" s="1"/>
  <c r="S25" i="10" a="1"/>
  <c r="S25" i="10" s="1"/>
  <c r="V25" i="10" s="1"/>
  <c r="S26" i="10" a="1"/>
  <c r="S26" i="10" s="1"/>
  <c r="V26" i="10" s="1"/>
  <c r="S27" i="10" a="1"/>
  <c r="S27" i="10" s="1"/>
  <c r="V27" i="10" s="1"/>
  <c r="S28" i="10" a="1"/>
  <c r="S28" i="10" s="1"/>
  <c r="V28" i="10" s="1"/>
  <c r="S29" i="10" a="1"/>
  <c r="S29" i="10" s="1"/>
  <c r="V29" i="10" s="1"/>
  <c r="S30" i="10" a="1"/>
  <c r="S30" i="10" s="1"/>
  <c r="V30" i="10" s="1"/>
  <c r="S31" i="10" a="1"/>
  <c r="S31" i="10" s="1"/>
  <c r="V31" i="10" s="1"/>
  <c r="S32" i="10" a="1"/>
  <c r="S32" i="10" s="1"/>
  <c r="V32" i="10" s="1"/>
  <c r="S33" i="10" a="1"/>
  <c r="S33" i="10" s="1"/>
  <c r="V33" i="10" s="1"/>
  <c r="S34" i="10" a="1"/>
  <c r="S34" i="10" s="1"/>
  <c r="V34" i="10" s="1"/>
  <c r="S35" i="10" a="1"/>
  <c r="S35" i="10" s="1"/>
  <c r="V35" i="10" s="1"/>
  <c r="S36" i="10" a="1"/>
  <c r="S36" i="10" s="1"/>
  <c r="V36" i="10" s="1"/>
  <c r="S37" i="10" a="1"/>
  <c r="S37" i="10" s="1"/>
  <c r="V37" i="10" s="1"/>
  <c r="S38" i="10" a="1"/>
  <c r="S38" i="10" s="1"/>
  <c r="V38" i="10" s="1"/>
  <c r="S39" i="10" a="1"/>
  <c r="S39" i="10" s="1"/>
  <c r="V39" i="10" s="1"/>
  <c r="S40" i="10" a="1"/>
  <c r="S40" i="10" s="1"/>
  <c r="V40" i="10" s="1"/>
  <c r="S41" i="10" a="1"/>
  <c r="S41" i="10" s="1"/>
  <c r="V41" i="10" s="1"/>
  <c r="S42" i="10" a="1"/>
  <c r="S42" i="10" s="1"/>
  <c r="V42" i="10" s="1"/>
  <c r="S43" i="10" a="1"/>
  <c r="S43" i="10" s="1"/>
  <c r="V43" i="10" s="1"/>
  <c r="S44" i="10" a="1"/>
  <c r="S44" i="10" s="1"/>
  <c r="V44" i="10" s="1"/>
  <c r="S45" i="10" a="1"/>
  <c r="S45" i="10" s="1"/>
  <c r="V45" i="10" s="1"/>
  <c r="S46" i="10" a="1"/>
  <c r="S46" i="10" s="1"/>
  <c r="V46" i="10" s="1"/>
  <c r="S47" i="10" a="1"/>
  <c r="S47" i="10" s="1"/>
  <c r="V47" i="10" s="1"/>
  <c r="S48" i="10" a="1"/>
  <c r="S48" i="10" s="1"/>
  <c r="V48" i="10" s="1"/>
  <c r="S49" i="10" a="1"/>
  <c r="S49" i="10" s="1"/>
  <c r="V49" i="10" s="1"/>
  <c r="S50" i="10" a="1"/>
  <c r="S50" i="10" s="1"/>
  <c r="V50" i="10" s="1"/>
  <c r="S51" i="10" a="1"/>
  <c r="S51" i="10" s="1"/>
  <c r="V51" i="10" s="1"/>
  <c r="S52" i="10" a="1"/>
  <c r="S52" i="10" s="1"/>
  <c r="V52" i="10" s="1"/>
  <c r="S53" i="10" a="1"/>
  <c r="S53" i="10" s="1"/>
  <c r="V53" i="10" s="1"/>
  <c r="S54" i="10" a="1"/>
  <c r="S54" i="10" s="1"/>
  <c r="V54" i="10" s="1"/>
  <c r="S55" i="10" a="1"/>
  <c r="S55" i="10" s="1"/>
  <c r="V55" i="10" s="1"/>
  <c r="S56" i="10" a="1"/>
  <c r="S56" i="10" s="1"/>
  <c r="V56" i="10" s="1"/>
  <c r="S57" i="10" a="1"/>
  <c r="S57" i="10" s="1"/>
  <c r="V57" i="10" s="1"/>
  <c r="S58" i="10" a="1"/>
  <c r="S58" i="10" s="1"/>
  <c r="V58" i="10" s="1"/>
  <c r="S59" i="10" a="1"/>
  <c r="S59" i="10" s="1"/>
  <c r="V59" i="10" s="1"/>
  <c r="S60" i="10" a="1"/>
  <c r="S60" i="10" s="1"/>
  <c r="V60" i="10" s="1"/>
  <c r="S61" i="10" a="1"/>
  <c r="S61" i="10" s="1"/>
  <c r="V61" i="10" s="1"/>
  <c r="S62" i="10" a="1"/>
  <c r="S62" i="10" s="1"/>
  <c r="V62" i="10" s="1"/>
  <c r="S63" i="10" a="1"/>
  <c r="S63" i="10" s="1"/>
  <c r="V63" i="10" s="1"/>
  <c r="S64" i="10" a="1"/>
  <c r="S64" i="10" s="1"/>
  <c r="V64" i="10" s="1"/>
  <c r="S65" i="10" a="1"/>
  <c r="S65" i="10" s="1"/>
  <c r="V65" i="10" s="1"/>
  <c r="S66" i="10" a="1"/>
  <c r="S66" i="10" s="1"/>
  <c r="V66" i="10" s="1"/>
  <c r="S67" i="10" a="1"/>
  <c r="S67" i="10" s="1"/>
  <c r="V67" i="10" s="1"/>
  <c r="S68" i="10" a="1"/>
  <c r="S68" i="10" s="1"/>
  <c r="V68" i="10" s="1"/>
  <c r="S69" i="10" a="1"/>
  <c r="S69" i="10" s="1"/>
  <c r="V69" i="10" s="1"/>
  <c r="S70" i="10" a="1"/>
  <c r="S70" i="10" s="1"/>
  <c r="V70" i="10" s="1"/>
  <c r="S71" i="10" a="1"/>
  <c r="S71" i="10" s="1"/>
  <c r="V71" i="10" s="1"/>
  <c r="S72" i="10" a="1"/>
  <c r="S72" i="10" s="1"/>
  <c r="V72" i="10" s="1"/>
  <c r="S73" i="10" a="1"/>
  <c r="S73" i="10" s="1"/>
  <c r="V73" i="10" s="1"/>
  <c r="S74" i="10" a="1"/>
  <c r="S74" i="10" s="1"/>
  <c r="V74" i="10" s="1"/>
  <c r="S75" i="10" a="1"/>
  <c r="S75" i="10" s="1"/>
  <c r="V75" i="10" s="1"/>
  <c r="S76" i="10" a="1"/>
  <c r="S76" i="10" s="1"/>
  <c r="V76" i="10" s="1"/>
  <c r="S77" i="10" a="1"/>
  <c r="S77" i="10" s="1"/>
  <c r="V77" i="10" s="1"/>
  <c r="S78" i="10" a="1"/>
  <c r="S78" i="10" s="1"/>
  <c r="V78" i="10" s="1"/>
  <c r="S79" i="10" a="1"/>
  <c r="S79" i="10" s="1"/>
  <c r="V79" i="10" s="1"/>
  <c r="S80" i="10" a="1"/>
  <c r="S80" i="10" s="1"/>
  <c r="V80" i="10" s="1"/>
  <c r="S81" i="10" a="1"/>
  <c r="S81" i="10" s="1"/>
  <c r="V81" i="10" s="1"/>
  <c r="S82" i="10" a="1"/>
  <c r="S82" i="10" s="1"/>
  <c r="V82" i="10" s="1"/>
  <c r="S83" i="10" a="1"/>
  <c r="S83" i="10" s="1"/>
  <c r="V83" i="10" s="1"/>
  <c r="S84" i="10" a="1"/>
  <c r="S84" i="10" s="1"/>
  <c r="V84" i="10" s="1"/>
  <c r="S85" i="10" a="1"/>
  <c r="S85" i="10" s="1"/>
  <c r="V85" i="10" s="1"/>
  <c r="S86" i="10" a="1"/>
  <c r="S86" i="10" s="1"/>
  <c r="V86" i="10" s="1"/>
  <c r="S87" i="10" a="1"/>
  <c r="S87" i="10" s="1"/>
  <c r="V87" i="10" s="1"/>
  <c r="S88" i="10" a="1"/>
  <c r="S88" i="10" s="1"/>
  <c r="V88" i="10" s="1"/>
  <c r="S89" i="10" a="1"/>
  <c r="S89" i="10" s="1"/>
  <c r="V89" i="10" s="1"/>
  <c r="S90" i="10" a="1"/>
  <c r="S90" i="10" s="1"/>
  <c r="V90" i="10" s="1"/>
  <c r="S91" i="10" a="1"/>
  <c r="S91" i="10" s="1"/>
  <c r="V91" i="10" s="1"/>
  <c r="S92" i="10" a="1"/>
  <c r="S92" i="10" s="1"/>
  <c r="V92" i="10" s="1"/>
  <c r="S93" i="10" a="1"/>
  <c r="S93" i="10" s="1"/>
  <c r="V93" i="10" s="1"/>
  <c r="S94" i="10" a="1"/>
  <c r="S94" i="10" s="1"/>
  <c r="V94" i="10" s="1"/>
  <c r="S95" i="10" a="1"/>
  <c r="S95" i="10" s="1"/>
  <c r="V95" i="10" s="1"/>
  <c r="S96" i="10" a="1"/>
  <c r="S96" i="10" s="1"/>
  <c r="V96" i="10" s="1"/>
  <c r="S97" i="10" a="1"/>
  <c r="S97" i="10" s="1"/>
  <c r="V97" i="10" s="1"/>
  <c r="S98" i="10" a="1"/>
  <c r="S98" i="10" s="1"/>
  <c r="V98" i="10" s="1"/>
  <c r="S99" i="10" a="1"/>
  <c r="S99" i="10" s="1"/>
  <c r="V99" i="10" s="1"/>
  <c r="S100" i="10" a="1"/>
  <c r="S100" i="10" s="1"/>
  <c r="V100" i="10" s="1"/>
  <c r="S101" i="10" a="1"/>
  <c r="S101" i="10" s="1"/>
  <c r="V101" i="10" s="1"/>
  <c r="S102" i="10" a="1"/>
  <c r="S102" i="10" s="1"/>
  <c r="V102" i="10" s="1"/>
  <c r="S103" i="10" a="1"/>
  <c r="S103" i="10" s="1"/>
  <c r="V103" i="10" s="1"/>
  <c r="S104" i="10" a="1"/>
  <c r="S104" i="10" s="1"/>
  <c r="V104" i="10" s="1"/>
  <c r="S105" i="10" a="1"/>
  <c r="S105" i="10" s="1"/>
  <c r="V105" i="10" s="1"/>
  <c r="S106" i="10" a="1"/>
  <c r="S106" i="10" s="1"/>
  <c r="V106" i="10" s="1"/>
  <c r="S107" i="10" a="1"/>
  <c r="S107" i="10" s="1"/>
  <c r="V107" i="10" s="1"/>
  <c r="S108" i="10" a="1"/>
  <c r="S108" i="10" s="1"/>
  <c r="V108" i="10" s="1"/>
  <c r="S109" i="10" a="1"/>
  <c r="S109" i="10" s="1"/>
  <c r="V109" i="10" s="1"/>
  <c r="S110" i="10" a="1"/>
  <c r="S110" i="10" s="1"/>
  <c r="V110" i="10" s="1"/>
  <c r="S111" i="10" a="1"/>
  <c r="S111" i="10" s="1"/>
  <c r="V111" i="10" s="1"/>
  <c r="S112" i="10" a="1"/>
  <c r="S112" i="10" s="1"/>
  <c r="V112" i="10" s="1"/>
  <c r="S113" i="10" a="1"/>
  <c r="S113" i="10" s="1"/>
  <c r="V113" i="10" s="1"/>
  <c r="S114" i="10" a="1"/>
  <c r="S114" i="10" s="1"/>
  <c r="V114" i="10" s="1"/>
  <c r="S115" i="10" a="1"/>
  <c r="S115" i="10" s="1"/>
  <c r="V115" i="10" s="1"/>
  <c r="S116" i="10" a="1"/>
  <c r="S116" i="10" s="1"/>
  <c r="V116" i="10" s="1"/>
  <c r="S117" i="10" a="1"/>
  <c r="S117" i="10" s="1"/>
  <c r="V117" i="10" s="1"/>
  <c r="S118" i="10" a="1"/>
  <c r="S118" i="10" s="1"/>
  <c r="V118" i="10" s="1"/>
  <c r="S119" i="10" a="1"/>
  <c r="S119" i="10" s="1"/>
  <c r="V119" i="10" s="1"/>
  <c r="S120" i="10" a="1"/>
  <c r="S120" i="10" s="1"/>
  <c r="V120" i="10" s="1"/>
  <c r="S121" i="10" a="1"/>
  <c r="S121" i="10" s="1"/>
  <c r="V121" i="10" s="1"/>
  <c r="S122" i="10" a="1"/>
  <c r="S122" i="10" s="1"/>
  <c r="V122" i="10" s="1"/>
  <c r="S123" i="10" a="1"/>
  <c r="S123" i="10" s="1"/>
  <c r="V123" i="10" s="1"/>
  <c r="S124" i="10" a="1"/>
  <c r="S124" i="10" s="1"/>
  <c r="V124" i="10" s="1"/>
  <c r="S125" i="10" a="1"/>
  <c r="S125" i="10" s="1"/>
  <c r="V125" i="10" s="1"/>
  <c r="S126" i="10" a="1"/>
  <c r="S126" i="10" s="1"/>
  <c r="V126" i="10" s="1"/>
  <c r="S127" i="10" a="1"/>
  <c r="S127" i="10" s="1"/>
  <c r="V127" i="10" s="1"/>
  <c r="S128" i="10" a="1"/>
  <c r="S128" i="10" s="1"/>
  <c r="V128" i="10" s="1"/>
  <c r="S129" i="10" a="1"/>
  <c r="S129" i="10" s="1"/>
  <c r="V129" i="10" s="1"/>
  <c r="S130" i="10" a="1"/>
  <c r="S130" i="10" s="1"/>
  <c r="V130" i="10" s="1"/>
  <c r="S131" i="10" a="1"/>
  <c r="S131" i="10" s="1"/>
  <c r="V131" i="10" s="1"/>
  <c r="S132" i="10" a="1"/>
  <c r="S132" i="10" s="1"/>
  <c r="V132" i="10" s="1"/>
  <c r="S133" i="10" a="1"/>
  <c r="S133" i="10" s="1"/>
  <c r="V133" i="10" s="1"/>
  <c r="S134" i="10" a="1"/>
  <c r="S134" i="10" s="1"/>
  <c r="V134" i="10" s="1"/>
  <c r="S135" i="10" a="1"/>
  <c r="S135" i="10" s="1"/>
  <c r="V135" i="10" s="1"/>
  <c r="S136" i="10" a="1"/>
  <c r="S136" i="10" s="1"/>
  <c r="V136" i="10" s="1"/>
  <c r="S137" i="10" a="1"/>
  <c r="S137" i="10" s="1"/>
  <c r="V137" i="10" s="1"/>
  <c r="S138" i="10" a="1"/>
  <c r="S138" i="10" s="1"/>
  <c r="V138" i="10" s="1"/>
  <c r="S139" i="10" a="1"/>
  <c r="S139" i="10" s="1"/>
  <c r="V139" i="10" s="1"/>
  <c r="S140" i="10" a="1"/>
  <c r="S140" i="10" s="1"/>
  <c r="V140" i="10" s="1"/>
  <c r="S141" i="10" a="1"/>
  <c r="S141" i="10" s="1"/>
  <c r="V141" i="10" s="1"/>
  <c r="S142" i="10" a="1"/>
  <c r="S142" i="10" s="1"/>
  <c r="V142" i="10" s="1"/>
  <c r="S143" i="10" a="1"/>
  <c r="S143" i="10" s="1"/>
  <c r="V143" i="10" s="1"/>
  <c r="S144" i="10" a="1"/>
  <c r="S144" i="10" s="1"/>
  <c r="V144" i="10" s="1"/>
  <c r="S145" i="10" a="1"/>
  <c r="S145" i="10" s="1"/>
  <c r="V145" i="10" s="1"/>
  <c r="S146" i="10" a="1"/>
  <c r="S146" i="10" s="1"/>
  <c r="V146" i="10" s="1"/>
  <c r="S147" i="10" a="1"/>
  <c r="S147" i="10" s="1"/>
  <c r="V147" i="10" s="1"/>
  <c r="S148" i="10" a="1"/>
  <c r="S148" i="10" s="1"/>
  <c r="V148" i="10" s="1"/>
  <c r="S149" i="10" a="1"/>
  <c r="S149" i="10" s="1"/>
  <c r="V149" i="10" s="1"/>
  <c r="S150" i="10" a="1"/>
  <c r="S150" i="10" s="1"/>
  <c r="V150" i="10" s="1"/>
  <c r="S151" i="10" a="1"/>
  <c r="S151" i="10" s="1"/>
  <c r="V151" i="10" s="1"/>
  <c r="S152" i="10" a="1"/>
  <c r="S152" i="10" s="1"/>
  <c r="V152" i="10" s="1"/>
  <c r="S153" i="10" a="1"/>
  <c r="S153" i="10" s="1"/>
  <c r="V153" i="10" s="1"/>
  <c r="S154" i="10" a="1"/>
  <c r="S154" i="10" s="1"/>
  <c r="V154" i="10" s="1"/>
  <c r="S155" i="10" a="1"/>
  <c r="S155" i="10" s="1"/>
  <c r="V155" i="10" s="1"/>
  <c r="S156" i="10" a="1"/>
  <c r="S156" i="10" s="1"/>
  <c r="V156" i="10" s="1"/>
  <c r="S157" i="10" a="1"/>
  <c r="S157" i="10" s="1"/>
  <c r="V157" i="10" s="1"/>
  <c r="S158" i="10" a="1"/>
  <c r="S158" i="10" s="1"/>
  <c r="V158" i="10" s="1"/>
  <c r="S159" i="10" a="1"/>
  <c r="S159" i="10" s="1"/>
  <c r="V159" i="10" s="1"/>
  <c r="S160" i="10" a="1"/>
  <c r="S160" i="10" s="1"/>
  <c r="V160" i="10" s="1"/>
  <c r="S161" i="10" a="1"/>
  <c r="S161" i="10" s="1"/>
  <c r="V161" i="10" s="1"/>
  <c r="S162" i="10" a="1"/>
  <c r="S162" i="10" s="1"/>
  <c r="V162" i="10" s="1"/>
  <c r="S163" i="10" a="1"/>
  <c r="S163" i="10" s="1"/>
  <c r="V163" i="10" s="1"/>
  <c r="S164" i="10" a="1"/>
  <c r="S164" i="10" s="1"/>
  <c r="V164" i="10" s="1"/>
  <c r="S165" i="10" a="1"/>
  <c r="S165" i="10" s="1"/>
  <c r="V165" i="10" s="1"/>
  <c r="S166" i="10" a="1"/>
  <c r="S166" i="10" s="1"/>
  <c r="V166" i="10" s="1"/>
  <c r="S167" i="10" a="1"/>
  <c r="S167" i="10" s="1"/>
  <c r="V167" i="10" s="1"/>
  <c r="S168" i="10" a="1"/>
  <c r="S168" i="10" s="1"/>
  <c r="V168" i="10" s="1"/>
  <c r="S169" i="10" a="1"/>
  <c r="S169" i="10" s="1"/>
  <c r="V169" i="10" s="1"/>
  <c r="S170" i="10" a="1"/>
  <c r="S170" i="10" s="1"/>
  <c r="V170" i="10" s="1"/>
  <c r="S171" i="10" a="1"/>
  <c r="S171" i="10" s="1"/>
  <c r="V171" i="10" s="1"/>
  <c r="S172" i="10" a="1"/>
  <c r="S172" i="10" s="1"/>
  <c r="V172" i="10" s="1"/>
  <c r="S173" i="10" a="1"/>
  <c r="S173" i="10" s="1"/>
  <c r="V173" i="10" s="1"/>
  <c r="S174" i="10" a="1"/>
  <c r="S174" i="10" s="1"/>
  <c r="V174" i="10" s="1"/>
  <c r="S175" i="10" a="1"/>
  <c r="S175" i="10" s="1"/>
  <c r="V175" i="10" s="1"/>
  <c r="S176" i="10" a="1"/>
  <c r="S176" i="10" s="1"/>
  <c r="V176" i="10" s="1"/>
  <c r="S177" i="10" a="1"/>
  <c r="S177" i="10" s="1"/>
  <c r="V177" i="10" s="1"/>
  <c r="S178" i="10" a="1"/>
  <c r="S178" i="10" s="1"/>
  <c r="V178" i="10" s="1"/>
  <c r="S179" i="10" a="1"/>
  <c r="S179" i="10" s="1"/>
  <c r="V179" i="10" s="1"/>
  <c r="S180" i="10" a="1"/>
  <c r="S180" i="10" s="1"/>
  <c r="V180" i="10" s="1"/>
  <c r="S181" i="10" a="1"/>
  <c r="S181" i="10" s="1"/>
  <c r="V181" i="10" s="1"/>
  <c r="S182" i="10" a="1"/>
  <c r="S182" i="10" s="1"/>
  <c r="V182" i="10" s="1"/>
  <c r="S183" i="10" a="1"/>
  <c r="S183" i="10" s="1"/>
  <c r="V183" i="10" s="1"/>
  <c r="S184" i="10" a="1"/>
  <c r="S184" i="10" s="1"/>
  <c r="V184" i="10" s="1"/>
  <c r="S185" i="10" a="1"/>
  <c r="S185" i="10" s="1"/>
  <c r="V185" i="10" s="1"/>
  <c r="S186" i="10" a="1"/>
  <c r="S186" i="10" s="1"/>
  <c r="V186" i="10" s="1"/>
  <c r="S187" i="10" a="1"/>
  <c r="S187" i="10" s="1"/>
  <c r="V187" i="10" s="1"/>
  <c r="S188" i="10" a="1"/>
  <c r="S188" i="10" s="1"/>
  <c r="V188" i="10" s="1"/>
  <c r="S189" i="10" a="1"/>
  <c r="S189" i="10" s="1"/>
  <c r="V189" i="10" s="1"/>
  <c r="S190" i="10" a="1"/>
  <c r="S190" i="10" s="1"/>
  <c r="V190" i="10" s="1"/>
  <c r="S191" i="10" a="1"/>
  <c r="S191" i="10" s="1"/>
  <c r="V191" i="10" s="1"/>
  <c r="S192" i="10" a="1"/>
  <c r="S192" i="10" s="1"/>
  <c r="V192" i="10" s="1"/>
  <c r="S193" i="10" a="1"/>
  <c r="S193" i="10" s="1"/>
  <c r="V193" i="10" s="1"/>
  <c r="S194" i="10" a="1"/>
  <c r="S194" i="10" s="1"/>
  <c r="V194" i="10" s="1"/>
  <c r="S195" i="10" a="1"/>
  <c r="S195" i="10" s="1"/>
  <c r="V195" i="10" s="1"/>
  <c r="S196" i="10" a="1"/>
  <c r="S196" i="10" s="1"/>
  <c r="V196" i="10" s="1"/>
  <c r="S197" i="10" a="1"/>
  <c r="S197" i="10" s="1"/>
  <c r="V197" i="10" s="1"/>
  <c r="S198" i="10" a="1"/>
  <c r="S198" i="10" s="1"/>
  <c r="V198" i="10" s="1"/>
  <c r="S199" i="10" a="1"/>
  <c r="S199" i="10" s="1"/>
  <c r="V199" i="10" s="1"/>
  <c r="S200" i="10" a="1"/>
  <c r="S200" i="10" s="1"/>
  <c r="V200" i="10" s="1"/>
  <c r="S201" i="10" a="1"/>
  <c r="S201" i="10" s="1"/>
  <c r="V201" i="10" s="1"/>
  <c r="S202" i="10" a="1"/>
  <c r="S202" i="10" s="1"/>
  <c r="V202" i="10" s="1"/>
  <c r="S203" i="10" a="1"/>
  <c r="S203" i="10" s="1"/>
  <c r="V203" i="10" s="1"/>
  <c r="S204" i="10" a="1"/>
  <c r="S204" i="10" s="1"/>
  <c r="V204" i="10" s="1"/>
  <c r="S205" i="10" a="1"/>
  <c r="S205" i="10" s="1"/>
  <c r="V205" i="10" s="1"/>
  <c r="S206" i="10" a="1"/>
  <c r="S206" i="10" s="1"/>
  <c r="V206" i="10" s="1"/>
  <c r="S207" i="10" a="1"/>
  <c r="S207" i="10" s="1"/>
  <c r="V207" i="10" s="1"/>
  <c r="S208" i="10" a="1"/>
  <c r="S208" i="10" s="1"/>
  <c r="V208" i="10" s="1"/>
  <c r="S209" i="10" a="1"/>
  <c r="S209" i="10" s="1"/>
  <c r="V209" i="10" s="1"/>
  <c r="S210" i="10" a="1"/>
  <c r="S210" i="10" s="1"/>
  <c r="V210" i="10" s="1"/>
  <c r="S211" i="10" a="1"/>
  <c r="S211" i="10" s="1"/>
  <c r="V211" i="10" s="1"/>
  <c r="S212" i="10" a="1"/>
  <c r="S212" i="10" s="1"/>
  <c r="V212" i="10" s="1"/>
  <c r="S213" i="10" a="1"/>
  <c r="S213" i="10" s="1"/>
  <c r="V213" i="10" s="1"/>
  <c r="S214" i="10" a="1"/>
  <c r="S214" i="10" s="1"/>
  <c r="V214" i="10" s="1"/>
  <c r="S215" i="10" a="1"/>
  <c r="S215" i="10" s="1"/>
  <c r="V215" i="10" s="1"/>
  <c r="S216" i="10" a="1"/>
  <c r="S216" i="10" s="1"/>
  <c r="V216" i="10" s="1"/>
  <c r="S217" i="10" a="1"/>
  <c r="S217" i="10" s="1"/>
  <c r="V217" i="10" s="1"/>
  <c r="S218" i="10" a="1"/>
  <c r="S218" i="10" s="1"/>
  <c r="V218" i="10" s="1"/>
  <c r="S219" i="10" a="1"/>
  <c r="S219" i="10" s="1"/>
  <c r="V219" i="10" s="1"/>
  <c r="S220" i="10" a="1"/>
  <c r="S220" i="10" s="1"/>
  <c r="V220" i="10" s="1"/>
  <c r="S221" i="10" a="1"/>
  <c r="S221" i="10" s="1"/>
  <c r="V221" i="10" s="1"/>
  <c r="S222" i="10" a="1"/>
  <c r="S222" i="10" s="1"/>
  <c r="V222" i="10" s="1"/>
  <c r="S223" i="10" a="1"/>
  <c r="S223" i="10" s="1"/>
  <c r="V223" i="10" s="1"/>
  <c r="S224" i="10" a="1"/>
  <c r="S224" i="10" s="1"/>
  <c r="V224" i="10" s="1"/>
  <c r="S225" i="10" a="1"/>
  <c r="S225" i="10" s="1"/>
  <c r="V225" i="10" s="1"/>
  <c r="S226" i="10" a="1"/>
  <c r="S226" i="10" s="1"/>
  <c r="V226" i="10" s="1"/>
  <c r="S227" i="10" a="1"/>
  <c r="S227" i="10" s="1"/>
  <c r="V227" i="10" s="1"/>
  <c r="S228" i="10" a="1"/>
  <c r="S228" i="10" s="1"/>
  <c r="V228" i="10" s="1"/>
  <c r="S229" i="10" a="1"/>
  <c r="S229" i="10" s="1"/>
  <c r="V229" i="10" s="1"/>
  <c r="S230" i="10" a="1"/>
  <c r="S230" i="10" s="1"/>
  <c r="V230" i="10" s="1"/>
  <c r="S231" i="10" a="1"/>
  <c r="S231" i="10" s="1"/>
  <c r="V231" i="10" s="1"/>
  <c r="S232" i="10" a="1"/>
  <c r="S232" i="10" s="1"/>
  <c r="V232" i="10" s="1"/>
  <c r="S233" i="10" a="1"/>
  <c r="S233" i="10" s="1"/>
  <c r="V233" i="10" s="1"/>
  <c r="S234" i="10" a="1"/>
  <c r="S234" i="10" s="1"/>
  <c r="V234" i="10" s="1"/>
  <c r="S235" i="10" a="1"/>
  <c r="S235" i="10" s="1"/>
  <c r="V235" i="10" s="1"/>
  <c r="S236" i="10" a="1"/>
  <c r="S236" i="10" s="1"/>
  <c r="V236" i="10" s="1"/>
  <c r="S237" i="10" a="1"/>
  <c r="S237" i="10" s="1"/>
  <c r="V237" i="10" s="1"/>
  <c r="S238" i="10" a="1"/>
  <c r="S238" i="10" s="1"/>
  <c r="V238" i="10" s="1"/>
  <c r="S239" i="10" a="1"/>
  <c r="S239" i="10" s="1"/>
  <c r="V239" i="10" s="1"/>
  <c r="S240" i="10" a="1"/>
  <c r="S240" i="10" s="1"/>
  <c r="V240" i="10" s="1"/>
  <c r="S241" i="10" a="1"/>
  <c r="S241" i="10" s="1"/>
  <c r="V241" i="10" s="1"/>
  <c r="S242" i="10" a="1"/>
  <c r="S242" i="10" s="1"/>
  <c r="V242" i="10" s="1"/>
  <c r="S243" i="10" a="1"/>
  <c r="S243" i="10" s="1"/>
  <c r="V243" i="10" s="1"/>
  <c r="S244" i="10" a="1"/>
  <c r="S244" i="10" s="1"/>
  <c r="V244" i="10" s="1"/>
  <c r="S245" i="10" a="1"/>
  <c r="S245" i="10" s="1"/>
  <c r="V245" i="10" s="1"/>
  <c r="S246" i="10" a="1"/>
  <c r="S246" i="10" s="1"/>
  <c r="V246" i="10" s="1"/>
  <c r="S247" i="10" a="1"/>
  <c r="S247" i="10" s="1"/>
  <c r="V247" i="10" s="1"/>
  <c r="S248" i="10" a="1"/>
  <c r="S248" i="10" s="1"/>
  <c r="V248" i="10" s="1"/>
  <c r="S249" i="10" a="1"/>
  <c r="S249" i="10" s="1"/>
  <c r="V249" i="10" s="1"/>
  <c r="S250" i="10" a="1"/>
  <c r="S250" i="10" s="1"/>
  <c r="V250" i="10" s="1"/>
  <c r="S251" i="10" a="1"/>
  <c r="S251" i="10" s="1"/>
  <c r="V251" i="10" s="1"/>
  <c r="S252" i="10" a="1"/>
  <c r="S252" i="10" s="1"/>
  <c r="V252" i="10" s="1"/>
  <c r="S253" i="10" a="1"/>
  <c r="S253" i="10" s="1"/>
  <c r="V253" i="10" s="1"/>
  <c r="S254" i="10" a="1"/>
  <c r="S254" i="10" s="1"/>
  <c r="V254" i="10" s="1"/>
  <c r="S255" i="10" a="1"/>
  <c r="S255" i="10" s="1"/>
  <c r="V255" i="10" s="1"/>
  <c r="S256" i="10" a="1"/>
  <c r="S256" i="10" s="1"/>
  <c r="V256" i="10" s="1"/>
  <c r="S257" i="10" a="1"/>
  <c r="S257" i="10" s="1"/>
  <c r="V257" i="10" s="1"/>
  <c r="S258" i="10" a="1"/>
  <c r="S258" i="10" s="1"/>
  <c r="V258" i="10" s="1"/>
  <c r="S259" i="10" a="1"/>
  <c r="S259" i="10" s="1"/>
  <c r="V259" i="10" s="1"/>
  <c r="S260" i="10" a="1"/>
  <c r="S260" i="10" s="1"/>
  <c r="V260" i="10" s="1"/>
  <c r="S261" i="10" a="1"/>
  <c r="S261" i="10" s="1"/>
  <c r="V261" i="10" s="1"/>
  <c r="S262" i="10" a="1"/>
  <c r="S262" i="10" s="1"/>
  <c r="V262" i="10" s="1"/>
  <c r="S263" i="10" a="1"/>
  <c r="S263" i="10" s="1"/>
  <c r="V263" i="10" s="1"/>
  <c r="S264" i="10" a="1"/>
  <c r="S264" i="10" s="1"/>
  <c r="V264" i="10" s="1"/>
  <c r="S265" i="10" a="1"/>
  <c r="S265" i="10" s="1"/>
  <c r="V265" i="10" s="1"/>
  <c r="S266" i="10" a="1"/>
  <c r="S266" i="10" s="1"/>
  <c r="V266" i="10" s="1"/>
  <c r="S267" i="10" a="1"/>
  <c r="S267" i="10" s="1"/>
  <c r="V267" i="10" s="1"/>
  <c r="S268" i="10" a="1"/>
  <c r="S268" i="10" s="1"/>
  <c r="V268" i="10" s="1"/>
  <c r="S269" i="10" a="1"/>
  <c r="S269" i="10" s="1"/>
  <c r="V269" i="10" s="1"/>
  <c r="S270" i="10" a="1"/>
  <c r="S270" i="10" s="1"/>
  <c r="V270" i="10" s="1"/>
  <c r="S271" i="10" a="1"/>
  <c r="S271" i="10" s="1"/>
  <c r="V271" i="10" s="1"/>
  <c r="S272" i="10" a="1"/>
  <c r="S272" i="10" s="1"/>
  <c r="V272" i="10" s="1"/>
  <c r="S273" i="10" a="1"/>
  <c r="S273" i="10" s="1"/>
  <c r="V273" i="10" s="1"/>
  <c r="S274" i="10" a="1"/>
  <c r="S274" i="10" s="1"/>
  <c r="V274" i="10" s="1"/>
  <c r="S275" i="10" a="1"/>
  <c r="S275" i="10" s="1"/>
  <c r="V275" i="10" s="1"/>
  <c r="S276" i="10" a="1"/>
  <c r="S276" i="10" s="1"/>
  <c r="V276" i="10" s="1"/>
  <c r="S277" i="10" a="1"/>
  <c r="S277" i="10" s="1"/>
  <c r="V277" i="10" s="1"/>
  <c r="S278" i="10" a="1"/>
  <c r="S278" i="10" s="1"/>
  <c r="V278" i="10" s="1"/>
  <c r="S279" i="10" a="1"/>
  <c r="S279" i="10" s="1"/>
  <c r="V279" i="10" s="1"/>
  <c r="S280" i="10" a="1"/>
  <c r="S280" i="10" s="1"/>
  <c r="V280" i="10" s="1"/>
  <c r="S281" i="10" a="1"/>
  <c r="S281" i="10" s="1"/>
  <c r="V281" i="10" s="1"/>
  <c r="S282" i="10" a="1"/>
  <c r="S282" i="10" s="1"/>
  <c r="V282" i="10" s="1"/>
  <c r="S283" i="10" a="1"/>
  <c r="S283" i="10" s="1"/>
  <c r="V283" i="10" s="1"/>
  <c r="S284" i="10" a="1"/>
  <c r="S284" i="10" s="1"/>
  <c r="V284" i="10" s="1"/>
  <c r="S285" i="10" a="1"/>
  <c r="S285" i="10" s="1"/>
  <c r="V285" i="10" s="1"/>
  <c r="S286" i="10" a="1"/>
  <c r="S286" i="10" s="1"/>
  <c r="V286" i="10" s="1"/>
  <c r="S287" i="10" a="1"/>
  <c r="S287" i="10" s="1"/>
  <c r="V287" i="10" s="1"/>
  <c r="S288" i="10" a="1"/>
  <c r="S288" i="10" s="1"/>
  <c r="V288" i="10" s="1"/>
  <c r="S289" i="10" a="1"/>
  <c r="S289" i="10" s="1"/>
  <c r="V289" i="10" s="1"/>
  <c r="S290" i="10" a="1"/>
  <c r="S290" i="10" s="1"/>
  <c r="V290" i="10" s="1"/>
  <c r="S291" i="10" a="1"/>
  <c r="S291" i="10" s="1"/>
  <c r="V291" i="10" s="1"/>
  <c r="S292" i="10" a="1"/>
  <c r="S292" i="10" s="1"/>
  <c r="V292" i="10" s="1"/>
  <c r="S293" i="10" a="1"/>
  <c r="S293" i="10" s="1"/>
  <c r="V293" i="10" s="1"/>
  <c r="S294" i="10" a="1"/>
  <c r="S294" i="10" s="1"/>
  <c r="V294" i="10" s="1"/>
  <c r="S295" i="10" a="1"/>
  <c r="S295" i="10" s="1"/>
  <c r="V295" i="10" s="1"/>
  <c r="S296" i="10" a="1"/>
  <c r="S296" i="10" s="1"/>
  <c r="V296" i="10" s="1"/>
  <c r="S297" i="10" a="1"/>
  <c r="S297" i="10" s="1"/>
  <c r="V297" i="10" s="1"/>
  <c r="S298" i="10" a="1"/>
  <c r="S298" i="10" s="1"/>
  <c r="V298" i="10" s="1"/>
  <c r="S299" i="10" a="1"/>
  <c r="S299" i="10" s="1"/>
  <c r="V299" i="10" s="1"/>
  <c r="S300" i="10" a="1"/>
  <c r="S300" i="10" s="1"/>
  <c r="V300" i="10" s="1"/>
  <c r="S301" i="10" a="1"/>
  <c r="S301" i="10" s="1"/>
  <c r="V301" i="10" s="1"/>
  <c r="S302" i="10" a="1"/>
  <c r="S302" i="10" s="1"/>
  <c r="V302" i="10" s="1"/>
  <c r="S303" i="10" a="1"/>
  <c r="S303" i="10" s="1"/>
  <c r="V303" i="10" s="1"/>
  <c r="S304" i="10" a="1"/>
  <c r="S304" i="10" s="1"/>
  <c r="V304" i="10" s="1"/>
  <c r="S305" i="10" a="1"/>
  <c r="S305" i="10" s="1"/>
  <c r="V305" i="10" s="1"/>
  <c r="S306" i="10" a="1"/>
  <c r="S306" i="10" s="1"/>
  <c r="V306" i="10" s="1"/>
  <c r="S307" i="10" a="1"/>
  <c r="S307" i="10" s="1"/>
  <c r="V307" i="10" s="1"/>
  <c r="S308" i="10" a="1"/>
  <c r="S308" i="10" s="1"/>
  <c r="V308" i="10" s="1"/>
  <c r="S309" i="10" a="1"/>
  <c r="S309" i="10" s="1"/>
  <c r="V309" i="10" s="1"/>
  <c r="S310" i="10" a="1"/>
  <c r="S310" i="10" s="1"/>
  <c r="V310" i="10" s="1"/>
  <c r="S311" i="10" a="1"/>
  <c r="S311" i="10" s="1"/>
  <c r="V311" i="10" s="1"/>
  <c r="S312" i="10" a="1"/>
  <c r="S312" i="10" s="1"/>
  <c r="V312" i="10" s="1"/>
  <c r="S313" i="10" a="1"/>
  <c r="S313" i="10" s="1"/>
  <c r="V313" i="10" s="1"/>
  <c r="S314" i="10" a="1"/>
  <c r="S314" i="10" s="1"/>
  <c r="V314" i="10" s="1"/>
  <c r="S315" i="10" a="1"/>
  <c r="S315" i="10" s="1"/>
  <c r="V315" i="10" s="1"/>
  <c r="S316" i="10" a="1"/>
  <c r="S316" i="10" s="1"/>
  <c r="V316" i="10" s="1"/>
  <c r="S317" i="10" a="1"/>
  <c r="S317" i="10" s="1"/>
  <c r="V317" i="10" s="1"/>
  <c r="S318" i="10" a="1"/>
  <c r="S318" i="10" s="1"/>
  <c r="V318" i="10" s="1"/>
  <c r="S319" i="10" a="1"/>
  <c r="S319" i="10" s="1"/>
  <c r="V319" i="10" s="1"/>
  <c r="S320" i="10" a="1"/>
  <c r="S320" i="10" s="1"/>
  <c r="V320" i="10" s="1"/>
  <c r="S321" i="10" a="1"/>
  <c r="S321" i="10" s="1"/>
  <c r="V321" i="10" s="1"/>
  <c r="S322" i="10" a="1"/>
  <c r="S322" i="10" s="1"/>
  <c r="V322" i="10" s="1"/>
  <c r="S3" i="10" a="1"/>
  <c r="S3" i="10" s="1"/>
  <c r="V3" i="10" s="1"/>
  <c r="S4" i="10" a="1"/>
  <c r="S4" i="10" s="1"/>
  <c r="V4" i="10" s="1"/>
  <c r="S5" i="10" a="1"/>
  <c r="S5" i="10" s="1"/>
  <c r="V5" i="10" s="1"/>
  <c r="S6" i="10" a="1"/>
  <c r="S6" i="10" s="1"/>
  <c r="V6" i="10" s="1"/>
  <c r="S7" i="10" a="1"/>
  <c r="S7" i="10" s="1"/>
  <c r="V7" i="10" s="1"/>
  <c r="S8" i="10" a="1"/>
  <c r="S8" i="10" s="1"/>
  <c r="V8" i="10" s="1"/>
  <c r="S9" i="10" a="1"/>
  <c r="S9" i="10" s="1"/>
  <c r="V9" i="10" s="1"/>
  <c r="S10" i="10" a="1"/>
  <c r="S10" i="10" s="1"/>
  <c r="V10" i="10" s="1"/>
  <c r="S11" i="10" a="1"/>
  <c r="S11" i="10" s="1"/>
  <c r="V11" i="10" s="1"/>
  <c r="S12" i="10" a="1"/>
  <c r="S12" i="10" s="1"/>
  <c r="V12" i="10" s="1"/>
  <c r="S13" i="10" a="1"/>
  <c r="S13" i="10" s="1"/>
  <c r="V13" i="10" s="1"/>
  <c r="S14" i="10" a="1"/>
  <c r="S14" i="10" s="1"/>
  <c r="V14" i="10" s="1"/>
  <c r="S15" i="10" a="1"/>
  <c r="S15" i="10" s="1"/>
  <c r="V15" i="10" s="1"/>
  <c r="S16" i="10" a="1"/>
  <c r="S16" i="10" s="1"/>
  <c r="V16" i="10" s="1"/>
  <c r="S17" i="10" a="1"/>
  <c r="S17" i="10" s="1"/>
  <c r="V17" i="10" s="1"/>
  <c r="S18" i="10" a="1"/>
  <c r="S18" i="10" s="1"/>
  <c r="V18" i="10" s="1"/>
  <c r="S19" i="10" a="1"/>
  <c r="S19" i="10" s="1"/>
  <c r="V19" i="10" s="1"/>
  <c r="S20" i="10" a="1"/>
  <c r="S20" i="10" s="1"/>
  <c r="V20" i="10" s="1"/>
  <c r="D80" i="18"/>
  <c r="B19" i="31" l="1"/>
  <c r="F13" i="31"/>
  <c r="G96" i="18" s="1"/>
  <c r="I96" i="18" s="1"/>
  <c r="Y245" i="35"/>
  <c r="Z245" i="35" s="1"/>
  <c r="AA85" i="35"/>
  <c r="Y85" i="35"/>
  <c r="Z85" i="35" s="1"/>
  <c r="AA258" i="35"/>
  <c r="Y258" i="35"/>
  <c r="Z258" i="35" s="1"/>
  <c r="AA255" i="35"/>
  <c r="Y255" i="35"/>
  <c r="Z255" i="35" s="1"/>
  <c r="Y143" i="35"/>
  <c r="Z143" i="35" s="1"/>
  <c r="AA143" i="35"/>
  <c r="Y83" i="35"/>
  <c r="Z83" i="35" s="1"/>
  <c r="AA83" i="35"/>
  <c r="AA142" i="35"/>
  <c r="Y142" i="35"/>
  <c r="Z142" i="35" s="1"/>
  <c r="AA201" i="35"/>
  <c r="Y149" i="35"/>
  <c r="Z149" i="35" s="1"/>
  <c r="Y119" i="35"/>
  <c r="Z119" i="35" s="1"/>
  <c r="Y146" i="35"/>
  <c r="Z146" i="35" s="1"/>
  <c r="Y175" i="35"/>
  <c r="Z175" i="35" s="1"/>
  <c r="Y274" i="35"/>
  <c r="Z274" i="35" s="1"/>
  <c r="Y177" i="35"/>
  <c r="Z177" i="35" s="1"/>
  <c r="Y217" i="35"/>
  <c r="Z217" i="35" s="1"/>
  <c r="Y308" i="35"/>
  <c r="Z308" i="35" s="1"/>
  <c r="Y182" i="35"/>
  <c r="Z182" i="35" s="1"/>
  <c r="AA14" i="35"/>
  <c r="Y14" i="35"/>
  <c r="Z14" i="35" s="1"/>
  <c r="AA76" i="35"/>
  <c r="Y76" i="35"/>
  <c r="Z76" i="35" s="1"/>
  <c r="AA144" i="35"/>
  <c r="Y144" i="35"/>
  <c r="Z144" i="35" s="1"/>
  <c r="Y157" i="35"/>
  <c r="Z157" i="35" s="1"/>
  <c r="AA157" i="35"/>
  <c r="AA234" i="35"/>
  <c r="Y234" i="35"/>
  <c r="Z234" i="35" s="1"/>
  <c r="AA250" i="35"/>
  <c r="Y250" i="35"/>
  <c r="Z250" i="35" s="1"/>
  <c r="Y254" i="35"/>
  <c r="Z254" i="35" s="1"/>
  <c r="AA254" i="35"/>
  <c r="AA127" i="35"/>
  <c r="Y127" i="35"/>
  <c r="Z127" i="35" s="1"/>
  <c r="AA262" i="35"/>
  <c r="Y262" i="35"/>
  <c r="Z262" i="35" s="1"/>
  <c r="AA117" i="35"/>
  <c r="Y117" i="35"/>
  <c r="Z117" i="35" s="1"/>
  <c r="Y187" i="35"/>
  <c r="Z187" i="35" s="1"/>
  <c r="AA187" i="35"/>
  <c r="AA206" i="35"/>
  <c r="Y206" i="35"/>
  <c r="Z206" i="35" s="1"/>
  <c r="AA113" i="35"/>
  <c r="Y113" i="35"/>
  <c r="Z113" i="35" s="1"/>
  <c r="Y169" i="35"/>
  <c r="Z169" i="35" s="1"/>
  <c r="AA169" i="35"/>
  <c r="Y213" i="35"/>
  <c r="Z213" i="35" s="1"/>
  <c r="AA213" i="35"/>
  <c r="Y53" i="35"/>
  <c r="Z53" i="35" s="1"/>
  <c r="AA53" i="35"/>
  <c r="AA49" i="35"/>
  <c r="Y49" i="35"/>
  <c r="Z49" i="35" s="1"/>
  <c r="AA57" i="35"/>
  <c r="Y57" i="35"/>
  <c r="Z57" i="35" s="1"/>
  <c r="Y145" i="35"/>
  <c r="Z145" i="35" s="1"/>
  <c r="AA145" i="35"/>
  <c r="AA180" i="35"/>
  <c r="Y180" i="35"/>
  <c r="Z180" i="35" s="1"/>
  <c r="AA316" i="35"/>
  <c r="Y316" i="35"/>
  <c r="Z316" i="35" s="1"/>
  <c r="Y72" i="35"/>
  <c r="Z72" i="35" s="1"/>
  <c r="AA92" i="35"/>
  <c r="Y92" i="35"/>
  <c r="Z92" i="35" s="1"/>
  <c r="AA139" i="35"/>
  <c r="Y139" i="35"/>
  <c r="Z139" i="35" s="1"/>
  <c r="AA225" i="35"/>
  <c r="Y225" i="35"/>
  <c r="Z225" i="35" s="1"/>
  <c r="Y314" i="35"/>
  <c r="Z314" i="35" s="1"/>
  <c r="AA314" i="35"/>
  <c r="Y69" i="35"/>
  <c r="Z69" i="35" s="1"/>
  <c r="AA82" i="35"/>
  <c r="AA124" i="35"/>
  <c r="AA174" i="35"/>
  <c r="Y181" i="35"/>
  <c r="Z181" i="35" s="1"/>
  <c r="Y210" i="35"/>
  <c r="Z210" i="35" s="1"/>
  <c r="Y283" i="35"/>
  <c r="Z283" i="35" s="1"/>
  <c r="AA37" i="35"/>
  <c r="AA153" i="35"/>
  <c r="Y194" i="35"/>
  <c r="Z194" i="35" s="1"/>
  <c r="AA134" i="35"/>
  <c r="Y179" i="35"/>
  <c r="Z179" i="35" s="1"/>
  <c r="AA275" i="35"/>
  <c r="Z56" i="35"/>
  <c r="Z124" i="35"/>
  <c r="Z299" i="35"/>
  <c r="Z174" i="35"/>
  <c r="Z294" i="35"/>
  <c r="Z164" i="35"/>
  <c r="Z11" i="35"/>
  <c r="Z37" i="35"/>
  <c r="Z93" i="35"/>
  <c r="Z198" i="35"/>
  <c r="Z52" i="35"/>
  <c r="Z129" i="35"/>
  <c r="Z209" i="35"/>
  <c r="Z224" i="35"/>
  <c r="Z275" i="35"/>
  <c r="Z115" i="35"/>
  <c r="Z186" i="35"/>
  <c r="Z99" i="35"/>
  <c r="Z140" i="35"/>
  <c r="Z242" i="35"/>
  <c r="Z290" i="35"/>
  <c r="AA5" i="35"/>
  <c r="Y5" i="35"/>
  <c r="Z5" i="35" s="1"/>
  <c r="AA7" i="35"/>
  <c r="Y7" i="35"/>
  <c r="Z7" i="35" s="1"/>
  <c r="Y9" i="35"/>
  <c r="Z9" i="35" s="1"/>
  <c r="AA9" i="35"/>
  <c r="Y36" i="35"/>
  <c r="Z36" i="35" s="1"/>
  <c r="AA36" i="35"/>
  <c r="AA51" i="35"/>
  <c r="Y51" i="35"/>
  <c r="Z51" i="35" s="1"/>
  <c r="Y33" i="35"/>
  <c r="Z33" i="35" s="1"/>
  <c r="AA33" i="35"/>
  <c r="Y18" i="35"/>
  <c r="Z18" i="35" s="1"/>
  <c r="AA18" i="35"/>
  <c r="Y23" i="35"/>
  <c r="Z23" i="35" s="1"/>
  <c r="AA23" i="35"/>
  <c r="AA31" i="35"/>
  <c r="Y31" i="35"/>
  <c r="Z31" i="35" s="1"/>
  <c r="AA59" i="35"/>
  <c r="Y59" i="35"/>
  <c r="Z59" i="35" s="1"/>
  <c r="AA20" i="35"/>
  <c r="Y20" i="35"/>
  <c r="Z20" i="35" s="1"/>
  <c r="AA10" i="35"/>
  <c r="Y10" i="35"/>
  <c r="Z10" i="35" s="1"/>
  <c r="Y26" i="35"/>
  <c r="Z26" i="35" s="1"/>
  <c r="AA26" i="35"/>
  <c r="AA35" i="35"/>
  <c r="Y35" i="35"/>
  <c r="Z35" i="35" s="1"/>
  <c r="AA39" i="35"/>
  <c r="Y39" i="35"/>
  <c r="Z39" i="35" s="1"/>
  <c r="Y43" i="35"/>
  <c r="Z43" i="35" s="1"/>
  <c r="AA43" i="35"/>
  <c r="Y8" i="35"/>
  <c r="Z8" i="35" s="1"/>
  <c r="AA8" i="35"/>
  <c r="AA29" i="35"/>
  <c r="Y29" i="35"/>
  <c r="Z29" i="35" s="1"/>
  <c r="Y48" i="35"/>
  <c r="Z48" i="35" s="1"/>
  <c r="AA48" i="35"/>
  <c r="Y21" i="35"/>
  <c r="Z21" i="35" s="1"/>
  <c r="AA21" i="35"/>
  <c r="AA46" i="35"/>
  <c r="Y46" i="35"/>
  <c r="Z46" i="35" s="1"/>
  <c r="AA50" i="35"/>
  <c r="Y50" i="35"/>
  <c r="Z50" i="35" s="1"/>
  <c r="AA54" i="35"/>
  <c r="Y54" i="35"/>
  <c r="Z54" i="35" s="1"/>
  <c r="AA4" i="35"/>
  <c r="Y4" i="35"/>
  <c r="Z4" i="35" s="1"/>
  <c r="AA19" i="35"/>
  <c r="Y19" i="35"/>
  <c r="Z19" i="35" s="1"/>
  <c r="AA24" i="35"/>
  <c r="Y24" i="35"/>
  <c r="Z24" i="35" s="1"/>
  <c r="AA27" i="35"/>
  <c r="Y27" i="35"/>
  <c r="Z27" i="35" s="1"/>
  <c r="AA44" i="35"/>
  <c r="Y44" i="35"/>
  <c r="Z44" i="35" s="1"/>
  <c r="Y32" i="35"/>
  <c r="Z32" i="35" s="1"/>
  <c r="AA32" i="35"/>
  <c r="Y38" i="35"/>
  <c r="Z38" i="35" s="1"/>
  <c r="AA38" i="35"/>
  <c r="AA40" i="35"/>
  <c r="Y40" i="35"/>
  <c r="Z40" i="35" s="1"/>
  <c r="Y16" i="35"/>
  <c r="Z16" i="35" s="1"/>
  <c r="AA16" i="35"/>
  <c r="Y13" i="35"/>
  <c r="Z13" i="35" s="1"/>
  <c r="AA13" i="35"/>
  <c r="Y17" i="35"/>
  <c r="Z17" i="35" s="1"/>
  <c r="AA17" i="35"/>
  <c r="AA30" i="35"/>
  <c r="Y30" i="35"/>
  <c r="Z30" i="35" s="1"/>
  <c r="AA6" i="35"/>
  <c r="Y6" i="35"/>
  <c r="Z6" i="35" s="1"/>
  <c r="Y3" i="35"/>
  <c r="AA3" i="35"/>
  <c r="AA22" i="35"/>
  <c r="Y22" i="35"/>
  <c r="Z22" i="35" s="1"/>
  <c r="AA25" i="35"/>
  <c r="Y25" i="35"/>
  <c r="Z25" i="35" s="1"/>
  <c r="Y28" i="35"/>
  <c r="Z28" i="35" s="1"/>
  <c r="AA28" i="35"/>
  <c r="Z41" i="35"/>
  <c r="AA45" i="35"/>
  <c r="Y45" i="35"/>
  <c r="Z45" i="35" s="1"/>
  <c r="AA55" i="35"/>
  <c r="Y55" i="35"/>
  <c r="Z55" i="35" s="1"/>
  <c r="AA41" i="35"/>
  <c r="Y42" i="35"/>
  <c r="Z42" i="35" s="1"/>
  <c r="AA81" i="35"/>
  <c r="Y81" i="35"/>
  <c r="Z81" i="35" s="1"/>
  <c r="AA99" i="35"/>
  <c r="Y58" i="35"/>
  <c r="Z58" i="35" s="1"/>
  <c r="AA58" i="35"/>
  <c r="Y63" i="35"/>
  <c r="Z63" i="35" s="1"/>
  <c r="AA63" i="35"/>
  <c r="Y79" i="35"/>
  <c r="Z79" i="35" s="1"/>
  <c r="AA79" i="35"/>
  <c r="Y88" i="35"/>
  <c r="Z88" i="35" s="1"/>
  <c r="AA88" i="35"/>
  <c r="AA97" i="35"/>
  <c r="Y97" i="35"/>
  <c r="Z97" i="35" s="1"/>
  <c r="Y103" i="35"/>
  <c r="Z103" i="35" s="1"/>
  <c r="AA103" i="35"/>
  <c r="Z47" i="35"/>
  <c r="Z82" i="35"/>
  <c r="AA90" i="35"/>
  <c r="Y90" i="35"/>
  <c r="Z90" i="35" s="1"/>
  <c r="Y109" i="35"/>
  <c r="Z109" i="35" s="1"/>
  <c r="AA109" i="35"/>
  <c r="Y111" i="35"/>
  <c r="Z111" i="35" s="1"/>
  <c r="AA111" i="35"/>
  <c r="AA60" i="35"/>
  <c r="Y60" i="35"/>
  <c r="Z60" i="35" s="1"/>
  <c r="Y68" i="35"/>
  <c r="Z68" i="35" s="1"/>
  <c r="AA68" i="35"/>
  <c r="AA74" i="35"/>
  <c r="Y74" i="35"/>
  <c r="Z74" i="35" s="1"/>
  <c r="AA105" i="35"/>
  <c r="Y105" i="35"/>
  <c r="Z105" i="35" s="1"/>
  <c r="Y15" i="35"/>
  <c r="Z15" i="35" s="1"/>
  <c r="AA47" i="35"/>
  <c r="AA66" i="35"/>
  <c r="Y66" i="35"/>
  <c r="Z66" i="35" s="1"/>
  <c r="AA71" i="35"/>
  <c r="Y71" i="35"/>
  <c r="Z71" i="35" s="1"/>
  <c r="Y94" i="35"/>
  <c r="Z94" i="35" s="1"/>
  <c r="AA94" i="35"/>
  <c r="AA96" i="35"/>
  <c r="Y96" i="35"/>
  <c r="Z96" i="35" s="1"/>
  <c r="AA107" i="35"/>
  <c r="Y107" i="35"/>
  <c r="Z107" i="35" s="1"/>
  <c r="AA122" i="35"/>
  <c r="Y122" i="35"/>
  <c r="Z122" i="35" s="1"/>
  <c r="AA11" i="35"/>
  <c r="Y65" i="35"/>
  <c r="Z65" i="35" s="1"/>
  <c r="AA80" i="35"/>
  <c r="Y80" i="35"/>
  <c r="Z80" i="35" s="1"/>
  <c r="Y84" i="35"/>
  <c r="Z84" i="35" s="1"/>
  <c r="AA84" i="35"/>
  <c r="AA91" i="35"/>
  <c r="Y91" i="35"/>
  <c r="Z91" i="35" s="1"/>
  <c r="Y98" i="35"/>
  <c r="Z98" i="35" s="1"/>
  <c r="AA98" i="35"/>
  <c r="AA112" i="35"/>
  <c r="Y112" i="35"/>
  <c r="Z112" i="35" s="1"/>
  <c r="Y12" i="35"/>
  <c r="Z12" i="35" s="1"/>
  <c r="Y34" i="35"/>
  <c r="Z34" i="35" s="1"/>
  <c r="AA52" i="35"/>
  <c r="AA56" i="35"/>
  <c r="Y100" i="35"/>
  <c r="Z100" i="35" s="1"/>
  <c r="Y64" i="35"/>
  <c r="Z64" i="35" s="1"/>
  <c r="AA64" i="35"/>
  <c r="Y73" i="35"/>
  <c r="Z73" i="35" s="1"/>
  <c r="AA73" i="35"/>
  <c r="Z78" i="35"/>
  <c r="AA61" i="35"/>
  <c r="Y61" i="35"/>
  <c r="Z61" i="35" s="1"/>
  <c r="AA67" i="35"/>
  <c r="Y67" i="35"/>
  <c r="Z67" i="35" s="1"/>
  <c r="AA75" i="35"/>
  <c r="Y75" i="35"/>
  <c r="Z75" i="35" s="1"/>
  <c r="AA86" i="35"/>
  <c r="Y86" i="35"/>
  <c r="Z86" i="35" s="1"/>
  <c r="Y89" i="35"/>
  <c r="Z89" i="35" s="1"/>
  <c r="AA89" i="35"/>
  <c r="AA95" i="35"/>
  <c r="Y95" i="35"/>
  <c r="Z95" i="35" s="1"/>
  <c r="Y104" i="35"/>
  <c r="Z104" i="35" s="1"/>
  <c r="AA104" i="35"/>
  <c r="Y108" i="35"/>
  <c r="Z108" i="35" s="1"/>
  <c r="AA108" i="35"/>
  <c r="AA70" i="35"/>
  <c r="Y70" i="35"/>
  <c r="Z70" i="35" s="1"/>
  <c r="AA77" i="35"/>
  <c r="Y77" i="35"/>
  <c r="Z77" i="35" s="1"/>
  <c r="AA101" i="35"/>
  <c r="Y101" i="35"/>
  <c r="Z101" i="35" s="1"/>
  <c r="AA106" i="35"/>
  <c r="Y106" i="35"/>
  <c r="Z106" i="35" s="1"/>
  <c r="Y125" i="35"/>
  <c r="Z125" i="35" s="1"/>
  <c r="AA125" i="35"/>
  <c r="AA128" i="35"/>
  <c r="Y128" i="35"/>
  <c r="Z128" i="35" s="1"/>
  <c r="Y130" i="35"/>
  <c r="Z130" i="35" s="1"/>
  <c r="AA130" i="35"/>
  <c r="AA136" i="35"/>
  <c r="Y136" i="35"/>
  <c r="Z136" i="35" s="1"/>
  <c r="Y102" i="35"/>
  <c r="Z102" i="35" s="1"/>
  <c r="AA115" i="35"/>
  <c r="AA93" i="35"/>
  <c r="Y114" i="35"/>
  <c r="Z114" i="35" s="1"/>
  <c r="Y118" i="35"/>
  <c r="Z118" i="35" s="1"/>
  <c r="AA133" i="35"/>
  <c r="Y133" i="35"/>
  <c r="Z133" i="35" s="1"/>
  <c r="Y62" i="35"/>
  <c r="Z62" i="35" s="1"/>
  <c r="Y87" i="35"/>
  <c r="Z87" i="35" s="1"/>
  <c r="Y121" i="35"/>
  <c r="Z121" i="35" s="1"/>
  <c r="Y135" i="35"/>
  <c r="Z135" i="35" s="1"/>
  <c r="AA135" i="35"/>
  <c r="AA138" i="35"/>
  <c r="Y138" i="35"/>
  <c r="Z138" i="35" s="1"/>
  <c r="AA78" i="35"/>
  <c r="Z134" i="35"/>
  <c r="Y110" i="35"/>
  <c r="Z110" i="35" s="1"/>
  <c r="AA116" i="35"/>
  <c r="Y116" i="35"/>
  <c r="Z116" i="35" s="1"/>
  <c r="Y120" i="35"/>
  <c r="Z120" i="35" s="1"/>
  <c r="AA120" i="35"/>
  <c r="Z152" i="35"/>
  <c r="AA123" i="35"/>
  <c r="Y123" i="35"/>
  <c r="Z123" i="35" s="1"/>
  <c r="AA131" i="35"/>
  <c r="Y131" i="35"/>
  <c r="Z131" i="35" s="1"/>
  <c r="AA126" i="35"/>
  <c r="Y126" i="35"/>
  <c r="Z126" i="35" s="1"/>
  <c r="AA150" i="35"/>
  <c r="Y150" i="35"/>
  <c r="Z150" i="35" s="1"/>
  <c r="Y183" i="35"/>
  <c r="Z183" i="35" s="1"/>
  <c r="AA183" i="35"/>
  <c r="AA197" i="35"/>
  <c r="Y197" i="35"/>
  <c r="Z197" i="35" s="1"/>
  <c r="AA129" i="35"/>
  <c r="Y158" i="35"/>
  <c r="Z158" i="35" s="1"/>
  <c r="AA158" i="35"/>
  <c r="AA160" i="35"/>
  <c r="Y160" i="35"/>
  <c r="Z160" i="35" s="1"/>
  <c r="Y170" i="35"/>
  <c r="Z170" i="35" s="1"/>
  <c r="AA172" i="35"/>
  <c r="Y172" i="35"/>
  <c r="Z172" i="35" s="1"/>
  <c r="AA218" i="35"/>
  <c r="Y218" i="35"/>
  <c r="Z218" i="35" s="1"/>
  <c r="AA155" i="35"/>
  <c r="Y155" i="35"/>
  <c r="Z155" i="35" s="1"/>
  <c r="AA167" i="35"/>
  <c r="Y167" i="35"/>
  <c r="Z167" i="35" s="1"/>
  <c r="AA178" i="35"/>
  <c r="AA185" i="35"/>
  <c r="Y185" i="35"/>
  <c r="Z185" i="35" s="1"/>
  <c r="Y226" i="35"/>
  <c r="Z226" i="35" s="1"/>
  <c r="AA226" i="35"/>
  <c r="AA162" i="35"/>
  <c r="Y162" i="35"/>
  <c r="Z162" i="35" s="1"/>
  <c r="Y165" i="35"/>
  <c r="Z165" i="35" s="1"/>
  <c r="Y137" i="35"/>
  <c r="Z137" i="35" s="1"/>
  <c r="Y148" i="35"/>
  <c r="Z148" i="35" s="1"/>
  <c r="AA148" i="35"/>
  <c r="AA152" i="35"/>
  <c r="Z156" i="35"/>
  <c r="AA171" i="35"/>
  <c r="Y171" i="35"/>
  <c r="Z171" i="35" s="1"/>
  <c r="Y189" i="35"/>
  <c r="Z189" i="35" s="1"/>
  <c r="AA189" i="35"/>
  <c r="Y221" i="35"/>
  <c r="Z221" i="35" s="1"/>
  <c r="AA221" i="35"/>
  <c r="Y132" i="35"/>
  <c r="Z132" i="35" s="1"/>
  <c r="AA151" i="35"/>
  <c r="Y151" i="35"/>
  <c r="Z151" i="35" s="1"/>
  <c r="Y168" i="35"/>
  <c r="Z168" i="35" s="1"/>
  <c r="AA168" i="35"/>
  <c r="Y193" i="35"/>
  <c r="Z193" i="35" s="1"/>
  <c r="AA193" i="35"/>
  <c r="AA159" i="35"/>
  <c r="Y159" i="35"/>
  <c r="Z159" i="35" s="1"/>
  <c r="AA166" i="35"/>
  <c r="Y166" i="35"/>
  <c r="Z166" i="35" s="1"/>
  <c r="AA207" i="35"/>
  <c r="Y207" i="35"/>
  <c r="Z207" i="35" s="1"/>
  <c r="AA219" i="35"/>
  <c r="Y219" i="35"/>
  <c r="Z219" i="35" s="1"/>
  <c r="Y141" i="35"/>
  <c r="Z141" i="35" s="1"/>
  <c r="AA147" i="35"/>
  <c r="Y147" i="35"/>
  <c r="Z147" i="35" s="1"/>
  <c r="AA154" i="35"/>
  <c r="Y154" i="35"/>
  <c r="Z154" i="35" s="1"/>
  <c r="AA156" i="35"/>
  <c r="Y173" i="35"/>
  <c r="Z173" i="35" s="1"/>
  <c r="AA173" i="35"/>
  <c r="Z178" i="35"/>
  <c r="Y184" i="35"/>
  <c r="Z184" i="35" s="1"/>
  <c r="Y188" i="35"/>
  <c r="Z188" i="35" s="1"/>
  <c r="AA188" i="35"/>
  <c r="Z153" i="35"/>
  <c r="AA161" i="35"/>
  <c r="Y161" i="35"/>
  <c r="Z161" i="35" s="1"/>
  <c r="Y163" i="35"/>
  <c r="Z163" i="35" s="1"/>
  <c r="AA163" i="35"/>
  <c r="AA140" i="35"/>
  <c r="AA176" i="35"/>
  <c r="Y176" i="35"/>
  <c r="Z176" i="35" s="1"/>
  <c r="AA192" i="35"/>
  <c r="Y192" i="35"/>
  <c r="Z192" i="35" s="1"/>
  <c r="Y204" i="35"/>
  <c r="Z204" i="35" s="1"/>
  <c r="AA204" i="35"/>
  <c r="Y208" i="35"/>
  <c r="Z208" i="35" s="1"/>
  <c r="AA208" i="35"/>
  <c r="AA229" i="35"/>
  <c r="Y229" i="35"/>
  <c r="Z229" i="35" s="1"/>
  <c r="AA215" i="35"/>
  <c r="Y215" i="35"/>
  <c r="Z215" i="35" s="1"/>
  <c r="AA164" i="35"/>
  <c r="AA186" i="35"/>
  <c r="AA230" i="35"/>
  <c r="Y230" i="35"/>
  <c r="Z230" i="35" s="1"/>
  <c r="AA237" i="35"/>
  <c r="Y237" i="35"/>
  <c r="Z237" i="35" s="1"/>
  <c r="AA244" i="35"/>
  <c r="Y244" i="35"/>
  <c r="Z244" i="35" s="1"/>
  <c r="AA200" i="35"/>
  <c r="Y200" i="35"/>
  <c r="Z200" i="35" s="1"/>
  <c r="AA223" i="35"/>
  <c r="Y223" i="35"/>
  <c r="Z223" i="35" s="1"/>
  <c r="AA233" i="35"/>
  <c r="Y233" i="35"/>
  <c r="Z233" i="35" s="1"/>
  <c r="AA239" i="35"/>
  <c r="Y239" i="35"/>
  <c r="Z239" i="35" s="1"/>
  <c r="Y241" i="35"/>
  <c r="Z241" i="35" s="1"/>
  <c r="AA241" i="35"/>
  <c r="Y246" i="35"/>
  <c r="Z246" i="35" s="1"/>
  <c r="AA246" i="35"/>
  <c r="AA248" i="35"/>
  <c r="Y248" i="35"/>
  <c r="Z248" i="35" s="1"/>
  <c r="Y191" i="35"/>
  <c r="Z191" i="35" s="1"/>
  <c r="AA196" i="35"/>
  <c r="Y196" i="35"/>
  <c r="Z196" i="35" s="1"/>
  <c r="AA212" i="35"/>
  <c r="Y212" i="35"/>
  <c r="Z212" i="35" s="1"/>
  <c r="AA214" i="35"/>
  <c r="Y214" i="35"/>
  <c r="Z214" i="35" s="1"/>
  <c r="AA227" i="35"/>
  <c r="Y227" i="35"/>
  <c r="Z227" i="35" s="1"/>
  <c r="Y236" i="35"/>
  <c r="Z236" i="35" s="1"/>
  <c r="AA236" i="35"/>
  <c r="AA257" i="35"/>
  <c r="Y257" i="35"/>
  <c r="Z257" i="35" s="1"/>
  <c r="AA259" i="35"/>
  <c r="Y259" i="35"/>
  <c r="Z259" i="35" s="1"/>
  <c r="Y190" i="35"/>
  <c r="Z190" i="35" s="1"/>
  <c r="Z201" i="35"/>
  <c r="AA209" i="35"/>
  <c r="Y231" i="35"/>
  <c r="Z231" i="35" s="1"/>
  <c r="AA231" i="35"/>
  <c r="AA243" i="35"/>
  <c r="Y243" i="35"/>
  <c r="Z243" i="35" s="1"/>
  <c r="AA195" i="35"/>
  <c r="Y195" i="35"/>
  <c r="Z195" i="35" s="1"/>
  <c r="AA199" i="35"/>
  <c r="Y199" i="35"/>
  <c r="Z199" i="35" s="1"/>
  <c r="Y203" i="35"/>
  <c r="Z203" i="35" s="1"/>
  <c r="AA203" i="35"/>
  <c r="AA238" i="35"/>
  <c r="Y238" i="35"/>
  <c r="Z238" i="35" s="1"/>
  <c r="AA252" i="35"/>
  <c r="Y252" i="35"/>
  <c r="Z252" i="35" s="1"/>
  <c r="AA205" i="35"/>
  <c r="Y205" i="35"/>
  <c r="Z205" i="35" s="1"/>
  <c r="AA211" i="35"/>
  <c r="Y211" i="35"/>
  <c r="Z211" i="35" s="1"/>
  <c r="AA216" i="35"/>
  <c r="Y216" i="35"/>
  <c r="Z216" i="35" s="1"/>
  <c r="AA240" i="35"/>
  <c r="Y240" i="35"/>
  <c r="Z240" i="35" s="1"/>
  <c r="Y202" i="35"/>
  <c r="Z202" i="35" s="1"/>
  <c r="AA224" i="35"/>
  <c r="Y232" i="35"/>
  <c r="Z232" i="35" s="1"/>
  <c r="AA232" i="35"/>
  <c r="AA235" i="35"/>
  <c r="Y235" i="35"/>
  <c r="Z235" i="35" s="1"/>
  <c r="AA198" i="35"/>
  <c r="AA222" i="35"/>
  <c r="Y222" i="35"/>
  <c r="Z222" i="35" s="1"/>
  <c r="Y256" i="35"/>
  <c r="Z256" i="35" s="1"/>
  <c r="AA256" i="35"/>
  <c r="AA249" i="35"/>
  <c r="Y249" i="35"/>
  <c r="Z249" i="35" s="1"/>
  <c r="AA253" i="35"/>
  <c r="Y253" i="35"/>
  <c r="Z253" i="35" s="1"/>
  <c r="Y280" i="35"/>
  <c r="Z280" i="35" s="1"/>
  <c r="AA280" i="35"/>
  <c r="Y286" i="35"/>
  <c r="Z286" i="35" s="1"/>
  <c r="AA286" i="35"/>
  <c r="Y298" i="35"/>
  <c r="Z298" i="35" s="1"/>
  <c r="AA298" i="35"/>
  <c r="AA228" i="35"/>
  <c r="Y228" i="35"/>
  <c r="Z228" i="35" s="1"/>
  <c r="AA263" i="35"/>
  <c r="Y263" i="35"/>
  <c r="Z263" i="35" s="1"/>
  <c r="AA271" i="35"/>
  <c r="Y271" i="35"/>
  <c r="Z271" i="35" s="1"/>
  <c r="Y265" i="35"/>
  <c r="Z265" i="35" s="1"/>
  <c r="AA265" i="35"/>
  <c r="AA281" i="35"/>
  <c r="Y281" i="35"/>
  <c r="Z281" i="35" s="1"/>
  <c r="Y285" i="35"/>
  <c r="Z285" i="35" s="1"/>
  <c r="AA285" i="35"/>
  <c r="AA292" i="35"/>
  <c r="Y292" i="35"/>
  <c r="Z292" i="35" s="1"/>
  <c r="AA312" i="35"/>
  <c r="Y312" i="35"/>
  <c r="Z312" i="35" s="1"/>
  <c r="Y220" i="35"/>
  <c r="Z220" i="35" s="1"/>
  <c r="AA242" i="35"/>
  <c r="Y261" i="35"/>
  <c r="Z261" i="35" s="1"/>
  <c r="AA261" i="35"/>
  <c r="AA278" i="35"/>
  <c r="Y278" i="35"/>
  <c r="Z278" i="35" s="1"/>
  <c r="AA289" i="35"/>
  <c r="Y289" i="35"/>
  <c r="Z289" i="35" s="1"/>
  <c r="Y310" i="35"/>
  <c r="Z310" i="35" s="1"/>
  <c r="AA310" i="35"/>
  <c r="Y251" i="35"/>
  <c r="Z251" i="35" s="1"/>
  <c r="AA251" i="35"/>
  <c r="AA273" i="35"/>
  <c r="Y273" i="35"/>
  <c r="Z273" i="35" s="1"/>
  <c r="Y247" i="35"/>
  <c r="Z247" i="35" s="1"/>
  <c r="AA282" i="35"/>
  <c r="Y282" i="35"/>
  <c r="Z282" i="35" s="1"/>
  <c r="Z288" i="35"/>
  <c r="Y305" i="35"/>
  <c r="Z305" i="35" s="1"/>
  <c r="AA305" i="35"/>
  <c r="AA260" i="35"/>
  <c r="Y260" i="35"/>
  <c r="Z260" i="35" s="1"/>
  <c r="AA264" i="35"/>
  <c r="Y264" i="35"/>
  <c r="Z264" i="35" s="1"/>
  <c r="Y266" i="35"/>
  <c r="Z266" i="35" s="1"/>
  <c r="AA266" i="35"/>
  <c r="AA268" i="35"/>
  <c r="Y268" i="35"/>
  <c r="Z268" i="35" s="1"/>
  <c r="Y270" i="35"/>
  <c r="Z270" i="35" s="1"/>
  <c r="AA270" i="35"/>
  <c r="AA272" i="35"/>
  <c r="Y272" i="35"/>
  <c r="Z272" i="35" s="1"/>
  <c r="Y295" i="35"/>
  <c r="Z295" i="35" s="1"/>
  <c r="AA295" i="35"/>
  <c r="AA301" i="35"/>
  <c r="Y301" i="35"/>
  <c r="Z301" i="35" s="1"/>
  <c r="AA303" i="35"/>
  <c r="Y303" i="35"/>
  <c r="Z303" i="35" s="1"/>
  <c r="Y320" i="35"/>
  <c r="Z320" i="35" s="1"/>
  <c r="AA320" i="35"/>
  <c r="AA296" i="35"/>
  <c r="Y296" i="35"/>
  <c r="Z296" i="35" s="1"/>
  <c r="Z284" i="35"/>
  <c r="Y300" i="35"/>
  <c r="Z300" i="35" s="1"/>
  <c r="AA300" i="35"/>
  <c r="Y279" i="35"/>
  <c r="Z279" i="35" s="1"/>
  <c r="Y291" i="35"/>
  <c r="Z291" i="35" s="1"/>
  <c r="AA288" i="35"/>
  <c r="Y307" i="35"/>
  <c r="Z307" i="35" s="1"/>
  <c r="AA321" i="35"/>
  <c r="Y321" i="35"/>
  <c r="Z321" i="35" s="1"/>
  <c r="AA269" i="35"/>
  <c r="Y269" i="35"/>
  <c r="Z269" i="35" s="1"/>
  <c r="AA287" i="35"/>
  <c r="Y287" i="35"/>
  <c r="Z287" i="35" s="1"/>
  <c r="AA297" i="35"/>
  <c r="Y297" i="35"/>
  <c r="Z297" i="35" s="1"/>
  <c r="AA302" i="35"/>
  <c r="Y302" i="35"/>
  <c r="Z302" i="35" s="1"/>
  <c r="Y304" i="35"/>
  <c r="Z304" i="35" s="1"/>
  <c r="AA304" i="35"/>
  <c r="Y315" i="35"/>
  <c r="Z315" i="35" s="1"/>
  <c r="AA315" i="35"/>
  <c r="AA317" i="35"/>
  <c r="Y317" i="35"/>
  <c r="Z317" i="35" s="1"/>
  <c r="Y319" i="35"/>
  <c r="Z319" i="35" s="1"/>
  <c r="AA319" i="35"/>
  <c r="Y267" i="35"/>
  <c r="Z267" i="35" s="1"/>
  <c r="AA276" i="35"/>
  <c r="Y276" i="35"/>
  <c r="Z276" i="35" s="1"/>
  <c r="AA293" i="35"/>
  <c r="Y293" i="35"/>
  <c r="Z293" i="35" s="1"/>
  <c r="Y309" i="35"/>
  <c r="Z309" i="35" s="1"/>
  <c r="AA309" i="35"/>
  <c r="AA311" i="35"/>
  <c r="Y311" i="35"/>
  <c r="Z311" i="35" s="1"/>
  <c r="Y277" i="35"/>
  <c r="Z277" i="35" s="1"/>
  <c r="AA284" i="35"/>
  <c r="AA290" i="35"/>
  <c r="AA313" i="35"/>
  <c r="Y313" i="35"/>
  <c r="Z313" i="35" s="1"/>
  <c r="AA322" i="35"/>
  <c r="Y322" i="35"/>
  <c r="Z322" i="35" s="1"/>
  <c r="AA299" i="35"/>
  <c r="Y318" i="35"/>
  <c r="Z318" i="35" s="1"/>
  <c r="AA294" i="35"/>
  <c r="Y306" i="35"/>
  <c r="Z306" i="35" s="1"/>
  <c r="F124" i="31"/>
  <c r="F102" i="31"/>
  <c r="F80" i="31"/>
  <c r="E72" i="30" l="1"/>
  <c r="B93" i="18"/>
  <c r="Z3" i="35"/>
  <c r="I13" i="31"/>
  <c r="R5" i="31"/>
  <c r="R6" i="31"/>
  <c r="C6" i="36" l="1"/>
  <c r="D6" i="36"/>
  <c r="E6" i="36"/>
  <c r="F6" i="36"/>
  <c r="G6" i="36"/>
  <c r="C68" i="30"/>
  <c r="C67" i="30"/>
  <c r="C66" i="30"/>
  <c r="C65" i="30"/>
  <c r="C62" i="30"/>
  <c r="C61" i="30"/>
  <c r="C60" i="30"/>
  <c r="C59" i="30"/>
  <c r="C32" i="30"/>
  <c r="C31" i="30"/>
  <c r="C30" i="30"/>
  <c r="C29" i="30"/>
  <c r="I11" i="30"/>
  <c r="D11" i="30"/>
  <c r="I10" i="30"/>
  <c r="D10" i="30"/>
  <c r="I9" i="30"/>
  <c r="D9" i="30"/>
  <c r="V22" i="10" l="1"/>
  <c r="B62" i="18" l="1"/>
  <c r="C64" i="18" a="1"/>
  <c r="B64" i="18" s="1"/>
  <c r="C65" i="18" a="1"/>
  <c r="B65" i="18" s="1"/>
  <c r="C66" i="18" a="1"/>
  <c r="B66" i="18" s="1"/>
  <c r="C67" i="18" a="1"/>
  <c r="C68" i="18" a="1"/>
  <c r="C8" i="23" a="1"/>
  <c r="C8" i="23" s="1"/>
  <c r="C4" i="13"/>
  <c r="M5" i="13"/>
  <c r="M6" i="13"/>
  <c r="C21" i="23"/>
  <c r="C20" i="23"/>
  <c r="C24" i="23" s="1"/>
  <c r="C13" i="23" a="1"/>
  <c r="C13" i="23" s="1"/>
  <c r="C12" i="23" a="1"/>
  <c r="C12" i="23" s="1"/>
  <c r="C11" i="23" a="1"/>
  <c r="C11" i="23" s="1"/>
  <c r="C10" i="23" a="1"/>
  <c r="C10" i="23" s="1"/>
  <c r="C9" i="23" a="1"/>
  <c r="C9" i="23" s="1"/>
  <c r="D25" i="23"/>
  <c r="D24" i="23"/>
  <c r="Y7" i="10"/>
  <c r="Y8" i="10"/>
  <c r="Y10" i="10"/>
  <c r="Y17" i="10"/>
  <c r="Y18" i="10"/>
  <c r="Y20" i="10"/>
  <c r="Y27" i="10"/>
  <c r="Y28" i="10"/>
  <c r="Y30" i="10"/>
  <c r="Y36" i="10"/>
  <c r="Y37" i="10"/>
  <c r="Y38" i="10"/>
  <c r="Y40" i="10"/>
  <c r="Y46" i="10"/>
  <c r="Y47" i="10"/>
  <c r="Y48" i="10"/>
  <c r="Y50" i="10"/>
  <c r="Y56" i="10"/>
  <c r="Y57" i="10"/>
  <c r="Y58" i="10"/>
  <c r="Y60" i="10"/>
  <c r="Y66" i="10"/>
  <c r="Y67" i="10"/>
  <c r="Y68" i="10"/>
  <c r="Y70" i="10"/>
  <c r="Y76" i="10"/>
  <c r="Y77" i="10"/>
  <c r="Y78" i="10"/>
  <c r="Y80" i="10"/>
  <c r="Y86" i="10"/>
  <c r="Y87" i="10"/>
  <c r="Y88" i="10"/>
  <c r="Y90" i="10"/>
  <c r="Y96" i="10"/>
  <c r="Y97" i="10"/>
  <c r="Y98" i="10"/>
  <c r="Y100" i="10"/>
  <c r="Y106" i="10"/>
  <c r="Y107" i="10"/>
  <c r="Y108" i="10"/>
  <c r="Y110" i="10"/>
  <c r="Y116" i="10"/>
  <c r="Y117" i="10"/>
  <c r="Y118" i="10"/>
  <c r="Y120" i="10"/>
  <c r="Y123" i="10"/>
  <c r="Y126" i="10"/>
  <c r="Y127" i="10"/>
  <c r="Y128" i="10"/>
  <c r="Y130" i="10"/>
  <c r="Y132" i="10"/>
  <c r="Y133" i="10"/>
  <c r="Y134" i="10"/>
  <c r="Y136" i="10"/>
  <c r="Y137" i="10"/>
  <c r="Y138" i="10"/>
  <c r="Y140" i="10"/>
  <c r="Y142" i="10"/>
  <c r="Y143" i="10"/>
  <c r="Y144" i="10"/>
  <c r="Y146" i="10"/>
  <c r="Y147" i="10"/>
  <c r="Y148" i="10"/>
  <c r="Y150" i="10"/>
  <c r="Y152" i="10"/>
  <c r="Y153" i="10"/>
  <c r="Y154" i="10"/>
  <c r="Y156" i="10"/>
  <c r="Y157" i="10"/>
  <c r="Y158" i="10"/>
  <c r="Y160" i="10"/>
  <c r="Y162" i="10"/>
  <c r="Y163" i="10"/>
  <c r="Y164" i="10"/>
  <c r="Y166" i="10"/>
  <c r="Y167" i="10"/>
  <c r="Y168" i="10"/>
  <c r="Y170" i="10"/>
  <c r="Y172" i="10"/>
  <c r="Y173" i="10"/>
  <c r="Y174" i="10"/>
  <c r="Y176" i="10"/>
  <c r="Y177" i="10"/>
  <c r="Y178" i="10"/>
  <c r="Y180" i="10"/>
  <c r="Y182" i="10"/>
  <c r="Y183" i="10"/>
  <c r="Y184" i="10"/>
  <c r="Y186" i="10"/>
  <c r="Y187" i="10"/>
  <c r="Y188" i="10"/>
  <c r="Y190" i="10"/>
  <c r="Y192" i="10"/>
  <c r="Y193" i="10"/>
  <c r="Y194" i="10"/>
  <c r="Y196" i="10"/>
  <c r="Y197" i="10"/>
  <c r="Y198" i="10"/>
  <c r="Y200" i="10"/>
  <c r="Y202" i="10"/>
  <c r="Y203" i="10"/>
  <c r="Y204" i="10"/>
  <c r="Y206" i="10"/>
  <c r="Y207" i="10"/>
  <c r="Y208" i="10"/>
  <c r="Y210" i="10"/>
  <c r="Y212" i="10"/>
  <c r="Y213" i="10"/>
  <c r="Y214" i="10"/>
  <c r="Y216" i="10"/>
  <c r="Y217" i="10"/>
  <c r="Y218" i="10"/>
  <c r="Y220" i="10"/>
  <c r="Y222" i="10"/>
  <c r="Y223" i="10"/>
  <c r="Y224" i="10"/>
  <c r="Y226" i="10"/>
  <c r="Y227" i="10"/>
  <c r="Y228" i="10"/>
  <c r="Y229" i="10"/>
  <c r="Y230" i="10"/>
  <c r="Y232" i="10"/>
  <c r="Y233" i="10"/>
  <c r="Y234" i="10"/>
  <c r="Y236" i="10"/>
  <c r="Y237" i="10"/>
  <c r="Y238" i="10"/>
  <c r="Y239" i="10"/>
  <c r="Y240" i="10"/>
  <c r="Y242" i="10"/>
  <c r="Y243" i="10"/>
  <c r="Y244" i="10"/>
  <c r="Y246" i="10"/>
  <c r="Y247" i="10"/>
  <c r="Y248" i="10"/>
  <c r="Y249" i="10"/>
  <c r="Y250" i="10"/>
  <c r="Y252" i="10"/>
  <c r="Y253" i="10"/>
  <c r="Y254" i="10"/>
  <c r="Y256" i="10"/>
  <c r="Y257" i="10"/>
  <c r="Y258" i="10"/>
  <c r="Y259" i="10"/>
  <c r="Y260" i="10"/>
  <c r="Y262" i="10"/>
  <c r="Y263" i="10"/>
  <c r="Y264" i="10"/>
  <c r="Y266" i="10"/>
  <c r="Y267" i="10"/>
  <c r="Y268" i="10"/>
  <c r="Y269" i="10"/>
  <c r="Y270" i="10"/>
  <c r="Y272" i="10"/>
  <c r="Y274" i="10"/>
  <c r="Y276" i="10"/>
  <c r="Y277" i="10"/>
  <c r="Y278" i="10"/>
  <c r="Y279" i="10"/>
  <c r="Y280" i="10"/>
  <c r="Y282" i="10"/>
  <c r="Y283" i="10"/>
  <c r="Y284" i="10"/>
  <c r="Y286" i="10"/>
  <c r="Y287" i="10"/>
  <c r="Y288" i="10"/>
  <c r="Y289" i="10"/>
  <c r="Y290" i="10"/>
  <c r="Y292" i="10"/>
  <c r="Y293" i="10"/>
  <c r="Y294" i="10"/>
  <c r="Y296" i="10"/>
  <c r="Y297" i="10"/>
  <c r="Y298" i="10"/>
  <c r="Y299" i="10"/>
  <c r="Y300" i="10"/>
  <c r="Y302" i="10"/>
  <c r="Y303" i="10"/>
  <c r="Y304" i="10"/>
  <c r="Y306" i="10"/>
  <c r="Y307" i="10"/>
  <c r="Y308" i="10"/>
  <c r="Y309" i="10"/>
  <c r="Y310" i="10"/>
  <c r="Y312" i="10"/>
  <c r="Y313" i="10"/>
  <c r="Y314" i="10"/>
  <c r="Y316" i="10"/>
  <c r="Y317" i="10"/>
  <c r="Y318" i="10"/>
  <c r="Y319" i="10"/>
  <c r="Y320" i="10"/>
  <c r="Y322" i="10"/>
  <c r="Y3" i="10"/>
  <c r="R25" i="10" a="1"/>
  <c r="R25" i="10" s="1"/>
  <c r="U25" i="10" s="1"/>
  <c r="X25" i="10" s="1"/>
  <c r="R4" i="10" a="1"/>
  <c r="R4" i="10" s="1"/>
  <c r="U4" i="10" s="1"/>
  <c r="R5" i="10" a="1"/>
  <c r="R5" i="10" s="1"/>
  <c r="U5" i="10" s="1"/>
  <c r="X5" i="10" s="1"/>
  <c r="R6" i="10" a="1"/>
  <c r="R6" i="10" s="1"/>
  <c r="U6" i="10" s="1"/>
  <c r="X6" i="10" s="1"/>
  <c r="R7" i="10" a="1"/>
  <c r="R7" i="10" s="1"/>
  <c r="U7" i="10" s="1"/>
  <c r="X7" i="10" s="1"/>
  <c r="R8" i="10" a="1"/>
  <c r="R8" i="10" s="1"/>
  <c r="U8" i="10" s="1"/>
  <c r="X8" i="10" s="1"/>
  <c r="R9" i="10" a="1"/>
  <c r="R9" i="10" s="1"/>
  <c r="U9" i="10" s="1"/>
  <c r="X9" i="10" s="1"/>
  <c r="R10" i="10" a="1"/>
  <c r="R10" i="10" s="1"/>
  <c r="U10" i="10" s="1"/>
  <c r="R11" i="10" a="1"/>
  <c r="R11" i="10" s="1"/>
  <c r="U11" i="10" s="1"/>
  <c r="X11" i="10" s="1"/>
  <c r="R12" i="10" a="1"/>
  <c r="R12" i="10" s="1"/>
  <c r="U12" i="10" s="1"/>
  <c r="X12" i="10" s="1"/>
  <c r="R13" i="10" a="1"/>
  <c r="R13" i="10" s="1"/>
  <c r="U13" i="10" s="1"/>
  <c r="X13" i="10" s="1"/>
  <c r="R14" i="10" a="1"/>
  <c r="R14" i="10" s="1"/>
  <c r="U14" i="10" s="1"/>
  <c r="R15" i="10" a="1"/>
  <c r="R15" i="10" s="1"/>
  <c r="U15" i="10" s="1"/>
  <c r="X15" i="10" s="1"/>
  <c r="R16" i="10" a="1"/>
  <c r="R16" i="10" s="1"/>
  <c r="U16" i="10" s="1"/>
  <c r="X16" i="10" s="1"/>
  <c r="R17" i="10" a="1"/>
  <c r="R17" i="10" s="1"/>
  <c r="U17" i="10" s="1"/>
  <c r="X17" i="10" s="1"/>
  <c r="R18" i="10" a="1"/>
  <c r="R18" i="10" s="1"/>
  <c r="U18" i="10" s="1"/>
  <c r="X18" i="10" s="1"/>
  <c r="R19" i="10" a="1"/>
  <c r="R19" i="10" s="1"/>
  <c r="U19" i="10" s="1"/>
  <c r="X19" i="10" s="1"/>
  <c r="R20" i="10" a="1"/>
  <c r="R20" i="10" s="1"/>
  <c r="U20" i="10" s="1"/>
  <c r="R21" i="10" a="1"/>
  <c r="R21" i="10" s="1"/>
  <c r="U21" i="10" s="1"/>
  <c r="X21" i="10" s="1"/>
  <c r="R22" i="10" a="1"/>
  <c r="R22" i="10" s="1"/>
  <c r="U22" i="10" s="1"/>
  <c r="X22" i="10" s="1"/>
  <c r="R23" i="10" a="1"/>
  <c r="R23" i="10" s="1"/>
  <c r="U23" i="10" s="1"/>
  <c r="X23" i="10" s="1"/>
  <c r="R24" i="10" a="1"/>
  <c r="R24" i="10" s="1"/>
  <c r="U24" i="10" s="1"/>
  <c r="R26" i="10" a="1"/>
  <c r="R26" i="10" s="1"/>
  <c r="U26" i="10" s="1"/>
  <c r="X26" i="10" s="1"/>
  <c r="R27" i="10" a="1"/>
  <c r="R27" i="10" s="1"/>
  <c r="U27" i="10" s="1"/>
  <c r="X27" i="10" s="1"/>
  <c r="R28" i="10" a="1"/>
  <c r="R28" i="10" s="1"/>
  <c r="U28" i="10" s="1"/>
  <c r="X28" i="10" s="1"/>
  <c r="R29" i="10" a="1"/>
  <c r="R29" i="10" s="1"/>
  <c r="U29" i="10" s="1"/>
  <c r="X29" i="10" s="1"/>
  <c r="R30" i="10" a="1"/>
  <c r="R30" i="10" s="1"/>
  <c r="U30" i="10" s="1"/>
  <c r="X30" i="10" s="1"/>
  <c r="R31" i="10" a="1"/>
  <c r="R31" i="10" s="1"/>
  <c r="U31" i="10" s="1"/>
  <c r="R32" i="10" a="1"/>
  <c r="R32" i="10" s="1"/>
  <c r="U32" i="10" s="1"/>
  <c r="X32" i="10" s="1"/>
  <c r="R33" i="10" a="1"/>
  <c r="R33" i="10" s="1"/>
  <c r="U33" i="10" s="1"/>
  <c r="X33" i="10" s="1"/>
  <c r="R34" i="10" a="1"/>
  <c r="R34" i="10" s="1"/>
  <c r="U34" i="10" s="1"/>
  <c r="X34" i="10" s="1"/>
  <c r="R35" i="10" a="1"/>
  <c r="R35" i="10" s="1"/>
  <c r="U35" i="10" s="1"/>
  <c r="R36" i="10" a="1"/>
  <c r="R36" i="10" s="1"/>
  <c r="U36" i="10" s="1"/>
  <c r="X36" i="10" s="1"/>
  <c r="R37" i="10" a="1"/>
  <c r="R37" i="10" s="1"/>
  <c r="U37" i="10" s="1"/>
  <c r="X37" i="10" s="1"/>
  <c r="R38" i="10" a="1"/>
  <c r="R38" i="10" s="1"/>
  <c r="U38" i="10" s="1"/>
  <c r="X38" i="10" s="1"/>
  <c r="R39" i="10" a="1"/>
  <c r="R39" i="10" s="1"/>
  <c r="U39" i="10" s="1"/>
  <c r="X39" i="10" s="1"/>
  <c r="R40" i="10" a="1"/>
  <c r="R40" i="10" s="1"/>
  <c r="U40" i="10" s="1"/>
  <c r="X40" i="10" s="1"/>
  <c r="R41" i="10" a="1"/>
  <c r="R41" i="10" s="1"/>
  <c r="U41" i="10" s="1"/>
  <c r="R42" i="10" a="1"/>
  <c r="R42" i="10" s="1"/>
  <c r="U42" i="10" s="1"/>
  <c r="X42" i="10" s="1"/>
  <c r="R43" i="10" a="1"/>
  <c r="R43" i="10" s="1"/>
  <c r="U43" i="10" s="1"/>
  <c r="X43" i="10" s="1"/>
  <c r="R44" i="10" a="1"/>
  <c r="R44" i="10" s="1"/>
  <c r="U44" i="10" s="1"/>
  <c r="X44" i="10" s="1"/>
  <c r="R45" i="10" a="1"/>
  <c r="R45" i="10" s="1"/>
  <c r="U45" i="10" s="1"/>
  <c r="R46" i="10" a="1"/>
  <c r="R46" i="10" s="1"/>
  <c r="U46" i="10" s="1"/>
  <c r="X46" i="10" s="1"/>
  <c r="R47" i="10" a="1"/>
  <c r="R47" i="10" s="1"/>
  <c r="U47" i="10" s="1"/>
  <c r="X47" i="10" s="1"/>
  <c r="R48" i="10" a="1"/>
  <c r="R48" i="10" s="1"/>
  <c r="U48" i="10" s="1"/>
  <c r="X48" i="10" s="1"/>
  <c r="R49" i="10" a="1"/>
  <c r="R49" i="10" s="1"/>
  <c r="U49" i="10" s="1"/>
  <c r="X49" i="10" s="1"/>
  <c r="R50" i="10" a="1"/>
  <c r="R50" i="10" s="1"/>
  <c r="U50" i="10" s="1"/>
  <c r="X50" i="10" s="1"/>
  <c r="R51" i="10" a="1"/>
  <c r="R51" i="10" s="1"/>
  <c r="U51" i="10" s="1"/>
  <c r="R52" i="10" a="1"/>
  <c r="R52" i="10" s="1"/>
  <c r="U52" i="10" s="1"/>
  <c r="X52" i="10" s="1"/>
  <c r="R53" i="10" a="1"/>
  <c r="R53" i="10" s="1"/>
  <c r="U53" i="10" s="1"/>
  <c r="X53" i="10" s="1"/>
  <c r="R54" i="10" a="1"/>
  <c r="R54" i="10" s="1"/>
  <c r="U54" i="10" s="1"/>
  <c r="X54" i="10" s="1"/>
  <c r="R55" i="10" a="1"/>
  <c r="R55" i="10" s="1"/>
  <c r="U55" i="10" s="1"/>
  <c r="R56" i="10" a="1"/>
  <c r="R56" i="10" s="1"/>
  <c r="U56" i="10" s="1"/>
  <c r="X56" i="10" s="1"/>
  <c r="R57" i="10" a="1"/>
  <c r="R57" i="10" s="1"/>
  <c r="U57" i="10" s="1"/>
  <c r="X57" i="10" s="1"/>
  <c r="R58" i="10" a="1"/>
  <c r="R58" i="10" s="1"/>
  <c r="U58" i="10" s="1"/>
  <c r="X58" i="10" s="1"/>
  <c r="R59" i="10" a="1"/>
  <c r="R59" i="10" s="1"/>
  <c r="U59" i="10" s="1"/>
  <c r="X59" i="10" s="1"/>
  <c r="R60" i="10" a="1"/>
  <c r="R60" i="10" s="1"/>
  <c r="U60" i="10" s="1"/>
  <c r="X60" i="10" s="1"/>
  <c r="R61" i="10" a="1"/>
  <c r="R61" i="10" s="1"/>
  <c r="U61" i="10" s="1"/>
  <c r="R62" i="10" a="1"/>
  <c r="R62" i="10" s="1"/>
  <c r="U62" i="10" s="1"/>
  <c r="X62" i="10" s="1"/>
  <c r="R63" i="10" a="1"/>
  <c r="R63" i="10" s="1"/>
  <c r="U63" i="10" s="1"/>
  <c r="X63" i="10" s="1"/>
  <c r="R64" i="10" a="1"/>
  <c r="R64" i="10" s="1"/>
  <c r="U64" i="10" s="1"/>
  <c r="X64" i="10" s="1"/>
  <c r="R65" i="10" a="1"/>
  <c r="R65" i="10" s="1"/>
  <c r="U65" i="10" s="1"/>
  <c r="R66" i="10" a="1"/>
  <c r="R66" i="10" s="1"/>
  <c r="U66" i="10" s="1"/>
  <c r="X66" i="10" s="1"/>
  <c r="R67" i="10" a="1"/>
  <c r="R67" i="10" s="1"/>
  <c r="U67" i="10" s="1"/>
  <c r="X67" i="10" s="1"/>
  <c r="R68" i="10" a="1"/>
  <c r="R68" i="10" s="1"/>
  <c r="U68" i="10" s="1"/>
  <c r="X68" i="10" s="1"/>
  <c r="R69" i="10" a="1"/>
  <c r="R69" i="10" s="1"/>
  <c r="U69" i="10" s="1"/>
  <c r="X69" i="10" s="1"/>
  <c r="R70" i="10" a="1"/>
  <c r="R70" i="10" s="1"/>
  <c r="U70" i="10" s="1"/>
  <c r="X70" i="10" s="1"/>
  <c r="R71" i="10" a="1"/>
  <c r="R71" i="10" s="1"/>
  <c r="U71" i="10" s="1"/>
  <c r="R72" i="10" a="1"/>
  <c r="R72" i="10" s="1"/>
  <c r="U72" i="10" s="1"/>
  <c r="X72" i="10" s="1"/>
  <c r="R73" i="10" a="1"/>
  <c r="R73" i="10" s="1"/>
  <c r="U73" i="10" s="1"/>
  <c r="X73" i="10" s="1"/>
  <c r="R74" i="10" a="1"/>
  <c r="R74" i="10" s="1"/>
  <c r="U74" i="10" s="1"/>
  <c r="X74" i="10" s="1"/>
  <c r="R75" i="10" a="1"/>
  <c r="R75" i="10" s="1"/>
  <c r="U75" i="10" s="1"/>
  <c r="R76" i="10" a="1"/>
  <c r="R76" i="10" s="1"/>
  <c r="U76" i="10" s="1"/>
  <c r="X76" i="10" s="1"/>
  <c r="R77" i="10" a="1"/>
  <c r="R77" i="10" s="1"/>
  <c r="U77" i="10" s="1"/>
  <c r="X77" i="10" s="1"/>
  <c r="R78" i="10" a="1"/>
  <c r="R78" i="10" s="1"/>
  <c r="U78" i="10" s="1"/>
  <c r="X78" i="10" s="1"/>
  <c r="R79" i="10" a="1"/>
  <c r="R79" i="10" s="1"/>
  <c r="U79" i="10" s="1"/>
  <c r="X79" i="10" s="1"/>
  <c r="R80" i="10" a="1"/>
  <c r="R80" i="10" s="1"/>
  <c r="U80" i="10" s="1"/>
  <c r="X80" i="10" s="1"/>
  <c r="R81" i="10" a="1"/>
  <c r="R81" i="10" s="1"/>
  <c r="U81" i="10" s="1"/>
  <c r="R82" i="10" a="1"/>
  <c r="R82" i="10" s="1"/>
  <c r="U82" i="10" s="1"/>
  <c r="X82" i="10" s="1"/>
  <c r="R83" i="10" a="1"/>
  <c r="R83" i="10" s="1"/>
  <c r="U83" i="10" s="1"/>
  <c r="X83" i="10" s="1"/>
  <c r="R84" i="10" a="1"/>
  <c r="R84" i="10" s="1"/>
  <c r="U84" i="10" s="1"/>
  <c r="X84" i="10" s="1"/>
  <c r="R85" i="10" a="1"/>
  <c r="R85" i="10" s="1"/>
  <c r="U85" i="10" s="1"/>
  <c r="R86" i="10" a="1"/>
  <c r="R86" i="10" s="1"/>
  <c r="U86" i="10" s="1"/>
  <c r="X86" i="10" s="1"/>
  <c r="R87" i="10" a="1"/>
  <c r="R87" i="10" s="1"/>
  <c r="U87" i="10" s="1"/>
  <c r="X87" i="10" s="1"/>
  <c r="R88" i="10" a="1"/>
  <c r="R88" i="10" s="1"/>
  <c r="U88" i="10" s="1"/>
  <c r="X88" i="10" s="1"/>
  <c r="R89" i="10" a="1"/>
  <c r="R89" i="10" s="1"/>
  <c r="U89" i="10" s="1"/>
  <c r="X89" i="10" s="1"/>
  <c r="R90" i="10" a="1"/>
  <c r="R90" i="10" s="1"/>
  <c r="U90" i="10" s="1"/>
  <c r="X90" i="10" s="1"/>
  <c r="R91" i="10" a="1"/>
  <c r="R91" i="10" s="1"/>
  <c r="U91" i="10" s="1"/>
  <c r="R92" i="10" a="1"/>
  <c r="R92" i="10" s="1"/>
  <c r="U92" i="10" s="1"/>
  <c r="X92" i="10" s="1"/>
  <c r="R93" i="10" a="1"/>
  <c r="R93" i="10" s="1"/>
  <c r="U93" i="10" s="1"/>
  <c r="X93" i="10" s="1"/>
  <c r="R94" i="10" a="1"/>
  <c r="R94" i="10" s="1"/>
  <c r="U94" i="10" s="1"/>
  <c r="X94" i="10" s="1"/>
  <c r="R95" i="10" a="1"/>
  <c r="R95" i="10" s="1"/>
  <c r="U95" i="10" s="1"/>
  <c r="R96" i="10" a="1"/>
  <c r="R96" i="10" s="1"/>
  <c r="U96" i="10" s="1"/>
  <c r="X96" i="10" s="1"/>
  <c r="R97" i="10" a="1"/>
  <c r="R97" i="10" s="1"/>
  <c r="U97" i="10" s="1"/>
  <c r="X97" i="10" s="1"/>
  <c r="R98" i="10" a="1"/>
  <c r="R98" i="10" s="1"/>
  <c r="U98" i="10" s="1"/>
  <c r="X98" i="10" s="1"/>
  <c r="R99" i="10" a="1"/>
  <c r="R99" i="10" s="1"/>
  <c r="U99" i="10" s="1"/>
  <c r="X99" i="10" s="1"/>
  <c r="R100" i="10" a="1"/>
  <c r="R100" i="10" s="1"/>
  <c r="U100" i="10" s="1"/>
  <c r="X100" i="10" s="1"/>
  <c r="R101" i="10" a="1"/>
  <c r="R101" i="10" s="1"/>
  <c r="U101" i="10" s="1"/>
  <c r="R102" i="10" a="1"/>
  <c r="R102" i="10" s="1"/>
  <c r="U102" i="10" s="1"/>
  <c r="X102" i="10" s="1"/>
  <c r="R103" i="10" a="1"/>
  <c r="R103" i="10" s="1"/>
  <c r="U103" i="10" s="1"/>
  <c r="X103" i="10" s="1"/>
  <c r="R104" i="10" a="1"/>
  <c r="R104" i="10" s="1"/>
  <c r="U104" i="10" s="1"/>
  <c r="X104" i="10" s="1"/>
  <c r="R105" i="10" a="1"/>
  <c r="R105" i="10" s="1"/>
  <c r="U105" i="10" s="1"/>
  <c r="R106" i="10" a="1"/>
  <c r="R106" i="10" s="1"/>
  <c r="U106" i="10" s="1"/>
  <c r="X106" i="10" s="1"/>
  <c r="R107" i="10" a="1"/>
  <c r="R107" i="10" s="1"/>
  <c r="U107" i="10" s="1"/>
  <c r="X107" i="10" s="1"/>
  <c r="R108" i="10" a="1"/>
  <c r="R108" i="10" s="1"/>
  <c r="U108" i="10" s="1"/>
  <c r="X108" i="10" s="1"/>
  <c r="R109" i="10" a="1"/>
  <c r="R109" i="10" s="1"/>
  <c r="U109" i="10" s="1"/>
  <c r="X109" i="10" s="1"/>
  <c r="R110" i="10" a="1"/>
  <c r="R110" i="10" s="1"/>
  <c r="U110" i="10" s="1"/>
  <c r="X110" i="10" s="1"/>
  <c r="R111" i="10" a="1"/>
  <c r="R111" i="10" s="1"/>
  <c r="U111" i="10" s="1"/>
  <c r="R112" i="10" a="1"/>
  <c r="R112" i="10" s="1"/>
  <c r="U112" i="10" s="1"/>
  <c r="X112" i="10" s="1"/>
  <c r="R113" i="10" a="1"/>
  <c r="R113" i="10" s="1"/>
  <c r="U113" i="10" s="1"/>
  <c r="X113" i="10" s="1"/>
  <c r="R114" i="10" a="1"/>
  <c r="R114" i="10" s="1"/>
  <c r="U114" i="10" s="1"/>
  <c r="X114" i="10" s="1"/>
  <c r="R115" i="10" a="1"/>
  <c r="R115" i="10" s="1"/>
  <c r="U115" i="10" s="1"/>
  <c r="R116" i="10" a="1"/>
  <c r="R116" i="10" s="1"/>
  <c r="U116" i="10" s="1"/>
  <c r="X116" i="10" s="1"/>
  <c r="R117" i="10" a="1"/>
  <c r="R117" i="10" s="1"/>
  <c r="U117" i="10" s="1"/>
  <c r="X117" i="10" s="1"/>
  <c r="R118" i="10" a="1"/>
  <c r="R118" i="10" s="1"/>
  <c r="U118" i="10" s="1"/>
  <c r="X118" i="10" s="1"/>
  <c r="R119" i="10" a="1"/>
  <c r="R119" i="10" s="1"/>
  <c r="U119" i="10" s="1"/>
  <c r="X119" i="10" s="1"/>
  <c r="R120" i="10" a="1"/>
  <c r="R120" i="10" s="1"/>
  <c r="U120" i="10" s="1"/>
  <c r="X120" i="10" s="1"/>
  <c r="R121" i="10" a="1"/>
  <c r="R121" i="10" s="1"/>
  <c r="U121" i="10" s="1"/>
  <c r="R122" i="10" a="1"/>
  <c r="R122" i="10" s="1"/>
  <c r="U122" i="10" s="1"/>
  <c r="X122" i="10" s="1"/>
  <c r="R123" i="10" a="1"/>
  <c r="R123" i="10" s="1"/>
  <c r="U123" i="10" s="1"/>
  <c r="X123" i="10" s="1"/>
  <c r="R124" i="10" a="1"/>
  <c r="R124" i="10" s="1"/>
  <c r="U124" i="10" s="1"/>
  <c r="X124" i="10" s="1"/>
  <c r="R125" i="10" a="1"/>
  <c r="R125" i="10" s="1"/>
  <c r="U125" i="10" s="1"/>
  <c r="X125" i="10" s="1"/>
  <c r="R126" i="10" a="1"/>
  <c r="R126" i="10" s="1"/>
  <c r="U126" i="10" s="1"/>
  <c r="X126" i="10" s="1"/>
  <c r="R127" i="10" a="1"/>
  <c r="R127" i="10" s="1"/>
  <c r="U127" i="10" s="1"/>
  <c r="X127" i="10" s="1"/>
  <c r="R128" i="10" a="1"/>
  <c r="R128" i="10" s="1"/>
  <c r="U128" i="10" s="1"/>
  <c r="X128" i="10" s="1"/>
  <c r="R129" i="10" a="1"/>
  <c r="R129" i="10" s="1"/>
  <c r="U129" i="10" s="1"/>
  <c r="X129" i="10" s="1"/>
  <c r="R130" i="10" a="1"/>
  <c r="R130" i="10" s="1"/>
  <c r="U130" i="10" s="1"/>
  <c r="X130" i="10" s="1"/>
  <c r="R131" i="10" a="1"/>
  <c r="R131" i="10" s="1"/>
  <c r="U131" i="10" s="1"/>
  <c r="X131" i="10" s="1"/>
  <c r="R132" i="10" a="1"/>
  <c r="R132" i="10" s="1"/>
  <c r="U132" i="10" s="1"/>
  <c r="X132" i="10" s="1"/>
  <c r="R133" i="10" a="1"/>
  <c r="R133" i="10" s="1"/>
  <c r="U133" i="10" s="1"/>
  <c r="X133" i="10" s="1"/>
  <c r="R134" i="10" a="1"/>
  <c r="R134" i="10" s="1"/>
  <c r="U134" i="10" s="1"/>
  <c r="X134" i="10" s="1"/>
  <c r="R135" i="10" a="1"/>
  <c r="R135" i="10" s="1"/>
  <c r="U135" i="10" s="1"/>
  <c r="X135" i="10" s="1"/>
  <c r="R136" i="10" a="1"/>
  <c r="R136" i="10" s="1"/>
  <c r="U136" i="10" s="1"/>
  <c r="X136" i="10" s="1"/>
  <c r="R137" i="10" a="1"/>
  <c r="R137" i="10" s="1"/>
  <c r="U137" i="10" s="1"/>
  <c r="X137" i="10" s="1"/>
  <c r="R138" i="10" a="1"/>
  <c r="R138" i="10" s="1"/>
  <c r="U138" i="10" s="1"/>
  <c r="X138" i="10" s="1"/>
  <c r="R139" i="10" a="1"/>
  <c r="R139" i="10" s="1"/>
  <c r="U139" i="10" s="1"/>
  <c r="X139" i="10" s="1"/>
  <c r="R140" i="10" a="1"/>
  <c r="R140" i="10" s="1"/>
  <c r="U140" i="10" s="1"/>
  <c r="X140" i="10" s="1"/>
  <c r="R141" i="10" a="1"/>
  <c r="R141" i="10" s="1"/>
  <c r="U141" i="10" s="1"/>
  <c r="X141" i="10" s="1"/>
  <c r="R142" i="10" a="1"/>
  <c r="R142" i="10" s="1"/>
  <c r="U142" i="10" s="1"/>
  <c r="X142" i="10" s="1"/>
  <c r="R143" i="10" a="1"/>
  <c r="R143" i="10" s="1"/>
  <c r="U143" i="10" s="1"/>
  <c r="X143" i="10" s="1"/>
  <c r="R144" i="10" a="1"/>
  <c r="R144" i="10" s="1"/>
  <c r="U144" i="10" s="1"/>
  <c r="X144" i="10" s="1"/>
  <c r="R145" i="10" a="1"/>
  <c r="R145" i="10" s="1"/>
  <c r="U145" i="10" s="1"/>
  <c r="X145" i="10" s="1"/>
  <c r="R146" i="10" a="1"/>
  <c r="R146" i="10" s="1"/>
  <c r="U146" i="10" s="1"/>
  <c r="X146" i="10" s="1"/>
  <c r="R147" i="10" a="1"/>
  <c r="R147" i="10" s="1"/>
  <c r="U147" i="10" s="1"/>
  <c r="X147" i="10" s="1"/>
  <c r="R148" i="10" a="1"/>
  <c r="R148" i="10" s="1"/>
  <c r="U148" i="10" s="1"/>
  <c r="X148" i="10" s="1"/>
  <c r="R149" i="10" a="1"/>
  <c r="R149" i="10" s="1"/>
  <c r="U149" i="10" s="1"/>
  <c r="X149" i="10" s="1"/>
  <c r="R150" i="10" a="1"/>
  <c r="R150" i="10" s="1"/>
  <c r="U150" i="10" s="1"/>
  <c r="X150" i="10" s="1"/>
  <c r="R151" i="10" a="1"/>
  <c r="R151" i="10" s="1"/>
  <c r="U151" i="10" s="1"/>
  <c r="X151" i="10" s="1"/>
  <c r="R152" i="10" a="1"/>
  <c r="R152" i="10" s="1"/>
  <c r="U152" i="10" s="1"/>
  <c r="X152" i="10" s="1"/>
  <c r="R153" i="10" a="1"/>
  <c r="R153" i="10" s="1"/>
  <c r="U153" i="10" s="1"/>
  <c r="X153" i="10" s="1"/>
  <c r="R154" i="10" a="1"/>
  <c r="R154" i="10" s="1"/>
  <c r="U154" i="10" s="1"/>
  <c r="X154" i="10" s="1"/>
  <c r="R155" i="10" a="1"/>
  <c r="R155" i="10" s="1"/>
  <c r="U155" i="10" s="1"/>
  <c r="X155" i="10" s="1"/>
  <c r="R156" i="10" a="1"/>
  <c r="R156" i="10" s="1"/>
  <c r="U156" i="10" s="1"/>
  <c r="X156" i="10" s="1"/>
  <c r="R157" i="10" a="1"/>
  <c r="R157" i="10" s="1"/>
  <c r="U157" i="10" s="1"/>
  <c r="X157" i="10" s="1"/>
  <c r="R158" i="10" a="1"/>
  <c r="R158" i="10" s="1"/>
  <c r="U158" i="10" s="1"/>
  <c r="X158" i="10" s="1"/>
  <c r="R159" i="10" a="1"/>
  <c r="R159" i="10" s="1"/>
  <c r="U159" i="10" s="1"/>
  <c r="X159" i="10" s="1"/>
  <c r="R160" i="10" a="1"/>
  <c r="R160" i="10" s="1"/>
  <c r="U160" i="10" s="1"/>
  <c r="X160" i="10" s="1"/>
  <c r="R161" i="10" a="1"/>
  <c r="R161" i="10" s="1"/>
  <c r="U161" i="10" s="1"/>
  <c r="X161" i="10" s="1"/>
  <c r="R162" i="10" a="1"/>
  <c r="R162" i="10" s="1"/>
  <c r="U162" i="10" s="1"/>
  <c r="X162" i="10" s="1"/>
  <c r="R163" i="10" a="1"/>
  <c r="R163" i="10" s="1"/>
  <c r="U163" i="10" s="1"/>
  <c r="X163" i="10" s="1"/>
  <c r="R164" i="10" a="1"/>
  <c r="R164" i="10" s="1"/>
  <c r="U164" i="10" s="1"/>
  <c r="X164" i="10" s="1"/>
  <c r="R165" i="10" a="1"/>
  <c r="R165" i="10" s="1"/>
  <c r="U165" i="10" s="1"/>
  <c r="X165" i="10" s="1"/>
  <c r="R166" i="10" a="1"/>
  <c r="R166" i="10" s="1"/>
  <c r="U166" i="10" s="1"/>
  <c r="X166" i="10" s="1"/>
  <c r="R167" i="10" a="1"/>
  <c r="R167" i="10" s="1"/>
  <c r="U167" i="10" s="1"/>
  <c r="X167" i="10" s="1"/>
  <c r="R168" i="10" a="1"/>
  <c r="R168" i="10" s="1"/>
  <c r="U168" i="10" s="1"/>
  <c r="X168" i="10" s="1"/>
  <c r="R169" i="10" a="1"/>
  <c r="R169" i="10" s="1"/>
  <c r="U169" i="10" s="1"/>
  <c r="X169" i="10" s="1"/>
  <c r="R170" i="10" a="1"/>
  <c r="R170" i="10" s="1"/>
  <c r="U170" i="10" s="1"/>
  <c r="X170" i="10" s="1"/>
  <c r="R171" i="10" a="1"/>
  <c r="R171" i="10" s="1"/>
  <c r="U171" i="10" s="1"/>
  <c r="X171" i="10" s="1"/>
  <c r="R172" i="10" a="1"/>
  <c r="R172" i="10" s="1"/>
  <c r="U172" i="10" s="1"/>
  <c r="X172" i="10" s="1"/>
  <c r="R173" i="10" a="1"/>
  <c r="R173" i="10" s="1"/>
  <c r="U173" i="10" s="1"/>
  <c r="X173" i="10" s="1"/>
  <c r="R174" i="10" a="1"/>
  <c r="R174" i="10" s="1"/>
  <c r="U174" i="10" s="1"/>
  <c r="X174" i="10" s="1"/>
  <c r="R175" i="10" a="1"/>
  <c r="R175" i="10" s="1"/>
  <c r="U175" i="10" s="1"/>
  <c r="X175" i="10" s="1"/>
  <c r="R176" i="10" a="1"/>
  <c r="R176" i="10" s="1"/>
  <c r="U176" i="10" s="1"/>
  <c r="X176" i="10" s="1"/>
  <c r="R177" i="10" a="1"/>
  <c r="R177" i="10" s="1"/>
  <c r="U177" i="10" s="1"/>
  <c r="X177" i="10" s="1"/>
  <c r="R178" i="10" a="1"/>
  <c r="R178" i="10" s="1"/>
  <c r="U178" i="10" s="1"/>
  <c r="X178" i="10" s="1"/>
  <c r="R179" i="10" a="1"/>
  <c r="R179" i="10" s="1"/>
  <c r="U179" i="10" s="1"/>
  <c r="X179" i="10" s="1"/>
  <c r="R180" i="10" a="1"/>
  <c r="R180" i="10" s="1"/>
  <c r="U180" i="10" s="1"/>
  <c r="X180" i="10" s="1"/>
  <c r="R181" i="10" a="1"/>
  <c r="R181" i="10" s="1"/>
  <c r="U181" i="10" s="1"/>
  <c r="X181" i="10" s="1"/>
  <c r="R182" i="10" a="1"/>
  <c r="R182" i="10" s="1"/>
  <c r="U182" i="10" s="1"/>
  <c r="X182" i="10" s="1"/>
  <c r="R183" i="10" a="1"/>
  <c r="R183" i="10" s="1"/>
  <c r="U183" i="10" s="1"/>
  <c r="X183" i="10" s="1"/>
  <c r="R184" i="10" a="1"/>
  <c r="R184" i="10" s="1"/>
  <c r="U184" i="10" s="1"/>
  <c r="X184" i="10" s="1"/>
  <c r="R185" i="10" a="1"/>
  <c r="R185" i="10" s="1"/>
  <c r="U185" i="10" s="1"/>
  <c r="X185" i="10" s="1"/>
  <c r="R186" i="10" a="1"/>
  <c r="R186" i="10" s="1"/>
  <c r="U186" i="10" s="1"/>
  <c r="X186" i="10" s="1"/>
  <c r="R187" i="10" a="1"/>
  <c r="R187" i="10" s="1"/>
  <c r="U187" i="10" s="1"/>
  <c r="X187" i="10" s="1"/>
  <c r="R188" i="10" a="1"/>
  <c r="R188" i="10" s="1"/>
  <c r="U188" i="10" s="1"/>
  <c r="X188" i="10" s="1"/>
  <c r="R189" i="10" a="1"/>
  <c r="R189" i="10" s="1"/>
  <c r="U189" i="10" s="1"/>
  <c r="X189" i="10" s="1"/>
  <c r="R190" i="10" a="1"/>
  <c r="R190" i="10" s="1"/>
  <c r="U190" i="10" s="1"/>
  <c r="X190" i="10" s="1"/>
  <c r="R191" i="10" a="1"/>
  <c r="R191" i="10" s="1"/>
  <c r="U191" i="10" s="1"/>
  <c r="X191" i="10" s="1"/>
  <c r="R192" i="10" a="1"/>
  <c r="R192" i="10" s="1"/>
  <c r="U192" i="10" s="1"/>
  <c r="X192" i="10" s="1"/>
  <c r="R193" i="10" a="1"/>
  <c r="R193" i="10" s="1"/>
  <c r="U193" i="10" s="1"/>
  <c r="X193" i="10" s="1"/>
  <c r="R194" i="10" a="1"/>
  <c r="R194" i="10" s="1"/>
  <c r="U194" i="10" s="1"/>
  <c r="X194" i="10" s="1"/>
  <c r="R195" i="10" a="1"/>
  <c r="R195" i="10" s="1"/>
  <c r="U195" i="10" s="1"/>
  <c r="X195" i="10" s="1"/>
  <c r="R196" i="10" a="1"/>
  <c r="R196" i="10" s="1"/>
  <c r="U196" i="10" s="1"/>
  <c r="X196" i="10" s="1"/>
  <c r="R197" i="10" a="1"/>
  <c r="R197" i="10" s="1"/>
  <c r="U197" i="10" s="1"/>
  <c r="X197" i="10" s="1"/>
  <c r="R198" i="10" a="1"/>
  <c r="R198" i="10" s="1"/>
  <c r="U198" i="10" s="1"/>
  <c r="X198" i="10" s="1"/>
  <c r="R199" i="10" a="1"/>
  <c r="R199" i="10" s="1"/>
  <c r="U199" i="10" s="1"/>
  <c r="X199" i="10" s="1"/>
  <c r="R200" i="10" a="1"/>
  <c r="R200" i="10" s="1"/>
  <c r="U200" i="10" s="1"/>
  <c r="X200" i="10" s="1"/>
  <c r="R201" i="10" a="1"/>
  <c r="R201" i="10" s="1"/>
  <c r="U201" i="10" s="1"/>
  <c r="X201" i="10" s="1"/>
  <c r="R202" i="10" a="1"/>
  <c r="R202" i="10" s="1"/>
  <c r="U202" i="10" s="1"/>
  <c r="X202" i="10" s="1"/>
  <c r="R203" i="10" a="1"/>
  <c r="R203" i="10" s="1"/>
  <c r="U203" i="10" s="1"/>
  <c r="X203" i="10" s="1"/>
  <c r="R204" i="10" a="1"/>
  <c r="R204" i="10" s="1"/>
  <c r="U204" i="10" s="1"/>
  <c r="X204" i="10" s="1"/>
  <c r="R205" i="10" a="1"/>
  <c r="R205" i="10" s="1"/>
  <c r="U205" i="10" s="1"/>
  <c r="X205" i="10" s="1"/>
  <c r="R206" i="10" a="1"/>
  <c r="R206" i="10" s="1"/>
  <c r="U206" i="10" s="1"/>
  <c r="X206" i="10" s="1"/>
  <c r="R207" i="10" a="1"/>
  <c r="R207" i="10" s="1"/>
  <c r="U207" i="10" s="1"/>
  <c r="X207" i="10" s="1"/>
  <c r="R208" i="10" a="1"/>
  <c r="R208" i="10" s="1"/>
  <c r="U208" i="10" s="1"/>
  <c r="X208" i="10" s="1"/>
  <c r="R209" i="10" a="1"/>
  <c r="R209" i="10" s="1"/>
  <c r="U209" i="10" s="1"/>
  <c r="X209" i="10" s="1"/>
  <c r="R210" i="10" a="1"/>
  <c r="R210" i="10" s="1"/>
  <c r="U210" i="10" s="1"/>
  <c r="X210" i="10" s="1"/>
  <c r="R211" i="10" a="1"/>
  <c r="R211" i="10" s="1"/>
  <c r="U211" i="10" s="1"/>
  <c r="X211" i="10" s="1"/>
  <c r="R212" i="10" a="1"/>
  <c r="R212" i="10" s="1"/>
  <c r="U212" i="10" s="1"/>
  <c r="X212" i="10" s="1"/>
  <c r="R213" i="10" a="1"/>
  <c r="R213" i="10" s="1"/>
  <c r="U213" i="10" s="1"/>
  <c r="X213" i="10" s="1"/>
  <c r="R214" i="10" a="1"/>
  <c r="R214" i="10" s="1"/>
  <c r="U214" i="10" s="1"/>
  <c r="X214" i="10" s="1"/>
  <c r="R215" i="10" a="1"/>
  <c r="R215" i="10" s="1"/>
  <c r="U215" i="10" s="1"/>
  <c r="X215" i="10" s="1"/>
  <c r="R216" i="10" a="1"/>
  <c r="R216" i="10" s="1"/>
  <c r="U216" i="10" s="1"/>
  <c r="X216" i="10" s="1"/>
  <c r="R217" i="10" a="1"/>
  <c r="R217" i="10" s="1"/>
  <c r="U217" i="10" s="1"/>
  <c r="X217" i="10" s="1"/>
  <c r="R218" i="10" a="1"/>
  <c r="R218" i="10" s="1"/>
  <c r="U218" i="10" s="1"/>
  <c r="X218" i="10" s="1"/>
  <c r="R219" i="10" a="1"/>
  <c r="R219" i="10" s="1"/>
  <c r="U219" i="10" s="1"/>
  <c r="X219" i="10" s="1"/>
  <c r="R220" i="10" a="1"/>
  <c r="R220" i="10" s="1"/>
  <c r="U220" i="10" s="1"/>
  <c r="X220" i="10" s="1"/>
  <c r="R221" i="10" a="1"/>
  <c r="R221" i="10" s="1"/>
  <c r="U221" i="10" s="1"/>
  <c r="X221" i="10" s="1"/>
  <c r="R222" i="10" a="1"/>
  <c r="R222" i="10" s="1"/>
  <c r="U222" i="10" s="1"/>
  <c r="X222" i="10" s="1"/>
  <c r="R223" i="10" a="1"/>
  <c r="R223" i="10" s="1"/>
  <c r="U223" i="10" s="1"/>
  <c r="X223" i="10" s="1"/>
  <c r="R224" i="10" a="1"/>
  <c r="R224" i="10" s="1"/>
  <c r="U224" i="10" s="1"/>
  <c r="X224" i="10" s="1"/>
  <c r="R225" i="10" a="1"/>
  <c r="R225" i="10" s="1"/>
  <c r="U225" i="10" s="1"/>
  <c r="X225" i="10" s="1"/>
  <c r="R226" i="10" a="1"/>
  <c r="R226" i="10" s="1"/>
  <c r="U226" i="10" s="1"/>
  <c r="X226" i="10" s="1"/>
  <c r="R227" i="10" a="1"/>
  <c r="R227" i="10" s="1"/>
  <c r="U227" i="10" s="1"/>
  <c r="X227" i="10" s="1"/>
  <c r="R228" i="10" a="1"/>
  <c r="R228" i="10" s="1"/>
  <c r="U228" i="10" s="1"/>
  <c r="X228" i="10" s="1"/>
  <c r="R229" i="10" a="1"/>
  <c r="R229" i="10" s="1"/>
  <c r="U229" i="10" s="1"/>
  <c r="X229" i="10" s="1"/>
  <c r="R230" i="10" a="1"/>
  <c r="R230" i="10" s="1"/>
  <c r="U230" i="10" s="1"/>
  <c r="X230" i="10" s="1"/>
  <c r="R231" i="10" a="1"/>
  <c r="R231" i="10" s="1"/>
  <c r="U231" i="10" s="1"/>
  <c r="X231" i="10" s="1"/>
  <c r="R232" i="10" a="1"/>
  <c r="R232" i="10" s="1"/>
  <c r="U232" i="10" s="1"/>
  <c r="X232" i="10" s="1"/>
  <c r="R233" i="10" a="1"/>
  <c r="R233" i="10" s="1"/>
  <c r="U233" i="10" s="1"/>
  <c r="X233" i="10" s="1"/>
  <c r="R234" i="10" a="1"/>
  <c r="R234" i="10" s="1"/>
  <c r="U234" i="10" s="1"/>
  <c r="X234" i="10" s="1"/>
  <c r="R235" i="10" a="1"/>
  <c r="R235" i="10" s="1"/>
  <c r="U235" i="10" s="1"/>
  <c r="X235" i="10" s="1"/>
  <c r="R236" i="10" a="1"/>
  <c r="R236" i="10" s="1"/>
  <c r="U236" i="10" s="1"/>
  <c r="X236" i="10" s="1"/>
  <c r="R237" i="10" a="1"/>
  <c r="R237" i="10" s="1"/>
  <c r="U237" i="10" s="1"/>
  <c r="X237" i="10" s="1"/>
  <c r="R238" i="10" a="1"/>
  <c r="R238" i="10" s="1"/>
  <c r="U238" i="10" s="1"/>
  <c r="X238" i="10" s="1"/>
  <c r="R239" i="10" a="1"/>
  <c r="R239" i="10" s="1"/>
  <c r="U239" i="10" s="1"/>
  <c r="X239" i="10" s="1"/>
  <c r="R240" i="10" a="1"/>
  <c r="R240" i="10" s="1"/>
  <c r="U240" i="10" s="1"/>
  <c r="X240" i="10" s="1"/>
  <c r="R241" i="10" a="1"/>
  <c r="R241" i="10" s="1"/>
  <c r="U241" i="10" s="1"/>
  <c r="X241" i="10" s="1"/>
  <c r="R242" i="10" a="1"/>
  <c r="R242" i="10" s="1"/>
  <c r="U242" i="10" s="1"/>
  <c r="X242" i="10" s="1"/>
  <c r="R243" i="10" a="1"/>
  <c r="R243" i="10" s="1"/>
  <c r="U243" i="10" s="1"/>
  <c r="X243" i="10" s="1"/>
  <c r="R244" i="10" a="1"/>
  <c r="R244" i="10" s="1"/>
  <c r="U244" i="10" s="1"/>
  <c r="X244" i="10" s="1"/>
  <c r="R245" i="10" a="1"/>
  <c r="R245" i="10" s="1"/>
  <c r="U245" i="10" s="1"/>
  <c r="X245" i="10" s="1"/>
  <c r="R246" i="10" a="1"/>
  <c r="R246" i="10" s="1"/>
  <c r="U246" i="10" s="1"/>
  <c r="X246" i="10" s="1"/>
  <c r="R247" i="10" a="1"/>
  <c r="R247" i="10" s="1"/>
  <c r="U247" i="10" s="1"/>
  <c r="X247" i="10" s="1"/>
  <c r="R248" i="10" a="1"/>
  <c r="R248" i="10" s="1"/>
  <c r="U248" i="10" s="1"/>
  <c r="X248" i="10" s="1"/>
  <c r="R249" i="10" a="1"/>
  <c r="R249" i="10" s="1"/>
  <c r="U249" i="10" s="1"/>
  <c r="X249" i="10" s="1"/>
  <c r="R250" i="10" a="1"/>
  <c r="R250" i="10" s="1"/>
  <c r="U250" i="10" s="1"/>
  <c r="X250" i="10" s="1"/>
  <c r="R251" i="10" a="1"/>
  <c r="R251" i="10" s="1"/>
  <c r="U251" i="10" s="1"/>
  <c r="X251" i="10" s="1"/>
  <c r="R252" i="10" a="1"/>
  <c r="R252" i="10" s="1"/>
  <c r="U252" i="10" s="1"/>
  <c r="X252" i="10" s="1"/>
  <c r="R253" i="10" a="1"/>
  <c r="R253" i="10" s="1"/>
  <c r="U253" i="10" s="1"/>
  <c r="X253" i="10" s="1"/>
  <c r="R254" i="10" a="1"/>
  <c r="R254" i="10" s="1"/>
  <c r="U254" i="10" s="1"/>
  <c r="X254" i="10" s="1"/>
  <c r="R255" i="10" a="1"/>
  <c r="R255" i="10" s="1"/>
  <c r="U255" i="10" s="1"/>
  <c r="X255" i="10" s="1"/>
  <c r="R256" i="10" a="1"/>
  <c r="R256" i="10" s="1"/>
  <c r="U256" i="10" s="1"/>
  <c r="X256" i="10" s="1"/>
  <c r="R257" i="10" a="1"/>
  <c r="R257" i="10" s="1"/>
  <c r="U257" i="10" s="1"/>
  <c r="X257" i="10" s="1"/>
  <c r="R258" i="10" a="1"/>
  <c r="R258" i="10" s="1"/>
  <c r="U258" i="10" s="1"/>
  <c r="X258" i="10" s="1"/>
  <c r="R259" i="10" a="1"/>
  <c r="R259" i="10" s="1"/>
  <c r="U259" i="10" s="1"/>
  <c r="X259" i="10" s="1"/>
  <c r="R260" i="10" a="1"/>
  <c r="R260" i="10" s="1"/>
  <c r="U260" i="10" s="1"/>
  <c r="X260" i="10" s="1"/>
  <c r="R261" i="10" a="1"/>
  <c r="R261" i="10" s="1"/>
  <c r="U261" i="10" s="1"/>
  <c r="X261" i="10" s="1"/>
  <c r="R262" i="10" a="1"/>
  <c r="R262" i="10" s="1"/>
  <c r="U262" i="10" s="1"/>
  <c r="X262" i="10" s="1"/>
  <c r="R263" i="10" a="1"/>
  <c r="R263" i="10" s="1"/>
  <c r="U263" i="10" s="1"/>
  <c r="X263" i="10" s="1"/>
  <c r="R264" i="10" a="1"/>
  <c r="R264" i="10" s="1"/>
  <c r="U264" i="10" s="1"/>
  <c r="X264" i="10" s="1"/>
  <c r="R265" i="10" a="1"/>
  <c r="R265" i="10" s="1"/>
  <c r="U265" i="10" s="1"/>
  <c r="X265" i="10" s="1"/>
  <c r="R266" i="10" a="1"/>
  <c r="R266" i="10" s="1"/>
  <c r="U266" i="10" s="1"/>
  <c r="X266" i="10" s="1"/>
  <c r="R267" i="10" a="1"/>
  <c r="R267" i="10" s="1"/>
  <c r="U267" i="10" s="1"/>
  <c r="X267" i="10" s="1"/>
  <c r="R268" i="10" a="1"/>
  <c r="R268" i="10" s="1"/>
  <c r="U268" i="10" s="1"/>
  <c r="X268" i="10" s="1"/>
  <c r="R269" i="10" a="1"/>
  <c r="R269" i="10" s="1"/>
  <c r="U269" i="10" s="1"/>
  <c r="X269" i="10" s="1"/>
  <c r="R270" i="10" a="1"/>
  <c r="R270" i="10" s="1"/>
  <c r="U270" i="10" s="1"/>
  <c r="X270" i="10" s="1"/>
  <c r="R271" i="10" a="1"/>
  <c r="R271" i="10" s="1"/>
  <c r="U271" i="10" s="1"/>
  <c r="X271" i="10" s="1"/>
  <c r="R272" i="10" a="1"/>
  <c r="R272" i="10" s="1"/>
  <c r="U272" i="10" s="1"/>
  <c r="X272" i="10" s="1"/>
  <c r="R273" i="10" a="1"/>
  <c r="R273" i="10" s="1"/>
  <c r="U273" i="10" s="1"/>
  <c r="X273" i="10" s="1"/>
  <c r="R274" i="10" a="1"/>
  <c r="R274" i="10" s="1"/>
  <c r="U274" i="10" s="1"/>
  <c r="X274" i="10" s="1"/>
  <c r="R275" i="10" a="1"/>
  <c r="R275" i="10" s="1"/>
  <c r="U275" i="10" s="1"/>
  <c r="X275" i="10" s="1"/>
  <c r="R276" i="10" a="1"/>
  <c r="R276" i="10" s="1"/>
  <c r="U276" i="10" s="1"/>
  <c r="X276" i="10" s="1"/>
  <c r="R277" i="10" a="1"/>
  <c r="R277" i="10" s="1"/>
  <c r="U277" i="10" s="1"/>
  <c r="X277" i="10" s="1"/>
  <c r="R278" i="10" a="1"/>
  <c r="R278" i="10" s="1"/>
  <c r="U278" i="10" s="1"/>
  <c r="X278" i="10" s="1"/>
  <c r="R279" i="10" a="1"/>
  <c r="R279" i="10" s="1"/>
  <c r="U279" i="10" s="1"/>
  <c r="X279" i="10" s="1"/>
  <c r="R280" i="10" a="1"/>
  <c r="R280" i="10" s="1"/>
  <c r="U280" i="10" s="1"/>
  <c r="X280" i="10" s="1"/>
  <c r="R281" i="10" a="1"/>
  <c r="R281" i="10" s="1"/>
  <c r="U281" i="10" s="1"/>
  <c r="X281" i="10" s="1"/>
  <c r="R282" i="10" a="1"/>
  <c r="R282" i="10" s="1"/>
  <c r="U282" i="10" s="1"/>
  <c r="X282" i="10" s="1"/>
  <c r="R283" i="10" a="1"/>
  <c r="R283" i="10" s="1"/>
  <c r="U283" i="10" s="1"/>
  <c r="X283" i="10" s="1"/>
  <c r="R284" i="10" a="1"/>
  <c r="R284" i="10" s="1"/>
  <c r="U284" i="10" s="1"/>
  <c r="X284" i="10" s="1"/>
  <c r="R285" i="10" a="1"/>
  <c r="R285" i="10" s="1"/>
  <c r="U285" i="10" s="1"/>
  <c r="X285" i="10" s="1"/>
  <c r="R286" i="10" a="1"/>
  <c r="R286" i="10" s="1"/>
  <c r="U286" i="10" s="1"/>
  <c r="X286" i="10" s="1"/>
  <c r="R287" i="10" a="1"/>
  <c r="R287" i="10" s="1"/>
  <c r="U287" i="10" s="1"/>
  <c r="X287" i="10" s="1"/>
  <c r="R288" i="10" a="1"/>
  <c r="R288" i="10" s="1"/>
  <c r="U288" i="10" s="1"/>
  <c r="X288" i="10" s="1"/>
  <c r="R289" i="10" a="1"/>
  <c r="R289" i="10" s="1"/>
  <c r="U289" i="10" s="1"/>
  <c r="X289" i="10" s="1"/>
  <c r="R290" i="10" a="1"/>
  <c r="R290" i="10" s="1"/>
  <c r="U290" i="10" s="1"/>
  <c r="X290" i="10" s="1"/>
  <c r="R291" i="10" a="1"/>
  <c r="R291" i="10" s="1"/>
  <c r="U291" i="10" s="1"/>
  <c r="X291" i="10" s="1"/>
  <c r="R292" i="10" a="1"/>
  <c r="R292" i="10" s="1"/>
  <c r="U292" i="10" s="1"/>
  <c r="X292" i="10" s="1"/>
  <c r="R293" i="10" a="1"/>
  <c r="R293" i="10" s="1"/>
  <c r="U293" i="10" s="1"/>
  <c r="X293" i="10" s="1"/>
  <c r="R294" i="10" a="1"/>
  <c r="R294" i="10" s="1"/>
  <c r="U294" i="10" s="1"/>
  <c r="X294" i="10" s="1"/>
  <c r="R295" i="10" a="1"/>
  <c r="R295" i="10" s="1"/>
  <c r="U295" i="10" s="1"/>
  <c r="X295" i="10" s="1"/>
  <c r="R296" i="10" a="1"/>
  <c r="R296" i="10" s="1"/>
  <c r="U296" i="10" s="1"/>
  <c r="X296" i="10" s="1"/>
  <c r="R297" i="10" a="1"/>
  <c r="R297" i="10" s="1"/>
  <c r="U297" i="10" s="1"/>
  <c r="X297" i="10" s="1"/>
  <c r="R298" i="10" a="1"/>
  <c r="R298" i="10" s="1"/>
  <c r="U298" i="10" s="1"/>
  <c r="X298" i="10" s="1"/>
  <c r="R299" i="10" a="1"/>
  <c r="R299" i="10" s="1"/>
  <c r="U299" i="10" s="1"/>
  <c r="X299" i="10" s="1"/>
  <c r="R300" i="10" a="1"/>
  <c r="R300" i="10" s="1"/>
  <c r="U300" i="10" s="1"/>
  <c r="X300" i="10" s="1"/>
  <c r="R301" i="10" a="1"/>
  <c r="R301" i="10" s="1"/>
  <c r="U301" i="10" s="1"/>
  <c r="X301" i="10" s="1"/>
  <c r="R302" i="10" a="1"/>
  <c r="R302" i="10" s="1"/>
  <c r="U302" i="10" s="1"/>
  <c r="X302" i="10" s="1"/>
  <c r="R303" i="10" a="1"/>
  <c r="R303" i="10" s="1"/>
  <c r="U303" i="10" s="1"/>
  <c r="X303" i="10" s="1"/>
  <c r="R304" i="10" a="1"/>
  <c r="R304" i="10" s="1"/>
  <c r="U304" i="10" s="1"/>
  <c r="X304" i="10" s="1"/>
  <c r="R305" i="10" a="1"/>
  <c r="R305" i="10" s="1"/>
  <c r="U305" i="10" s="1"/>
  <c r="X305" i="10" s="1"/>
  <c r="R306" i="10" a="1"/>
  <c r="R306" i="10" s="1"/>
  <c r="U306" i="10" s="1"/>
  <c r="X306" i="10" s="1"/>
  <c r="R307" i="10" a="1"/>
  <c r="R307" i="10" s="1"/>
  <c r="U307" i="10" s="1"/>
  <c r="X307" i="10" s="1"/>
  <c r="R308" i="10" a="1"/>
  <c r="R308" i="10" s="1"/>
  <c r="U308" i="10" s="1"/>
  <c r="X308" i="10" s="1"/>
  <c r="R309" i="10" a="1"/>
  <c r="R309" i="10" s="1"/>
  <c r="U309" i="10" s="1"/>
  <c r="X309" i="10" s="1"/>
  <c r="R310" i="10" a="1"/>
  <c r="R310" i="10" s="1"/>
  <c r="U310" i="10" s="1"/>
  <c r="X310" i="10" s="1"/>
  <c r="R311" i="10" a="1"/>
  <c r="R311" i="10" s="1"/>
  <c r="U311" i="10" s="1"/>
  <c r="X311" i="10" s="1"/>
  <c r="R312" i="10" a="1"/>
  <c r="R312" i="10" s="1"/>
  <c r="U312" i="10" s="1"/>
  <c r="X312" i="10" s="1"/>
  <c r="R313" i="10" a="1"/>
  <c r="R313" i="10" s="1"/>
  <c r="U313" i="10" s="1"/>
  <c r="X313" i="10" s="1"/>
  <c r="R314" i="10" a="1"/>
  <c r="R314" i="10" s="1"/>
  <c r="U314" i="10" s="1"/>
  <c r="X314" i="10" s="1"/>
  <c r="R315" i="10" a="1"/>
  <c r="R315" i="10" s="1"/>
  <c r="U315" i="10" s="1"/>
  <c r="X315" i="10" s="1"/>
  <c r="R316" i="10" a="1"/>
  <c r="R316" i="10" s="1"/>
  <c r="U316" i="10" s="1"/>
  <c r="X316" i="10" s="1"/>
  <c r="R317" i="10" a="1"/>
  <c r="R317" i="10" s="1"/>
  <c r="U317" i="10" s="1"/>
  <c r="X317" i="10" s="1"/>
  <c r="R318" i="10" a="1"/>
  <c r="R318" i="10" s="1"/>
  <c r="U318" i="10" s="1"/>
  <c r="X318" i="10" s="1"/>
  <c r="R319" i="10" a="1"/>
  <c r="R319" i="10" s="1"/>
  <c r="U319" i="10" s="1"/>
  <c r="X319" i="10" s="1"/>
  <c r="R320" i="10" a="1"/>
  <c r="R320" i="10" s="1"/>
  <c r="U320" i="10" s="1"/>
  <c r="X320" i="10" s="1"/>
  <c r="R321" i="10" a="1"/>
  <c r="R321" i="10" s="1"/>
  <c r="U321" i="10" s="1"/>
  <c r="X321" i="10" s="1"/>
  <c r="R322" i="10" a="1"/>
  <c r="R322" i="10" s="1"/>
  <c r="U322" i="10" s="1"/>
  <c r="X322" i="10" s="1"/>
  <c r="R3" i="10" a="1"/>
  <c r="R3" i="10" s="1"/>
  <c r="U3" i="10" s="1"/>
  <c r="X3" i="10" s="1"/>
  <c r="Q7" i="10" a="1"/>
  <c r="Q7" i="10" s="1"/>
  <c r="T7" i="10" s="1"/>
  <c r="W7" i="10" s="1"/>
  <c r="Q11" i="10" a="1"/>
  <c r="Q11" i="10" s="1"/>
  <c r="T11" i="10" s="1"/>
  <c r="W11" i="10" s="1"/>
  <c r="Q12" i="10" a="1"/>
  <c r="Q12" i="10" s="1"/>
  <c r="T12" i="10" s="1"/>
  <c r="W12" i="10" s="1"/>
  <c r="Q13" i="10" a="1"/>
  <c r="Q13" i="10" s="1"/>
  <c r="T13" i="10" s="1"/>
  <c r="W13" i="10" s="1"/>
  <c r="Q14" i="10" a="1"/>
  <c r="Q14" i="10" s="1"/>
  <c r="T14" i="10" s="1"/>
  <c r="W14" i="10" s="1"/>
  <c r="Q15" i="10" a="1"/>
  <c r="Q15" i="10" s="1"/>
  <c r="T15" i="10" s="1"/>
  <c r="W15" i="10" s="1"/>
  <c r="Q16" i="10" a="1"/>
  <c r="Q16" i="10" s="1"/>
  <c r="T16" i="10" s="1"/>
  <c r="W16" i="10" s="1"/>
  <c r="Q17" i="10" a="1"/>
  <c r="Q17" i="10" s="1"/>
  <c r="T17" i="10" s="1"/>
  <c r="W17" i="10" s="1"/>
  <c r="Q18" i="10" a="1"/>
  <c r="Q18" i="10" s="1"/>
  <c r="T18" i="10" s="1"/>
  <c r="W18" i="10" s="1"/>
  <c r="Q19" i="10" a="1"/>
  <c r="Q19" i="10" s="1"/>
  <c r="T19" i="10" s="1"/>
  <c r="W19" i="10" s="1"/>
  <c r="Q20" i="10" a="1"/>
  <c r="Q20" i="10" s="1"/>
  <c r="T20" i="10" s="1"/>
  <c r="W20" i="10" s="1"/>
  <c r="Q21" i="10" a="1"/>
  <c r="Q21" i="10" s="1"/>
  <c r="T21" i="10" s="1"/>
  <c r="W21" i="10" s="1"/>
  <c r="Q22" i="10" a="1"/>
  <c r="Q22" i="10" s="1"/>
  <c r="T22" i="10" s="1"/>
  <c r="W22" i="10" s="1"/>
  <c r="Q23" i="10" a="1"/>
  <c r="Q23" i="10" s="1"/>
  <c r="T23" i="10" s="1"/>
  <c r="W23" i="10" s="1"/>
  <c r="Q24" i="10" a="1"/>
  <c r="Q24" i="10" s="1"/>
  <c r="T24" i="10" s="1"/>
  <c r="W24" i="10" s="1"/>
  <c r="Q25" i="10" a="1"/>
  <c r="Q25" i="10" s="1"/>
  <c r="T25" i="10" s="1"/>
  <c r="W25" i="10" s="1"/>
  <c r="Q26" i="10" a="1"/>
  <c r="Q26" i="10" s="1"/>
  <c r="T26" i="10" s="1"/>
  <c r="W26" i="10" s="1"/>
  <c r="Q27" i="10" a="1"/>
  <c r="Q27" i="10" s="1"/>
  <c r="T27" i="10" s="1"/>
  <c r="W27" i="10" s="1"/>
  <c r="Q28" i="10" a="1"/>
  <c r="Q28" i="10" s="1"/>
  <c r="T28" i="10" s="1"/>
  <c r="W28" i="10" s="1"/>
  <c r="Q29" i="10" a="1"/>
  <c r="Q29" i="10" s="1"/>
  <c r="T29" i="10" s="1"/>
  <c r="W29" i="10" s="1"/>
  <c r="Q30" i="10" a="1"/>
  <c r="Q30" i="10" s="1"/>
  <c r="T30" i="10" s="1"/>
  <c r="W30" i="10" s="1"/>
  <c r="Q31" i="10" a="1"/>
  <c r="Q31" i="10" s="1"/>
  <c r="T31" i="10" s="1"/>
  <c r="W31" i="10" s="1"/>
  <c r="Q32" i="10" a="1"/>
  <c r="Q32" i="10" s="1"/>
  <c r="T32" i="10" s="1"/>
  <c r="W32" i="10" s="1"/>
  <c r="Q33" i="10" a="1"/>
  <c r="Q33" i="10" s="1"/>
  <c r="T33" i="10" s="1"/>
  <c r="W33" i="10" s="1"/>
  <c r="Q34" i="10" a="1"/>
  <c r="Q34" i="10" s="1"/>
  <c r="T34" i="10" s="1"/>
  <c r="W34" i="10" s="1"/>
  <c r="Q35" i="10" a="1"/>
  <c r="Q35" i="10" s="1"/>
  <c r="T35" i="10" s="1"/>
  <c r="W35" i="10" s="1"/>
  <c r="Q36" i="10" a="1"/>
  <c r="Q36" i="10" s="1"/>
  <c r="T36" i="10" s="1"/>
  <c r="W36" i="10" s="1"/>
  <c r="Q37" i="10" a="1"/>
  <c r="Q37" i="10" s="1"/>
  <c r="T37" i="10" s="1"/>
  <c r="W37" i="10" s="1"/>
  <c r="Q38" i="10" a="1"/>
  <c r="Q38" i="10" s="1"/>
  <c r="T38" i="10" s="1"/>
  <c r="W38" i="10" s="1"/>
  <c r="Q39" i="10" a="1"/>
  <c r="Q39" i="10" s="1"/>
  <c r="T39" i="10" s="1"/>
  <c r="W39" i="10" s="1"/>
  <c r="Q40" i="10" a="1"/>
  <c r="Q40" i="10" s="1"/>
  <c r="T40" i="10" s="1"/>
  <c r="W40" i="10" s="1"/>
  <c r="Q41" i="10" a="1"/>
  <c r="Q41" i="10" s="1"/>
  <c r="T41" i="10" s="1"/>
  <c r="W41" i="10" s="1"/>
  <c r="Q42" i="10" a="1"/>
  <c r="Q42" i="10" s="1"/>
  <c r="T42" i="10" s="1"/>
  <c r="W42" i="10" s="1"/>
  <c r="Q43" i="10" a="1"/>
  <c r="Q43" i="10" s="1"/>
  <c r="T43" i="10" s="1"/>
  <c r="W43" i="10" s="1"/>
  <c r="Q44" i="10" a="1"/>
  <c r="Q44" i="10" s="1"/>
  <c r="T44" i="10" s="1"/>
  <c r="W44" i="10" s="1"/>
  <c r="Q45" i="10" a="1"/>
  <c r="Q45" i="10" s="1"/>
  <c r="T45" i="10" s="1"/>
  <c r="W45" i="10" s="1"/>
  <c r="Q46" i="10" a="1"/>
  <c r="Q46" i="10" s="1"/>
  <c r="T46" i="10" s="1"/>
  <c r="W46" i="10" s="1"/>
  <c r="Q47" i="10" a="1"/>
  <c r="Q47" i="10" s="1"/>
  <c r="T47" i="10" s="1"/>
  <c r="W47" i="10" s="1"/>
  <c r="Q48" i="10" a="1"/>
  <c r="Q48" i="10" s="1"/>
  <c r="T48" i="10" s="1"/>
  <c r="W48" i="10" s="1"/>
  <c r="Q49" i="10" a="1"/>
  <c r="Q49" i="10" s="1"/>
  <c r="T49" i="10" s="1"/>
  <c r="W49" i="10" s="1"/>
  <c r="Q50" i="10" a="1"/>
  <c r="Q50" i="10" s="1"/>
  <c r="T50" i="10" s="1"/>
  <c r="W50" i="10" s="1"/>
  <c r="Q51" i="10" a="1"/>
  <c r="Q51" i="10" s="1"/>
  <c r="T51" i="10" s="1"/>
  <c r="W51" i="10" s="1"/>
  <c r="Q52" i="10" a="1"/>
  <c r="Q52" i="10" s="1"/>
  <c r="T52" i="10" s="1"/>
  <c r="W52" i="10" s="1"/>
  <c r="Q53" i="10" a="1"/>
  <c r="Q53" i="10" s="1"/>
  <c r="T53" i="10" s="1"/>
  <c r="W53" i="10" s="1"/>
  <c r="Q54" i="10" a="1"/>
  <c r="Q54" i="10" s="1"/>
  <c r="T54" i="10" s="1"/>
  <c r="W54" i="10" s="1"/>
  <c r="Q55" i="10" a="1"/>
  <c r="Q55" i="10" s="1"/>
  <c r="T55" i="10" s="1"/>
  <c r="W55" i="10" s="1"/>
  <c r="Q56" i="10" a="1"/>
  <c r="Q56" i="10" s="1"/>
  <c r="T56" i="10" s="1"/>
  <c r="W56" i="10" s="1"/>
  <c r="Q57" i="10" a="1"/>
  <c r="Q57" i="10" s="1"/>
  <c r="T57" i="10" s="1"/>
  <c r="W57" i="10" s="1"/>
  <c r="Q58" i="10" a="1"/>
  <c r="Q58" i="10" s="1"/>
  <c r="T58" i="10" s="1"/>
  <c r="W58" i="10" s="1"/>
  <c r="Q59" i="10" a="1"/>
  <c r="Q59" i="10" s="1"/>
  <c r="T59" i="10" s="1"/>
  <c r="W59" i="10" s="1"/>
  <c r="Q60" i="10" a="1"/>
  <c r="Q60" i="10" s="1"/>
  <c r="T60" i="10" s="1"/>
  <c r="W60" i="10" s="1"/>
  <c r="Q61" i="10" a="1"/>
  <c r="Q61" i="10" s="1"/>
  <c r="T61" i="10" s="1"/>
  <c r="W61" i="10" s="1"/>
  <c r="Q62" i="10" a="1"/>
  <c r="Q62" i="10" s="1"/>
  <c r="T62" i="10" s="1"/>
  <c r="W62" i="10" s="1"/>
  <c r="Q63" i="10" a="1"/>
  <c r="Q63" i="10" s="1"/>
  <c r="T63" i="10" s="1"/>
  <c r="W63" i="10" s="1"/>
  <c r="Q64" i="10" a="1"/>
  <c r="Q64" i="10" s="1"/>
  <c r="T64" i="10" s="1"/>
  <c r="W64" i="10" s="1"/>
  <c r="Q65" i="10" a="1"/>
  <c r="Q65" i="10" s="1"/>
  <c r="T65" i="10" s="1"/>
  <c r="W65" i="10" s="1"/>
  <c r="Q66" i="10" a="1"/>
  <c r="Q66" i="10" s="1"/>
  <c r="T66" i="10" s="1"/>
  <c r="W66" i="10" s="1"/>
  <c r="Q67" i="10" a="1"/>
  <c r="Q67" i="10" s="1"/>
  <c r="T67" i="10" s="1"/>
  <c r="W67" i="10" s="1"/>
  <c r="Q68" i="10" a="1"/>
  <c r="Q68" i="10" s="1"/>
  <c r="T68" i="10" s="1"/>
  <c r="W68" i="10" s="1"/>
  <c r="Q69" i="10" a="1"/>
  <c r="Q69" i="10" s="1"/>
  <c r="T69" i="10" s="1"/>
  <c r="W69" i="10" s="1"/>
  <c r="Q70" i="10" a="1"/>
  <c r="Q70" i="10" s="1"/>
  <c r="T70" i="10" s="1"/>
  <c r="W70" i="10" s="1"/>
  <c r="Q71" i="10" a="1"/>
  <c r="Q71" i="10" s="1"/>
  <c r="T71" i="10" s="1"/>
  <c r="W71" i="10" s="1"/>
  <c r="Q72" i="10" a="1"/>
  <c r="Q72" i="10" s="1"/>
  <c r="T72" i="10" s="1"/>
  <c r="W72" i="10" s="1"/>
  <c r="Q73" i="10" a="1"/>
  <c r="Q73" i="10" s="1"/>
  <c r="T73" i="10" s="1"/>
  <c r="W73" i="10" s="1"/>
  <c r="Q74" i="10" a="1"/>
  <c r="Q74" i="10" s="1"/>
  <c r="T74" i="10" s="1"/>
  <c r="W74" i="10" s="1"/>
  <c r="Q75" i="10" a="1"/>
  <c r="Q75" i="10" s="1"/>
  <c r="T75" i="10" s="1"/>
  <c r="W75" i="10" s="1"/>
  <c r="Q76" i="10" a="1"/>
  <c r="Q76" i="10" s="1"/>
  <c r="T76" i="10" s="1"/>
  <c r="W76" i="10" s="1"/>
  <c r="Q77" i="10" a="1"/>
  <c r="Q77" i="10" s="1"/>
  <c r="T77" i="10" s="1"/>
  <c r="W77" i="10" s="1"/>
  <c r="Q78" i="10" a="1"/>
  <c r="Q78" i="10" s="1"/>
  <c r="T78" i="10" s="1"/>
  <c r="W78" i="10" s="1"/>
  <c r="Q79" i="10" a="1"/>
  <c r="Q79" i="10" s="1"/>
  <c r="T79" i="10" s="1"/>
  <c r="W79" i="10" s="1"/>
  <c r="Q80" i="10" a="1"/>
  <c r="Q80" i="10" s="1"/>
  <c r="T80" i="10" s="1"/>
  <c r="W80" i="10" s="1"/>
  <c r="Q81" i="10" a="1"/>
  <c r="Q81" i="10" s="1"/>
  <c r="T81" i="10" s="1"/>
  <c r="W81" i="10" s="1"/>
  <c r="Q82" i="10" a="1"/>
  <c r="Q82" i="10" s="1"/>
  <c r="T82" i="10" s="1"/>
  <c r="W82" i="10" s="1"/>
  <c r="Q83" i="10" a="1"/>
  <c r="Q83" i="10" s="1"/>
  <c r="T83" i="10" s="1"/>
  <c r="W83" i="10" s="1"/>
  <c r="Q84" i="10" a="1"/>
  <c r="Q84" i="10" s="1"/>
  <c r="T84" i="10" s="1"/>
  <c r="W84" i="10" s="1"/>
  <c r="Q85" i="10" a="1"/>
  <c r="Q85" i="10" s="1"/>
  <c r="T85" i="10" s="1"/>
  <c r="W85" i="10" s="1"/>
  <c r="Q86" i="10" a="1"/>
  <c r="Q86" i="10" s="1"/>
  <c r="T86" i="10" s="1"/>
  <c r="W86" i="10" s="1"/>
  <c r="Q87" i="10" a="1"/>
  <c r="Q87" i="10" s="1"/>
  <c r="T87" i="10" s="1"/>
  <c r="W87" i="10" s="1"/>
  <c r="Q88" i="10" a="1"/>
  <c r="Q88" i="10" s="1"/>
  <c r="T88" i="10" s="1"/>
  <c r="W88" i="10" s="1"/>
  <c r="Q89" i="10" a="1"/>
  <c r="Q89" i="10" s="1"/>
  <c r="T89" i="10" s="1"/>
  <c r="W89" i="10" s="1"/>
  <c r="Q90" i="10" a="1"/>
  <c r="Q90" i="10" s="1"/>
  <c r="T90" i="10" s="1"/>
  <c r="W90" i="10" s="1"/>
  <c r="Q91" i="10" a="1"/>
  <c r="Q91" i="10" s="1"/>
  <c r="T91" i="10" s="1"/>
  <c r="W91" i="10" s="1"/>
  <c r="Q92" i="10" a="1"/>
  <c r="Q92" i="10" s="1"/>
  <c r="T92" i="10" s="1"/>
  <c r="W92" i="10" s="1"/>
  <c r="Q93" i="10" a="1"/>
  <c r="Q93" i="10" s="1"/>
  <c r="T93" i="10" s="1"/>
  <c r="W93" i="10" s="1"/>
  <c r="Q94" i="10" a="1"/>
  <c r="Q94" i="10" s="1"/>
  <c r="T94" i="10" s="1"/>
  <c r="W94" i="10" s="1"/>
  <c r="Q95" i="10" a="1"/>
  <c r="Q95" i="10" s="1"/>
  <c r="T95" i="10" s="1"/>
  <c r="W95" i="10" s="1"/>
  <c r="Q96" i="10" a="1"/>
  <c r="Q96" i="10" s="1"/>
  <c r="T96" i="10" s="1"/>
  <c r="W96" i="10" s="1"/>
  <c r="Q97" i="10" a="1"/>
  <c r="Q97" i="10" s="1"/>
  <c r="T97" i="10" s="1"/>
  <c r="W97" i="10" s="1"/>
  <c r="Q98" i="10" a="1"/>
  <c r="Q98" i="10" s="1"/>
  <c r="T98" i="10" s="1"/>
  <c r="W98" i="10" s="1"/>
  <c r="Q99" i="10" a="1"/>
  <c r="Q99" i="10" s="1"/>
  <c r="T99" i="10" s="1"/>
  <c r="W99" i="10" s="1"/>
  <c r="Q100" i="10" a="1"/>
  <c r="Q100" i="10" s="1"/>
  <c r="T100" i="10" s="1"/>
  <c r="W100" i="10" s="1"/>
  <c r="Q101" i="10" a="1"/>
  <c r="Q101" i="10" s="1"/>
  <c r="T101" i="10" s="1"/>
  <c r="W101" i="10" s="1"/>
  <c r="Q102" i="10" a="1"/>
  <c r="Q102" i="10" s="1"/>
  <c r="T102" i="10" s="1"/>
  <c r="W102" i="10" s="1"/>
  <c r="Q103" i="10" a="1"/>
  <c r="Q103" i="10" s="1"/>
  <c r="T103" i="10" s="1"/>
  <c r="W103" i="10" s="1"/>
  <c r="Q104" i="10" a="1"/>
  <c r="Q104" i="10" s="1"/>
  <c r="T104" i="10" s="1"/>
  <c r="W104" i="10" s="1"/>
  <c r="Q105" i="10" a="1"/>
  <c r="Q105" i="10" s="1"/>
  <c r="T105" i="10" s="1"/>
  <c r="W105" i="10" s="1"/>
  <c r="Q106" i="10" a="1"/>
  <c r="Q106" i="10" s="1"/>
  <c r="T106" i="10" s="1"/>
  <c r="W106" i="10" s="1"/>
  <c r="Q107" i="10" a="1"/>
  <c r="Q107" i="10" s="1"/>
  <c r="T107" i="10" s="1"/>
  <c r="W107" i="10" s="1"/>
  <c r="Q108" i="10" a="1"/>
  <c r="Q108" i="10" s="1"/>
  <c r="T108" i="10" s="1"/>
  <c r="W108" i="10" s="1"/>
  <c r="Q109" i="10" a="1"/>
  <c r="Q109" i="10" s="1"/>
  <c r="T109" i="10" s="1"/>
  <c r="W109" i="10" s="1"/>
  <c r="Q110" i="10" a="1"/>
  <c r="Q110" i="10" s="1"/>
  <c r="T110" i="10" s="1"/>
  <c r="W110" i="10" s="1"/>
  <c r="Q111" i="10" a="1"/>
  <c r="Q111" i="10" s="1"/>
  <c r="T111" i="10" s="1"/>
  <c r="W111" i="10" s="1"/>
  <c r="Q112" i="10" a="1"/>
  <c r="Q112" i="10" s="1"/>
  <c r="T112" i="10" s="1"/>
  <c r="W112" i="10" s="1"/>
  <c r="Q113" i="10" a="1"/>
  <c r="Q113" i="10" s="1"/>
  <c r="T113" i="10" s="1"/>
  <c r="W113" i="10" s="1"/>
  <c r="Q114" i="10" a="1"/>
  <c r="Q114" i="10" s="1"/>
  <c r="T114" i="10" s="1"/>
  <c r="W114" i="10" s="1"/>
  <c r="Q115" i="10" a="1"/>
  <c r="Q115" i="10" s="1"/>
  <c r="T115" i="10" s="1"/>
  <c r="W115" i="10" s="1"/>
  <c r="Q116" i="10" a="1"/>
  <c r="Q116" i="10" s="1"/>
  <c r="T116" i="10" s="1"/>
  <c r="W116" i="10" s="1"/>
  <c r="Q117" i="10" a="1"/>
  <c r="Q117" i="10" s="1"/>
  <c r="T117" i="10" s="1"/>
  <c r="W117" i="10" s="1"/>
  <c r="Q118" i="10" a="1"/>
  <c r="Q118" i="10" s="1"/>
  <c r="T118" i="10" s="1"/>
  <c r="W118" i="10" s="1"/>
  <c r="Q119" i="10" a="1"/>
  <c r="Q119" i="10" s="1"/>
  <c r="T119" i="10" s="1"/>
  <c r="W119" i="10" s="1"/>
  <c r="Q120" i="10" a="1"/>
  <c r="Q120" i="10" s="1"/>
  <c r="T120" i="10" s="1"/>
  <c r="W120" i="10" s="1"/>
  <c r="Q121" i="10" a="1"/>
  <c r="Q121" i="10" s="1"/>
  <c r="T121" i="10" s="1"/>
  <c r="W121" i="10" s="1"/>
  <c r="Q122" i="10" a="1"/>
  <c r="Q122" i="10" s="1"/>
  <c r="T122" i="10" s="1"/>
  <c r="W122" i="10" s="1"/>
  <c r="Q123" i="10" a="1"/>
  <c r="Q123" i="10" s="1"/>
  <c r="T123" i="10" s="1"/>
  <c r="W123" i="10" s="1"/>
  <c r="Q124" i="10" a="1"/>
  <c r="Q124" i="10" s="1"/>
  <c r="T124" i="10" s="1"/>
  <c r="W124" i="10" s="1"/>
  <c r="Q125" i="10" a="1"/>
  <c r="Q125" i="10" s="1"/>
  <c r="T125" i="10" s="1"/>
  <c r="W125" i="10" s="1"/>
  <c r="Q126" i="10" a="1"/>
  <c r="Q126" i="10" s="1"/>
  <c r="T126" i="10" s="1"/>
  <c r="W126" i="10" s="1"/>
  <c r="Q127" i="10" a="1"/>
  <c r="Q127" i="10" s="1"/>
  <c r="T127" i="10" s="1"/>
  <c r="W127" i="10" s="1"/>
  <c r="Q128" i="10" a="1"/>
  <c r="Q128" i="10" s="1"/>
  <c r="T128" i="10" s="1"/>
  <c r="W128" i="10" s="1"/>
  <c r="Q129" i="10" a="1"/>
  <c r="Q129" i="10" s="1"/>
  <c r="T129" i="10" s="1"/>
  <c r="W129" i="10" s="1"/>
  <c r="Q130" i="10" a="1"/>
  <c r="Q130" i="10" s="1"/>
  <c r="T130" i="10" s="1"/>
  <c r="W130" i="10" s="1"/>
  <c r="Q131" i="10" a="1"/>
  <c r="Q131" i="10" s="1"/>
  <c r="T131" i="10" s="1"/>
  <c r="W131" i="10" s="1"/>
  <c r="Q132" i="10" a="1"/>
  <c r="Q132" i="10" s="1"/>
  <c r="T132" i="10" s="1"/>
  <c r="W132" i="10" s="1"/>
  <c r="Q133" i="10" a="1"/>
  <c r="Q133" i="10" s="1"/>
  <c r="T133" i="10" s="1"/>
  <c r="W133" i="10" s="1"/>
  <c r="Q134" i="10" a="1"/>
  <c r="Q134" i="10" s="1"/>
  <c r="T134" i="10" s="1"/>
  <c r="W134" i="10" s="1"/>
  <c r="Q135" i="10" a="1"/>
  <c r="Q135" i="10" s="1"/>
  <c r="T135" i="10" s="1"/>
  <c r="W135" i="10" s="1"/>
  <c r="Q136" i="10" a="1"/>
  <c r="Q136" i="10" s="1"/>
  <c r="T136" i="10" s="1"/>
  <c r="W136" i="10" s="1"/>
  <c r="Q137" i="10" a="1"/>
  <c r="Q137" i="10" s="1"/>
  <c r="T137" i="10" s="1"/>
  <c r="W137" i="10" s="1"/>
  <c r="Q138" i="10" a="1"/>
  <c r="Q138" i="10" s="1"/>
  <c r="T138" i="10" s="1"/>
  <c r="W138" i="10" s="1"/>
  <c r="Q139" i="10" a="1"/>
  <c r="Q139" i="10" s="1"/>
  <c r="T139" i="10" s="1"/>
  <c r="W139" i="10" s="1"/>
  <c r="Q140" i="10" a="1"/>
  <c r="Q140" i="10" s="1"/>
  <c r="T140" i="10" s="1"/>
  <c r="W140" i="10" s="1"/>
  <c r="Q141" i="10" a="1"/>
  <c r="Q141" i="10" s="1"/>
  <c r="T141" i="10" s="1"/>
  <c r="W141" i="10" s="1"/>
  <c r="Q142" i="10" a="1"/>
  <c r="Q142" i="10" s="1"/>
  <c r="T142" i="10" s="1"/>
  <c r="W142" i="10" s="1"/>
  <c r="Q143" i="10" a="1"/>
  <c r="Q143" i="10" s="1"/>
  <c r="T143" i="10" s="1"/>
  <c r="W143" i="10" s="1"/>
  <c r="Q144" i="10" a="1"/>
  <c r="Q144" i="10" s="1"/>
  <c r="T144" i="10" s="1"/>
  <c r="W144" i="10" s="1"/>
  <c r="Q145" i="10" a="1"/>
  <c r="Q145" i="10" s="1"/>
  <c r="T145" i="10" s="1"/>
  <c r="W145" i="10" s="1"/>
  <c r="Q146" i="10" a="1"/>
  <c r="Q146" i="10" s="1"/>
  <c r="T146" i="10" s="1"/>
  <c r="W146" i="10" s="1"/>
  <c r="Q147" i="10" a="1"/>
  <c r="Q147" i="10" s="1"/>
  <c r="T147" i="10" s="1"/>
  <c r="W147" i="10" s="1"/>
  <c r="Q148" i="10" a="1"/>
  <c r="Q148" i="10" s="1"/>
  <c r="T148" i="10" s="1"/>
  <c r="W148" i="10" s="1"/>
  <c r="Q149" i="10" a="1"/>
  <c r="Q149" i="10" s="1"/>
  <c r="T149" i="10" s="1"/>
  <c r="W149" i="10" s="1"/>
  <c r="Q150" i="10" a="1"/>
  <c r="Q150" i="10" s="1"/>
  <c r="T150" i="10" s="1"/>
  <c r="W150" i="10" s="1"/>
  <c r="Q151" i="10" a="1"/>
  <c r="Q151" i="10" s="1"/>
  <c r="T151" i="10" s="1"/>
  <c r="W151" i="10" s="1"/>
  <c r="Q152" i="10" a="1"/>
  <c r="Q152" i="10" s="1"/>
  <c r="T152" i="10" s="1"/>
  <c r="W152" i="10" s="1"/>
  <c r="Q153" i="10" a="1"/>
  <c r="Q153" i="10" s="1"/>
  <c r="T153" i="10" s="1"/>
  <c r="W153" i="10" s="1"/>
  <c r="Q154" i="10" a="1"/>
  <c r="Q154" i="10" s="1"/>
  <c r="T154" i="10" s="1"/>
  <c r="W154" i="10" s="1"/>
  <c r="Q155" i="10" a="1"/>
  <c r="Q155" i="10" s="1"/>
  <c r="T155" i="10" s="1"/>
  <c r="W155" i="10" s="1"/>
  <c r="Q156" i="10" a="1"/>
  <c r="Q156" i="10" s="1"/>
  <c r="T156" i="10" s="1"/>
  <c r="W156" i="10" s="1"/>
  <c r="Q157" i="10" a="1"/>
  <c r="Q157" i="10" s="1"/>
  <c r="T157" i="10" s="1"/>
  <c r="W157" i="10" s="1"/>
  <c r="Q158" i="10" a="1"/>
  <c r="Q158" i="10" s="1"/>
  <c r="T158" i="10" s="1"/>
  <c r="W158" i="10" s="1"/>
  <c r="Q159" i="10" a="1"/>
  <c r="Q159" i="10" s="1"/>
  <c r="T159" i="10" s="1"/>
  <c r="W159" i="10" s="1"/>
  <c r="Q160" i="10" a="1"/>
  <c r="Q160" i="10" s="1"/>
  <c r="T160" i="10" s="1"/>
  <c r="W160" i="10" s="1"/>
  <c r="Q161" i="10" a="1"/>
  <c r="Q161" i="10" s="1"/>
  <c r="T161" i="10" s="1"/>
  <c r="W161" i="10" s="1"/>
  <c r="Q162" i="10" a="1"/>
  <c r="Q162" i="10" s="1"/>
  <c r="T162" i="10" s="1"/>
  <c r="W162" i="10" s="1"/>
  <c r="Q163" i="10" a="1"/>
  <c r="Q163" i="10" s="1"/>
  <c r="T163" i="10" s="1"/>
  <c r="W163" i="10" s="1"/>
  <c r="Q164" i="10" a="1"/>
  <c r="Q164" i="10" s="1"/>
  <c r="T164" i="10" s="1"/>
  <c r="W164" i="10" s="1"/>
  <c r="Q165" i="10" a="1"/>
  <c r="Q165" i="10" s="1"/>
  <c r="T165" i="10" s="1"/>
  <c r="W165" i="10" s="1"/>
  <c r="Q166" i="10" a="1"/>
  <c r="Q166" i="10" s="1"/>
  <c r="T166" i="10" s="1"/>
  <c r="W166" i="10" s="1"/>
  <c r="Q167" i="10" a="1"/>
  <c r="Q167" i="10" s="1"/>
  <c r="T167" i="10" s="1"/>
  <c r="W167" i="10" s="1"/>
  <c r="Q168" i="10" a="1"/>
  <c r="Q168" i="10" s="1"/>
  <c r="T168" i="10" s="1"/>
  <c r="W168" i="10" s="1"/>
  <c r="Q169" i="10" a="1"/>
  <c r="Q169" i="10" s="1"/>
  <c r="T169" i="10" s="1"/>
  <c r="W169" i="10" s="1"/>
  <c r="Q170" i="10" a="1"/>
  <c r="Q170" i="10" s="1"/>
  <c r="T170" i="10" s="1"/>
  <c r="W170" i="10" s="1"/>
  <c r="Q171" i="10" a="1"/>
  <c r="Q171" i="10" s="1"/>
  <c r="T171" i="10" s="1"/>
  <c r="W171" i="10" s="1"/>
  <c r="Q172" i="10" a="1"/>
  <c r="Q172" i="10" s="1"/>
  <c r="T172" i="10" s="1"/>
  <c r="W172" i="10" s="1"/>
  <c r="Q173" i="10" a="1"/>
  <c r="Q173" i="10" s="1"/>
  <c r="T173" i="10" s="1"/>
  <c r="W173" i="10" s="1"/>
  <c r="Q174" i="10" a="1"/>
  <c r="Q174" i="10" s="1"/>
  <c r="T174" i="10" s="1"/>
  <c r="W174" i="10" s="1"/>
  <c r="Q175" i="10" a="1"/>
  <c r="Q175" i="10" s="1"/>
  <c r="T175" i="10" s="1"/>
  <c r="W175" i="10" s="1"/>
  <c r="Q176" i="10" a="1"/>
  <c r="Q176" i="10" s="1"/>
  <c r="T176" i="10" s="1"/>
  <c r="W176" i="10" s="1"/>
  <c r="Q177" i="10" a="1"/>
  <c r="Q177" i="10" s="1"/>
  <c r="T177" i="10" s="1"/>
  <c r="W177" i="10" s="1"/>
  <c r="Q178" i="10" a="1"/>
  <c r="Q178" i="10" s="1"/>
  <c r="T178" i="10" s="1"/>
  <c r="W178" i="10" s="1"/>
  <c r="Q179" i="10" a="1"/>
  <c r="Q179" i="10" s="1"/>
  <c r="T179" i="10" s="1"/>
  <c r="W179" i="10" s="1"/>
  <c r="Q180" i="10" a="1"/>
  <c r="Q180" i="10" s="1"/>
  <c r="T180" i="10" s="1"/>
  <c r="W180" i="10" s="1"/>
  <c r="Q181" i="10" a="1"/>
  <c r="Q181" i="10" s="1"/>
  <c r="T181" i="10" s="1"/>
  <c r="W181" i="10" s="1"/>
  <c r="Q182" i="10" a="1"/>
  <c r="Q182" i="10" s="1"/>
  <c r="T182" i="10" s="1"/>
  <c r="W182" i="10" s="1"/>
  <c r="Q183" i="10" a="1"/>
  <c r="Q183" i="10" s="1"/>
  <c r="T183" i="10" s="1"/>
  <c r="W183" i="10" s="1"/>
  <c r="Q184" i="10" a="1"/>
  <c r="Q184" i="10" s="1"/>
  <c r="T184" i="10" s="1"/>
  <c r="W184" i="10" s="1"/>
  <c r="Q185" i="10" a="1"/>
  <c r="Q185" i="10" s="1"/>
  <c r="T185" i="10" s="1"/>
  <c r="W185" i="10" s="1"/>
  <c r="Q186" i="10" a="1"/>
  <c r="Q186" i="10" s="1"/>
  <c r="T186" i="10" s="1"/>
  <c r="W186" i="10" s="1"/>
  <c r="Q187" i="10" a="1"/>
  <c r="Q187" i="10" s="1"/>
  <c r="T187" i="10" s="1"/>
  <c r="W187" i="10" s="1"/>
  <c r="Q188" i="10" a="1"/>
  <c r="Q188" i="10" s="1"/>
  <c r="T188" i="10" s="1"/>
  <c r="W188" i="10" s="1"/>
  <c r="Q189" i="10" a="1"/>
  <c r="Q189" i="10" s="1"/>
  <c r="T189" i="10" s="1"/>
  <c r="W189" i="10" s="1"/>
  <c r="Q190" i="10" a="1"/>
  <c r="Q190" i="10" s="1"/>
  <c r="T190" i="10" s="1"/>
  <c r="W190" i="10" s="1"/>
  <c r="Q191" i="10" a="1"/>
  <c r="Q191" i="10" s="1"/>
  <c r="T191" i="10" s="1"/>
  <c r="W191" i="10" s="1"/>
  <c r="Q192" i="10" a="1"/>
  <c r="Q192" i="10" s="1"/>
  <c r="T192" i="10" s="1"/>
  <c r="W192" i="10" s="1"/>
  <c r="Q193" i="10" a="1"/>
  <c r="Q193" i="10" s="1"/>
  <c r="T193" i="10" s="1"/>
  <c r="W193" i="10" s="1"/>
  <c r="Q194" i="10" a="1"/>
  <c r="Q194" i="10" s="1"/>
  <c r="T194" i="10" s="1"/>
  <c r="W194" i="10" s="1"/>
  <c r="Q195" i="10" a="1"/>
  <c r="Q195" i="10" s="1"/>
  <c r="T195" i="10" s="1"/>
  <c r="W195" i="10" s="1"/>
  <c r="Q196" i="10" a="1"/>
  <c r="Q196" i="10" s="1"/>
  <c r="T196" i="10" s="1"/>
  <c r="W196" i="10" s="1"/>
  <c r="Q197" i="10" a="1"/>
  <c r="Q197" i="10" s="1"/>
  <c r="T197" i="10" s="1"/>
  <c r="W197" i="10" s="1"/>
  <c r="Q198" i="10" a="1"/>
  <c r="Q198" i="10" s="1"/>
  <c r="T198" i="10" s="1"/>
  <c r="W198" i="10" s="1"/>
  <c r="Q199" i="10" a="1"/>
  <c r="Q199" i="10" s="1"/>
  <c r="T199" i="10" s="1"/>
  <c r="W199" i="10" s="1"/>
  <c r="Q200" i="10" a="1"/>
  <c r="Q200" i="10" s="1"/>
  <c r="T200" i="10" s="1"/>
  <c r="W200" i="10" s="1"/>
  <c r="Q201" i="10" a="1"/>
  <c r="Q201" i="10" s="1"/>
  <c r="T201" i="10" s="1"/>
  <c r="W201" i="10" s="1"/>
  <c r="Q202" i="10" a="1"/>
  <c r="Q202" i="10" s="1"/>
  <c r="T202" i="10" s="1"/>
  <c r="W202" i="10" s="1"/>
  <c r="Q203" i="10" a="1"/>
  <c r="Q203" i="10" s="1"/>
  <c r="T203" i="10" s="1"/>
  <c r="W203" i="10" s="1"/>
  <c r="Q204" i="10" a="1"/>
  <c r="Q204" i="10" s="1"/>
  <c r="T204" i="10" s="1"/>
  <c r="W204" i="10" s="1"/>
  <c r="Q205" i="10" a="1"/>
  <c r="Q205" i="10" s="1"/>
  <c r="T205" i="10" s="1"/>
  <c r="W205" i="10" s="1"/>
  <c r="Q206" i="10" a="1"/>
  <c r="Q206" i="10" s="1"/>
  <c r="T206" i="10" s="1"/>
  <c r="W206" i="10" s="1"/>
  <c r="Q207" i="10" a="1"/>
  <c r="Q207" i="10" s="1"/>
  <c r="T207" i="10" s="1"/>
  <c r="W207" i="10" s="1"/>
  <c r="Q208" i="10" a="1"/>
  <c r="Q208" i="10" s="1"/>
  <c r="T208" i="10" s="1"/>
  <c r="W208" i="10" s="1"/>
  <c r="Q209" i="10" a="1"/>
  <c r="Q209" i="10" s="1"/>
  <c r="T209" i="10" s="1"/>
  <c r="W209" i="10" s="1"/>
  <c r="Q210" i="10" a="1"/>
  <c r="Q210" i="10" s="1"/>
  <c r="T210" i="10" s="1"/>
  <c r="W210" i="10" s="1"/>
  <c r="Q211" i="10" a="1"/>
  <c r="Q211" i="10" s="1"/>
  <c r="T211" i="10" s="1"/>
  <c r="W211" i="10" s="1"/>
  <c r="Q212" i="10" a="1"/>
  <c r="Q212" i="10" s="1"/>
  <c r="T212" i="10" s="1"/>
  <c r="W212" i="10" s="1"/>
  <c r="Q213" i="10" a="1"/>
  <c r="Q213" i="10" s="1"/>
  <c r="T213" i="10" s="1"/>
  <c r="W213" i="10" s="1"/>
  <c r="Q214" i="10" a="1"/>
  <c r="Q214" i="10" s="1"/>
  <c r="T214" i="10" s="1"/>
  <c r="W214" i="10" s="1"/>
  <c r="Q215" i="10" a="1"/>
  <c r="Q215" i="10" s="1"/>
  <c r="T215" i="10" s="1"/>
  <c r="W215" i="10" s="1"/>
  <c r="Q216" i="10" a="1"/>
  <c r="Q216" i="10" s="1"/>
  <c r="T216" i="10" s="1"/>
  <c r="W216" i="10" s="1"/>
  <c r="Q217" i="10" a="1"/>
  <c r="Q217" i="10" s="1"/>
  <c r="T217" i="10" s="1"/>
  <c r="W217" i="10" s="1"/>
  <c r="Q218" i="10" a="1"/>
  <c r="Q218" i="10" s="1"/>
  <c r="T218" i="10" s="1"/>
  <c r="W218" i="10" s="1"/>
  <c r="Q219" i="10" a="1"/>
  <c r="Q219" i="10" s="1"/>
  <c r="T219" i="10" s="1"/>
  <c r="W219" i="10" s="1"/>
  <c r="Q220" i="10" a="1"/>
  <c r="Q220" i="10" s="1"/>
  <c r="T220" i="10" s="1"/>
  <c r="W220" i="10" s="1"/>
  <c r="Q221" i="10" a="1"/>
  <c r="Q221" i="10" s="1"/>
  <c r="T221" i="10" s="1"/>
  <c r="W221" i="10" s="1"/>
  <c r="Q222" i="10" a="1"/>
  <c r="Q222" i="10" s="1"/>
  <c r="T222" i="10" s="1"/>
  <c r="W222" i="10" s="1"/>
  <c r="Q223" i="10" a="1"/>
  <c r="Q223" i="10" s="1"/>
  <c r="T223" i="10" s="1"/>
  <c r="W223" i="10" s="1"/>
  <c r="Q224" i="10" a="1"/>
  <c r="Q224" i="10" s="1"/>
  <c r="T224" i="10" s="1"/>
  <c r="W224" i="10" s="1"/>
  <c r="Q225" i="10" a="1"/>
  <c r="Q225" i="10" s="1"/>
  <c r="T225" i="10" s="1"/>
  <c r="W225" i="10" s="1"/>
  <c r="Q226" i="10" a="1"/>
  <c r="Q226" i="10" s="1"/>
  <c r="T226" i="10" s="1"/>
  <c r="W226" i="10" s="1"/>
  <c r="Q227" i="10" a="1"/>
  <c r="Q227" i="10" s="1"/>
  <c r="T227" i="10" s="1"/>
  <c r="W227" i="10" s="1"/>
  <c r="Q228" i="10" a="1"/>
  <c r="Q228" i="10" s="1"/>
  <c r="T228" i="10" s="1"/>
  <c r="W228" i="10" s="1"/>
  <c r="Q229" i="10" a="1"/>
  <c r="Q229" i="10" s="1"/>
  <c r="T229" i="10" s="1"/>
  <c r="W229" i="10" s="1"/>
  <c r="Q230" i="10" a="1"/>
  <c r="Q230" i="10" s="1"/>
  <c r="T230" i="10" s="1"/>
  <c r="W230" i="10" s="1"/>
  <c r="Q231" i="10" a="1"/>
  <c r="Q231" i="10" s="1"/>
  <c r="T231" i="10" s="1"/>
  <c r="W231" i="10" s="1"/>
  <c r="Q232" i="10" a="1"/>
  <c r="Q232" i="10" s="1"/>
  <c r="T232" i="10" s="1"/>
  <c r="W232" i="10" s="1"/>
  <c r="Q233" i="10" a="1"/>
  <c r="Q233" i="10" s="1"/>
  <c r="T233" i="10" s="1"/>
  <c r="W233" i="10" s="1"/>
  <c r="Q234" i="10" a="1"/>
  <c r="Q234" i="10" s="1"/>
  <c r="T234" i="10" s="1"/>
  <c r="W234" i="10" s="1"/>
  <c r="Q235" i="10" a="1"/>
  <c r="Q235" i="10" s="1"/>
  <c r="T235" i="10" s="1"/>
  <c r="W235" i="10" s="1"/>
  <c r="Q236" i="10" a="1"/>
  <c r="Q236" i="10" s="1"/>
  <c r="T236" i="10" s="1"/>
  <c r="W236" i="10" s="1"/>
  <c r="Q237" i="10" a="1"/>
  <c r="Q237" i="10" s="1"/>
  <c r="T237" i="10" s="1"/>
  <c r="W237" i="10" s="1"/>
  <c r="Q238" i="10" a="1"/>
  <c r="Q238" i="10" s="1"/>
  <c r="T238" i="10" s="1"/>
  <c r="W238" i="10" s="1"/>
  <c r="Q239" i="10" a="1"/>
  <c r="Q239" i="10" s="1"/>
  <c r="T239" i="10" s="1"/>
  <c r="W239" i="10" s="1"/>
  <c r="Q240" i="10" a="1"/>
  <c r="Q240" i="10" s="1"/>
  <c r="T240" i="10" s="1"/>
  <c r="W240" i="10" s="1"/>
  <c r="Q241" i="10" a="1"/>
  <c r="Q241" i="10" s="1"/>
  <c r="T241" i="10" s="1"/>
  <c r="W241" i="10" s="1"/>
  <c r="Q242" i="10" a="1"/>
  <c r="Q242" i="10" s="1"/>
  <c r="T242" i="10" s="1"/>
  <c r="W242" i="10" s="1"/>
  <c r="Q243" i="10" a="1"/>
  <c r="Q243" i="10" s="1"/>
  <c r="T243" i="10" s="1"/>
  <c r="W243" i="10" s="1"/>
  <c r="Q244" i="10" a="1"/>
  <c r="Q244" i="10" s="1"/>
  <c r="T244" i="10" s="1"/>
  <c r="W244" i="10" s="1"/>
  <c r="Q245" i="10" a="1"/>
  <c r="Q245" i="10" s="1"/>
  <c r="T245" i="10" s="1"/>
  <c r="W245" i="10" s="1"/>
  <c r="Q246" i="10" a="1"/>
  <c r="Q246" i="10" s="1"/>
  <c r="T246" i="10" s="1"/>
  <c r="W246" i="10" s="1"/>
  <c r="Q247" i="10" a="1"/>
  <c r="Q247" i="10" s="1"/>
  <c r="T247" i="10" s="1"/>
  <c r="W247" i="10" s="1"/>
  <c r="Q248" i="10" a="1"/>
  <c r="Q248" i="10" s="1"/>
  <c r="T248" i="10" s="1"/>
  <c r="W248" i="10" s="1"/>
  <c r="Q249" i="10" a="1"/>
  <c r="Q249" i="10" s="1"/>
  <c r="T249" i="10" s="1"/>
  <c r="W249" i="10" s="1"/>
  <c r="Q250" i="10" a="1"/>
  <c r="Q250" i="10" s="1"/>
  <c r="T250" i="10" s="1"/>
  <c r="W250" i="10" s="1"/>
  <c r="Q251" i="10" a="1"/>
  <c r="Q251" i="10" s="1"/>
  <c r="T251" i="10" s="1"/>
  <c r="W251" i="10" s="1"/>
  <c r="Q252" i="10" a="1"/>
  <c r="Q252" i="10" s="1"/>
  <c r="T252" i="10" s="1"/>
  <c r="W252" i="10" s="1"/>
  <c r="Q253" i="10" a="1"/>
  <c r="Q253" i="10" s="1"/>
  <c r="T253" i="10" s="1"/>
  <c r="W253" i="10" s="1"/>
  <c r="Q254" i="10" a="1"/>
  <c r="Q254" i="10" s="1"/>
  <c r="T254" i="10" s="1"/>
  <c r="W254" i="10" s="1"/>
  <c r="Q255" i="10" a="1"/>
  <c r="Q255" i="10" s="1"/>
  <c r="T255" i="10" s="1"/>
  <c r="W255" i="10" s="1"/>
  <c r="Q256" i="10" a="1"/>
  <c r="Q256" i="10" s="1"/>
  <c r="T256" i="10" s="1"/>
  <c r="W256" i="10" s="1"/>
  <c r="Q257" i="10" a="1"/>
  <c r="Q257" i="10" s="1"/>
  <c r="T257" i="10" s="1"/>
  <c r="W257" i="10" s="1"/>
  <c r="Q258" i="10" a="1"/>
  <c r="Q258" i="10" s="1"/>
  <c r="T258" i="10" s="1"/>
  <c r="W258" i="10" s="1"/>
  <c r="Q259" i="10" a="1"/>
  <c r="Q259" i="10" s="1"/>
  <c r="T259" i="10" s="1"/>
  <c r="W259" i="10" s="1"/>
  <c r="Q260" i="10" a="1"/>
  <c r="Q260" i="10" s="1"/>
  <c r="T260" i="10" s="1"/>
  <c r="W260" i="10" s="1"/>
  <c r="Q261" i="10" a="1"/>
  <c r="Q261" i="10" s="1"/>
  <c r="T261" i="10" s="1"/>
  <c r="W261" i="10" s="1"/>
  <c r="Q262" i="10" a="1"/>
  <c r="Q262" i="10" s="1"/>
  <c r="T262" i="10" s="1"/>
  <c r="W262" i="10" s="1"/>
  <c r="Q263" i="10" a="1"/>
  <c r="Q263" i="10" s="1"/>
  <c r="T263" i="10" s="1"/>
  <c r="W263" i="10" s="1"/>
  <c r="Q264" i="10" a="1"/>
  <c r="Q264" i="10" s="1"/>
  <c r="T264" i="10" s="1"/>
  <c r="W264" i="10" s="1"/>
  <c r="Q265" i="10" a="1"/>
  <c r="Q265" i="10" s="1"/>
  <c r="T265" i="10" s="1"/>
  <c r="W265" i="10" s="1"/>
  <c r="Q266" i="10" a="1"/>
  <c r="Q266" i="10" s="1"/>
  <c r="T266" i="10" s="1"/>
  <c r="W266" i="10" s="1"/>
  <c r="Q267" i="10" a="1"/>
  <c r="Q267" i="10" s="1"/>
  <c r="T267" i="10" s="1"/>
  <c r="W267" i="10" s="1"/>
  <c r="Q268" i="10" a="1"/>
  <c r="Q268" i="10" s="1"/>
  <c r="T268" i="10" s="1"/>
  <c r="W268" i="10" s="1"/>
  <c r="Q269" i="10" a="1"/>
  <c r="Q269" i="10" s="1"/>
  <c r="T269" i="10" s="1"/>
  <c r="W269" i="10" s="1"/>
  <c r="Q270" i="10" a="1"/>
  <c r="Q270" i="10" s="1"/>
  <c r="T270" i="10" s="1"/>
  <c r="W270" i="10" s="1"/>
  <c r="Q271" i="10" a="1"/>
  <c r="Q271" i="10" s="1"/>
  <c r="T271" i="10" s="1"/>
  <c r="W271" i="10" s="1"/>
  <c r="Q272" i="10" a="1"/>
  <c r="Q272" i="10" s="1"/>
  <c r="T272" i="10" s="1"/>
  <c r="W272" i="10" s="1"/>
  <c r="Q273" i="10" a="1"/>
  <c r="Q273" i="10" s="1"/>
  <c r="T273" i="10" s="1"/>
  <c r="W273" i="10" s="1"/>
  <c r="Q274" i="10" a="1"/>
  <c r="Q274" i="10" s="1"/>
  <c r="T274" i="10" s="1"/>
  <c r="W274" i="10" s="1"/>
  <c r="Q275" i="10" a="1"/>
  <c r="Q275" i="10" s="1"/>
  <c r="T275" i="10" s="1"/>
  <c r="W275" i="10" s="1"/>
  <c r="Q276" i="10" a="1"/>
  <c r="Q276" i="10" s="1"/>
  <c r="T276" i="10" s="1"/>
  <c r="W276" i="10" s="1"/>
  <c r="Q277" i="10" a="1"/>
  <c r="Q277" i="10" s="1"/>
  <c r="T277" i="10" s="1"/>
  <c r="W277" i="10" s="1"/>
  <c r="Q278" i="10" a="1"/>
  <c r="Q278" i="10" s="1"/>
  <c r="T278" i="10" s="1"/>
  <c r="W278" i="10" s="1"/>
  <c r="Q279" i="10" a="1"/>
  <c r="Q279" i="10" s="1"/>
  <c r="T279" i="10" s="1"/>
  <c r="W279" i="10" s="1"/>
  <c r="Q280" i="10" a="1"/>
  <c r="Q280" i="10" s="1"/>
  <c r="T280" i="10" s="1"/>
  <c r="W280" i="10" s="1"/>
  <c r="Q281" i="10" a="1"/>
  <c r="Q281" i="10" s="1"/>
  <c r="T281" i="10" s="1"/>
  <c r="W281" i="10" s="1"/>
  <c r="Q282" i="10" a="1"/>
  <c r="Q282" i="10" s="1"/>
  <c r="T282" i="10" s="1"/>
  <c r="W282" i="10" s="1"/>
  <c r="Q283" i="10" a="1"/>
  <c r="Q283" i="10" s="1"/>
  <c r="T283" i="10" s="1"/>
  <c r="W283" i="10" s="1"/>
  <c r="Q284" i="10" a="1"/>
  <c r="Q284" i="10" s="1"/>
  <c r="T284" i="10" s="1"/>
  <c r="W284" i="10" s="1"/>
  <c r="Q285" i="10" a="1"/>
  <c r="Q285" i="10" s="1"/>
  <c r="T285" i="10" s="1"/>
  <c r="W285" i="10" s="1"/>
  <c r="Q286" i="10" a="1"/>
  <c r="Q286" i="10" s="1"/>
  <c r="T286" i="10" s="1"/>
  <c r="W286" i="10" s="1"/>
  <c r="Q287" i="10" a="1"/>
  <c r="Q287" i="10" s="1"/>
  <c r="T287" i="10" s="1"/>
  <c r="W287" i="10" s="1"/>
  <c r="Q288" i="10" a="1"/>
  <c r="Q288" i="10" s="1"/>
  <c r="T288" i="10" s="1"/>
  <c r="W288" i="10" s="1"/>
  <c r="Q289" i="10" a="1"/>
  <c r="Q289" i="10" s="1"/>
  <c r="T289" i="10" s="1"/>
  <c r="W289" i="10" s="1"/>
  <c r="Q290" i="10" a="1"/>
  <c r="Q290" i="10" s="1"/>
  <c r="T290" i="10" s="1"/>
  <c r="W290" i="10" s="1"/>
  <c r="Q291" i="10" a="1"/>
  <c r="Q291" i="10" s="1"/>
  <c r="T291" i="10" s="1"/>
  <c r="W291" i="10" s="1"/>
  <c r="Q292" i="10" a="1"/>
  <c r="Q292" i="10" s="1"/>
  <c r="T292" i="10" s="1"/>
  <c r="W292" i="10" s="1"/>
  <c r="Q293" i="10" a="1"/>
  <c r="Q293" i="10" s="1"/>
  <c r="T293" i="10" s="1"/>
  <c r="W293" i="10" s="1"/>
  <c r="Q294" i="10" a="1"/>
  <c r="Q294" i="10" s="1"/>
  <c r="T294" i="10" s="1"/>
  <c r="W294" i="10" s="1"/>
  <c r="Q295" i="10" a="1"/>
  <c r="Q295" i="10" s="1"/>
  <c r="T295" i="10" s="1"/>
  <c r="W295" i="10" s="1"/>
  <c r="Q296" i="10" a="1"/>
  <c r="Q296" i="10" s="1"/>
  <c r="T296" i="10" s="1"/>
  <c r="W296" i="10" s="1"/>
  <c r="Q297" i="10" a="1"/>
  <c r="Q297" i="10" s="1"/>
  <c r="T297" i="10" s="1"/>
  <c r="W297" i="10" s="1"/>
  <c r="Q298" i="10" a="1"/>
  <c r="Q298" i="10" s="1"/>
  <c r="T298" i="10" s="1"/>
  <c r="W298" i="10" s="1"/>
  <c r="Q299" i="10" a="1"/>
  <c r="Q299" i="10" s="1"/>
  <c r="T299" i="10" s="1"/>
  <c r="W299" i="10" s="1"/>
  <c r="Q300" i="10" a="1"/>
  <c r="Q300" i="10" s="1"/>
  <c r="T300" i="10" s="1"/>
  <c r="W300" i="10" s="1"/>
  <c r="Q301" i="10" a="1"/>
  <c r="Q301" i="10" s="1"/>
  <c r="T301" i="10" s="1"/>
  <c r="W301" i="10" s="1"/>
  <c r="Q302" i="10" a="1"/>
  <c r="Q302" i="10" s="1"/>
  <c r="T302" i="10" s="1"/>
  <c r="W302" i="10" s="1"/>
  <c r="Q303" i="10" a="1"/>
  <c r="Q303" i="10" s="1"/>
  <c r="T303" i="10" s="1"/>
  <c r="W303" i="10" s="1"/>
  <c r="Q304" i="10" a="1"/>
  <c r="Q304" i="10" s="1"/>
  <c r="T304" i="10" s="1"/>
  <c r="W304" i="10" s="1"/>
  <c r="Q305" i="10" a="1"/>
  <c r="Q305" i="10" s="1"/>
  <c r="T305" i="10" s="1"/>
  <c r="W305" i="10" s="1"/>
  <c r="Q306" i="10" a="1"/>
  <c r="Q306" i="10" s="1"/>
  <c r="T306" i="10" s="1"/>
  <c r="W306" i="10" s="1"/>
  <c r="Q307" i="10" a="1"/>
  <c r="Q307" i="10" s="1"/>
  <c r="T307" i="10" s="1"/>
  <c r="W307" i="10" s="1"/>
  <c r="Q308" i="10" a="1"/>
  <c r="Q308" i="10" s="1"/>
  <c r="T308" i="10" s="1"/>
  <c r="W308" i="10" s="1"/>
  <c r="Q309" i="10" a="1"/>
  <c r="Q309" i="10" s="1"/>
  <c r="T309" i="10" s="1"/>
  <c r="W309" i="10" s="1"/>
  <c r="Q310" i="10" a="1"/>
  <c r="Q310" i="10" s="1"/>
  <c r="T310" i="10" s="1"/>
  <c r="W310" i="10" s="1"/>
  <c r="Q311" i="10" a="1"/>
  <c r="Q311" i="10" s="1"/>
  <c r="T311" i="10" s="1"/>
  <c r="W311" i="10" s="1"/>
  <c r="Q312" i="10" a="1"/>
  <c r="Q312" i="10" s="1"/>
  <c r="T312" i="10" s="1"/>
  <c r="W312" i="10" s="1"/>
  <c r="Q313" i="10" a="1"/>
  <c r="Q313" i="10" s="1"/>
  <c r="T313" i="10" s="1"/>
  <c r="W313" i="10" s="1"/>
  <c r="Q314" i="10" a="1"/>
  <c r="Q314" i="10" s="1"/>
  <c r="T314" i="10" s="1"/>
  <c r="W314" i="10" s="1"/>
  <c r="Q315" i="10" a="1"/>
  <c r="Q315" i="10" s="1"/>
  <c r="T315" i="10" s="1"/>
  <c r="W315" i="10" s="1"/>
  <c r="Q316" i="10" a="1"/>
  <c r="Q316" i="10" s="1"/>
  <c r="T316" i="10" s="1"/>
  <c r="W316" i="10" s="1"/>
  <c r="Q317" i="10" a="1"/>
  <c r="Q317" i="10" s="1"/>
  <c r="T317" i="10" s="1"/>
  <c r="W317" i="10" s="1"/>
  <c r="Q318" i="10" a="1"/>
  <c r="Q318" i="10" s="1"/>
  <c r="T318" i="10" s="1"/>
  <c r="W318" i="10" s="1"/>
  <c r="Q319" i="10" a="1"/>
  <c r="Q319" i="10" s="1"/>
  <c r="T319" i="10" s="1"/>
  <c r="W319" i="10" s="1"/>
  <c r="Q320" i="10" a="1"/>
  <c r="Q320" i="10" s="1"/>
  <c r="T320" i="10" s="1"/>
  <c r="W320" i="10" s="1"/>
  <c r="Q321" i="10" a="1"/>
  <c r="Q321" i="10" s="1"/>
  <c r="T321" i="10" s="1"/>
  <c r="W321" i="10" s="1"/>
  <c r="Q322" i="10" a="1"/>
  <c r="Q322" i="10" s="1"/>
  <c r="T322" i="10" s="1"/>
  <c r="W322" i="10" s="1"/>
  <c r="Q3" i="10" a="1"/>
  <c r="Q3" i="10" s="1"/>
  <c r="T3" i="10" s="1"/>
  <c r="W3" i="10" s="1"/>
  <c r="Q5" i="10" a="1"/>
  <c r="Q5" i="10" s="1"/>
  <c r="T5" i="10" s="1"/>
  <c r="W5" i="10" s="1"/>
  <c r="Q6" i="10" a="1"/>
  <c r="Q6" i="10" s="1"/>
  <c r="T6" i="10" s="1"/>
  <c r="W6" i="10" s="1"/>
  <c r="Q8" i="10" a="1"/>
  <c r="Q8" i="10" s="1"/>
  <c r="T8" i="10" s="1"/>
  <c r="W8" i="10" s="1"/>
  <c r="Q9" i="10" a="1"/>
  <c r="Q9" i="10" s="1"/>
  <c r="T9" i="10" s="1"/>
  <c r="W9" i="10" s="1"/>
  <c r="Q10" i="10" a="1"/>
  <c r="Q10" i="10" s="1"/>
  <c r="T10" i="10" s="1"/>
  <c r="W10" i="10" s="1"/>
  <c r="Q4" i="10" a="1"/>
  <c r="Q4" i="10" s="1"/>
  <c r="T4" i="10" s="1"/>
  <c r="W4" i="10" s="1"/>
  <c r="C67" i="18" l="1"/>
  <c r="B67" i="18"/>
  <c r="C68" i="18"/>
  <c r="B68" i="18"/>
  <c r="C78" i="18" s="1"/>
  <c r="B50" i="28" a="1"/>
  <c r="B50" i="28" s="1"/>
  <c r="M4" i="13"/>
  <c r="C76" i="18"/>
  <c r="C80" i="18" s="1"/>
  <c r="C77" i="18"/>
  <c r="C64" i="18"/>
  <c r="C66" i="18"/>
  <c r="L33" i="30"/>
  <c r="I20" i="31" s="1"/>
  <c r="D16" i="18" s="1"/>
  <c r="C65" i="18"/>
  <c r="Y273" i="10"/>
  <c r="Z273" i="10" s="1"/>
  <c r="AA273" i="10"/>
  <c r="B6" i="23"/>
  <c r="C25" i="23"/>
  <c r="Y26" i="10"/>
  <c r="Z26" i="10" s="1"/>
  <c r="Y16" i="10"/>
  <c r="Z16" i="10" s="1"/>
  <c r="Y6" i="10"/>
  <c r="Z6" i="10" s="1"/>
  <c r="X115" i="10"/>
  <c r="X105" i="10"/>
  <c r="X95" i="10"/>
  <c r="X85" i="10"/>
  <c r="X75" i="10"/>
  <c r="X65" i="10"/>
  <c r="X55" i="10"/>
  <c r="X45" i="10"/>
  <c r="X35" i="10"/>
  <c r="X24" i="10"/>
  <c r="X14" i="10"/>
  <c r="X4" i="10"/>
  <c r="Y315" i="10"/>
  <c r="Z315" i="10" s="1"/>
  <c r="Y305" i="10"/>
  <c r="Z305" i="10" s="1"/>
  <c r="Y295" i="10"/>
  <c r="Z295" i="10" s="1"/>
  <c r="Y285" i="10"/>
  <c r="Z285" i="10" s="1"/>
  <c r="Y275" i="10"/>
  <c r="Z275" i="10" s="1"/>
  <c r="Y265" i="10"/>
  <c r="Z265" i="10" s="1"/>
  <c r="Y255" i="10"/>
  <c r="Z255" i="10" s="1"/>
  <c r="Y245" i="10"/>
  <c r="Z245" i="10" s="1"/>
  <c r="Y235" i="10"/>
  <c r="Z235" i="10" s="1"/>
  <c r="Y225" i="10"/>
  <c r="Z225" i="10" s="1"/>
  <c r="Y215" i="10"/>
  <c r="Z215" i="10" s="1"/>
  <c r="Y205" i="10"/>
  <c r="Z205" i="10" s="1"/>
  <c r="Y195" i="10"/>
  <c r="Z195" i="10" s="1"/>
  <c r="Y185" i="10"/>
  <c r="Z185" i="10" s="1"/>
  <c r="Y175" i="10"/>
  <c r="Z175" i="10" s="1"/>
  <c r="Y165" i="10"/>
  <c r="Z165" i="10" s="1"/>
  <c r="Y155" i="10"/>
  <c r="Z155" i="10" s="1"/>
  <c r="Y145" i="10"/>
  <c r="Z145" i="10" s="1"/>
  <c r="Y135" i="10"/>
  <c r="Z135" i="10" s="1"/>
  <c r="Y125" i="10"/>
  <c r="Z125" i="10" s="1"/>
  <c r="Y115" i="10"/>
  <c r="Y105" i="10"/>
  <c r="Y95" i="10"/>
  <c r="Y85" i="10"/>
  <c r="Y75" i="10"/>
  <c r="Y65" i="10"/>
  <c r="Y55" i="10"/>
  <c r="Y45" i="10"/>
  <c r="Y35" i="10"/>
  <c r="Y25" i="10"/>
  <c r="Z25" i="10" s="1"/>
  <c r="Y15" i="10"/>
  <c r="Z15" i="10" s="1"/>
  <c r="Y5" i="10"/>
  <c r="Z5" i="10" s="1"/>
  <c r="Y124" i="10"/>
  <c r="Z124" i="10" s="1"/>
  <c r="Y114" i="10"/>
  <c r="Z114" i="10" s="1"/>
  <c r="Y104" i="10"/>
  <c r="Z104" i="10" s="1"/>
  <c r="Y94" i="10"/>
  <c r="Z94" i="10" s="1"/>
  <c r="Y84" i="10"/>
  <c r="Z84" i="10" s="1"/>
  <c r="Y74" i="10"/>
  <c r="Z74" i="10" s="1"/>
  <c r="Y64" i="10"/>
  <c r="Z64" i="10" s="1"/>
  <c r="Y54" i="10"/>
  <c r="Z54" i="10" s="1"/>
  <c r="Y44" i="10"/>
  <c r="Z44" i="10" s="1"/>
  <c r="Y34" i="10"/>
  <c r="Z34" i="10" s="1"/>
  <c r="Y24" i="10"/>
  <c r="Y14" i="10"/>
  <c r="Y4" i="10"/>
  <c r="Y113" i="10"/>
  <c r="Z113" i="10" s="1"/>
  <c r="Y103" i="10"/>
  <c r="Z103" i="10" s="1"/>
  <c r="Y93" i="10"/>
  <c r="Z93" i="10" s="1"/>
  <c r="Y83" i="10"/>
  <c r="Z83" i="10" s="1"/>
  <c r="Y73" i="10"/>
  <c r="Z73" i="10" s="1"/>
  <c r="Y63" i="10"/>
  <c r="Z63" i="10" s="1"/>
  <c r="Y53" i="10"/>
  <c r="Z53" i="10" s="1"/>
  <c r="Y43" i="10"/>
  <c r="Z43" i="10" s="1"/>
  <c r="Y33" i="10"/>
  <c r="Z33" i="10" s="1"/>
  <c r="Y23" i="10"/>
  <c r="Z23" i="10" s="1"/>
  <c r="Y13" i="10"/>
  <c r="Z13" i="10" s="1"/>
  <c r="Y122" i="10"/>
  <c r="Z122" i="10" s="1"/>
  <c r="Y112" i="10"/>
  <c r="Z112" i="10" s="1"/>
  <c r="Y102" i="10"/>
  <c r="Z102" i="10" s="1"/>
  <c r="Y92" i="10"/>
  <c r="Z92" i="10" s="1"/>
  <c r="Y82" i="10"/>
  <c r="Z82" i="10" s="1"/>
  <c r="Y72" i="10"/>
  <c r="Z72" i="10" s="1"/>
  <c r="Y62" i="10"/>
  <c r="Z62" i="10" s="1"/>
  <c r="Y52" i="10"/>
  <c r="Z52" i="10" s="1"/>
  <c r="Y42" i="10"/>
  <c r="Z42" i="10" s="1"/>
  <c r="Y32" i="10"/>
  <c r="Z32" i="10" s="1"/>
  <c r="Y22" i="10"/>
  <c r="Z22" i="10" s="1"/>
  <c r="Y12" i="10"/>
  <c r="Z12" i="10" s="1"/>
  <c r="X121" i="10"/>
  <c r="X111" i="10"/>
  <c r="X101" i="10"/>
  <c r="X91" i="10"/>
  <c r="X81" i="10"/>
  <c r="X71" i="10"/>
  <c r="X61" i="10"/>
  <c r="X51" i="10"/>
  <c r="X41" i="10"/>
  <c r="X31" i="10"/>
  <c r="X20" i="10"/>
  <c r="Z20" i="10" s="1"/>
  <c r="X10" i="10"/>
  <c r="Z10" i="10" s="1"/>
  <c r="Y321" i="10"/>
  <c r="Z321" i="10" s="1"/>
  <c r="Y311" i="10"/>
  <c r="Z311" i="10" s="1"/>
  <c r="Y301" i="10"/>
  <c r="Z301" i="10" s="1"/>
  <c r="Y291" i="10"/>
  <c r="Z291" i="10" s="1"/>
  <c r="Y281" i="10"/>
  <c r="Z281" i="10" s="1"/>
  <c r="Y271" i="10"/>
  <c r="Z271" i="10" s="1"/>
  <c r="Y261" i="10"/>
  <c r="Z261" i="10" s="1"/>
  <c r="Y251" i="10"/>
  <c r="Z251" i="10" s="1"/>
  <c r="Y241" i="10"/>
  <c r="Z241" i="10" s="1"/>
  <c r="Y231" i="10"/>
  <c r="Z231" i="10" s="1"/>
  <c r="Y221" i="10"/>
  <c r="Z221" i="10" s="1"/>
  <c r="Y211" i="10"/>
  <c r="Z211" i="10" s="1"/>
  <c r="Y201" i="10"/>
  <c r="Z201" i="10" s="1"/>
  <c r="Y191" i="10"/>
  <c r="Z191" i="10" s="1"/>
  <c r="Y181" i="10"/>
  <c r="Z181" i="10" s="1"/>
  <c r="Y171" i="10"/>
  <c r="Z171" i="10" s="1"/>
  <c r="Y161" i="10"/>
  <c r="Z161" i="10" s="1"/>
  <c r="Y151" i="10"/>
  <c r="Z151" i="10" s="1"/>
  <c r="Y141" i="10"/>
  <c r="Z141" i="10" s="1"/>
  <c r="Y131" i="10"/>
  <c r="Z131" i="10" s="1"/>
  <c r="Y121" i="10"/>
  <c r="Y111" i="10"/>
  <c r="Y101" i="10"/>
  <c r="Y91" i="10"/>
  <c r="Y81" i="10"/>
  <c r="Y71" i="10"/>
  <c r="Y61" i="10"/>
  <c r="Y51" i="10"/>
  <c r="Y41" i="10"/>
  <c r="Y31" i="10"/>
  <c r="Y21" i="10"/>
  <c r="Z21" i="10" s="1"/>
  <c r="Y11" i="10"/>
  <c r="Z11" i="10" s="1"/>
  <c r="Y219" i="10"/>
  <c r="Z219" i="10" s="1"/>
  <c r="Y209" i="10"/>
  <c r="Z209" i="10" s="1"/>
  <c r="Y199" i="10"/>
  <c r="Z199" i="10" s="1"/>
  <c r="Y189" i="10"/>
  <c r="Z189" i="10" s="1"/>
  <c r="Y179" i="10"/>
  <c r="Z179" i="10" s="1"/>
  <c r="Y169" i="10"/>
  <c r="Z169" i="10" s="1"/>
  <c r="Y159" i="10"/>
  <c r="Z159" i="10" s="1"/>
  <c r="Y149" i="10"/>
  <c r="Z149" i="10" s="1"/>
  <c r="Y139" i="10"/>
  <c r="Z139" i="10" s="1"/>
  <c r="Y129" i="10"/>
  <c r="Z129" i="10" s="1"/>
  <c r="Y119" i="10"/>
  <c r="Z119" i="10" s="1"/>
  <c r="Y109" i="10"/>
  <c r="Z109" i="10" s="1"/>
  <c r="Y99" i="10"/>
  <c r="Z99" i="10" s="1"/>
  <c r="Y89" i="10"/>
  <c r="Z89" i="10" s="1"/>
  <c r="Y79" i="10"/>
  <c r="Z79" i="10" s="1"/>
  <c r="Y69" i="10"/>
  <c r="Z69" i="10" s="1"/>
  <c r="Y59" i="10"/>
  <c r="Z59" i="10" s="1"/>
  <c r="Y49" i="10"/>
  <c r="Z49" i="10" s="1"/>
  <c r="Y39" i="10"/>
  <c r="Z39" i="10" s="1"/>
  <c r="Y29" i="10"/>
  <c r="Z29" i="10" s="1"/>
  <c r="Y19" i="10"/>
  <c r="Z19" i="10" s="1"/>
  <c r="Y9" i="10"/>
  <c r="Z9" i="10" s="1"/>
  <c r="Z317" i="10"/>
  <c r="Z307" i="10"/>
  <c r="Z297" i="10"/>
  <c r="Z287" i="10"/>
  <c r="Z277" i="10"/>
  <c r="Z267" i="10"/>
  <c r="Z257" i="10"/>
  <c r="Z247" i="10"/>
  <c r="Z237" i="10"/>
  <c r="Z227" i="10"/>
  <c r="Z217" i="10"/>
  <c r="Z207" i="10"/>
  <c r="Z197" i="10"/>
  <c r="Z187" i="10"/>
  <c r="Z177" i="10"/>
  <c r="Z167" i="10"/>
  <c r="Z157" i="10"/>
  <c r="Z147" i="10"/>
  <c r="Z137" i="10"/>
  <c r="Z127" i="10"/>
  <c r="Z117" i="10"/>
  <c r="Z107" i="10"/>
  <c r="Z97" i="10"/>
  <c r="Z87" i="10"/>
  <c r="Z77" i="10"/>
  <c r="Z67" i="10"/>
  <c r="Z57" i="10"/>
  <c r="Z47" i="10"/>
  <c r="Z37" i="10"/>
  <c r="Z27" i="10"/>
  <c r="Z17" i="10"/>
  <c r="Z8" i="10"/>
  <c r="Z316" i="10"/>
  <c r="Z306" i="10"/>
  <c r="Z296" i="10"/>
  <c r="Z286" i="10"/>
  <c r="Z276" i="10"/>
  <c r="Z266" i="10"/>
  <c r="Z256" i="10"/>
  <c r="Z246" i="10"/>
  <c r="Z236" i="10"/>
  <c r="Z226" i="10"/>
  <c r="Z216" i="10"/>
  <c r="Z206" i="10"/>
  <c r="Z196" i="10"/>
  <c r="Z186" i="10"/>
  <c r="Z176" i="10"/>
  <c r="Z166" i="10"/>
  <c r="Z318" i="10"/>
  <c r="Z308" i="10"/>
  <c r="Z298" i="10"/>
  <c r="Z288" i="10"/>
  <c r="Z278" i="10"/>
  <c r="Z268" i="10"/>
  <c r="Z258" i="10"/>
  <c r="Z248" i="10"/>
  <c r="Z238" i="10"/>
  <c r="Z228" i="10"/>
  <c r="Z218" i="10"/>
  <c r="Z208" i="10"/>
  <c r="Z156" i="10"/>
  <c r="Z146" i="10"/>
  <c r="Z136" i="10"/>
  <c r="Z126" i="10"/>
  <c r="Z116" i="10"/>
  <c r="Z106" i="10"/>
  <c r="Z96" i="10"/>
  <c r="Z86" i="10"/>
  <c r="Z76" i="10"/>
  <c r="Z66" i="10"/>
  <c r="Z56" i="10"/>
  <c r="Z46" i="10"/>
  <c r="Z36" i="10"/>
  <c r="Z198" i="10"/>
  <c r="Z188" i="10"/>
  <c r="Z178" i="10"/>
  <c r="Z168" i="10"/>
  <c r="Z158" i="10"/>
  <c r="Z148" i="10"/>
  <c r="Z138" i="10"/>
  <c r="Z128" i="10"/>
  <c r="Z118" i="10"/>
  <c r="Z108" i="10"/>
  <c r="Z98" i="10"/>
  <c r="Z88" i="10"/>
  <c r="Z78" i="10"/>
  <c r="Z68" i="10"/>
  <c r="Z58" i="10"/>
  <c r="Z48" i="10"/>
  <c r="Z38" i="10"/>
  <c r="Z28" i="10"/>
  <c r="Z18" i="10"/>
  <c r="Z7" i="10"/>
  <c r="Z319" i="10"/>
  <c r="Z309" i="10"/>
  <c r="Z299" i="10"/>
  <c r="Z289" i="10"/>
  <c r="Z279" i="10"/>
  <c r="Z269" i="10"/>
  <c r="Z259" i="10"/>
  <c r="Z249" i="10"/>
  <c r="Z239" i="10"/>
  <c r="Z229" i="10"/>
  <c r="Z314" i="10"/>
  <c r="Z304" i="10"/>
  <c r="Z294" i="10"/>
  <c r="Z284" i="10"/>
  <c r="Z274" i="10"/>
  <c r="Z264" i="10"/>
  <c r="Z254" i="10"/>
  <c r="Z244" i="10"/>
  <c r="Z234" i="10"/>
  <c r="Z224" i="10"/>
  <c r="Z214" i="10"/>
  <c r="Z204" i="10"/>
  <c r="Z194" i="10"/>
  <c r="Z184" i="10"/>
  <c r="Z174" i="10"/>
  <c r="Z164" i="10"/>
  <c r="Z154" i="10"/>
  <c r="Z144" i="10"/>
  <c r="Z134" i="10"/>
  <c r="Z3" i="10"/>
  <c r="Z303" i="10"/>
  <c r="Z293" i="10"/>
  <c r="Z283" i="10"/>
  <c r="Z263" i="10"/>
  <c r="Z253" i="10"/>
  <c r="Z243" i="10"/>
  <c r="Z233" i="10"/>
  <c r="Z223" i="10"/>
  <c r="Z213" i="10"/>
  <c r="Z203" i="10"/>
  <c r="Z193" i="10"/>
  <c r="Z183" i="10"/>
  <c r="Z173" i="10"/>
  <c r="Z163" i="10"/>
  <c r="Z153" i="10"/>
  <c r="Z143" i="10"/>
  <c r="Z133" i="10"/>
  <c r="Z123" i="10"/>
  <c r="Z313" i="10"/>
  <c r="Z322" i="10"/>
  <c r="Z312" i="10"/>
  <c r="Z302" i="10"/>
  <c r="Z292" i="10"/>
  <c r="Z282" i="10"/>
  <c r="Z272" i="10"/>
  <c r="Z262" i="10"/>
  <c r="Z252" i="10"/>
  <c r="Z242" i="10"/>
  <c r="Z232" i="10"/>
  <c r="Z222" i="10"/>
  <c r="Z212" i="10"/>
  <c r="Z202" i="10"/>
  <c r="Z192" i="10"/>
  <c r="Z182" i="10"/>
  <c r="Z172" i="10"/>
  <c r="Z162" i="10"/>
  <c r="Z152" i="10"/>
  <c r="Z142" i="10"/>
  <c r="Z132" i="10"/>
  <c r="Z320" i="10"/>
  <c r="Z310" i="10"/>
  <c r="Z300" i="10"/>
  <c r="Z290" i="10"/>
  <c r="Z280" i="10"/>
  <c r="Z270" i="10"/>
  <c r="Z260" i="10"/>
  <c r="Z250" i="10"/>
  <c r="Z240" i="10"/>
  <c r="Z230" i="10"/>
  <c r="Z220" i="10"/>
  <c r="Z210" i="10"/>
  <c r="Z200" i="10"/>
  <c r="Z190" i="10"/>
  <c r="Z180" i="10"/>
  <c r="Z170" i="10"/>
  <c r="Z160" i="10"/>
  <c r="Z150" i="10"/>
  <c r="Z140" i="10"/>
  <c r="Z130" i="10"/>
  <c r="Z120" i="10"/>
  <c r="Z110" i="10"/>
  <c r="Z100" i="10"/>
  <c r="Z90" i="10"/>
  <c r="Z80" i="10"/>
  <c r="Z70" i="10"/>
  <c r="Z60" i="10"/>
  <c r="Z50" i="10"/>
  <c r="Z40" i="10"/>
  <c r="Z30" i="10"/>
  <c r="AA217" i="10"/>
  <c r="AA209" i="10"/>
  <c r="AA201" i="10"/>
  <c r="AA193" i="10"/>
  <c r="AA185" i="10"/>
  <c r="AA177" i="10"/>
  <c r="AA169" i="10"/>
  <c r="AA161" i="10"/>
  <c r="AA153" i="10"/>
  <c r="AA145" i="10"/>
  <c r="AA137" i="10"/>
  <c r="AA129" i="10"/>
  <c r="AA121" i="10"/>
  <c r="AA113" i="10"/>
  <c r="AA105" i="10"/>
  <c r="AA97" i="10"/>
  <c r="AA89" i="10"/>
  <c r="AA81" i="10"/>
  <c r="AA73" i="10"/>
  <c r="AA65" i="10"/>
  <c r="AA57" i="10"/>
  <c r="AA49" i="10"/>
  <c r="AA41" i="10"/>
  <c r="AA33" i="10"/>
  <c r="AA25" i="10"/>
  <c r="AA17" i="10"/>
  <c r="AA9" i="10"/>
  <c r="AA297" i="10"/>
  <c r="AA257" i="10"/>
  <c r="AA280" i="10"/>
  <c r="AA232" i="10"/>
  <c r="AA200" i="10"/>
  <c r="AA176" i="10"/>
  <c r="AA168" i="10"/>
  <c r="AA160" i="10"/>
  <c r="AA152" i="10"/>
  <c r="AA144" i="10"/>
  <c r="AA136" i="10"/>
  <c r="AA128" i="10"/>
  <c r="AA120" i="10"/>
  <c r="AA112" i="10"/>
  <c r="AA104" i="10"/>
  <c r="AA96" i="10"/>
  <c r="AA88" i="10"/>
  <c r="AA80" i="10"/>
  <c r="AA72" i="10"/>
  <c r="AA64" i="10"/>
  <c r="AA56" i="10"/>
  <c r="AA48" i="10"/>
  <c r="AA40" i="10"/>
  <c r="AA32" i="10"/>
  <c r="AA24" i="10"/>
  <c r="AA16" i="10"/>
  <c r="AA8" i="10"/>
  <c r="AA289" i="10"/>
  <c r="AA304" i="10"/>
  <c r="AA248" i="10"/>
  <c r="AA224" i="10"/>
  <c r="AA216" i="10"/>
  <c r="AA208" i="10"/>
  <c r="AA192" i="10"/>
  <c r="AA184" i="10"/>
  <c r="AA319" i="10"/>
  <c r="AA311" i="10"/>
  <c r="AA303" i="10"/>
  <c r="AA295" i="10"/>
  <c r="AA287" i="10"/>
  <c r="AA279" i="10"/>
  <c r="AA271" i="10"/>
  <c r="AA263" i="10"/>
  <c r="AA255" i="10"/>
  <c r="AA247" i="10"/>
  <c r="AA239" i="10"/>
  <c r="AA231" i="10"/>
  <c r="AA223" i="10"/>
  <c r="AA215" i="10"/>
  <c r="AA207" i="10"/>
  <c r="AA199" i="10"/>
  <c r="AA191" i="10"/>
  <c r="AA183" i="10"/>
  <c r="AA175" i="10"/>
  <c r="AA167" i="10"/>
  <c r="AA159" i="10"/>
  <c r="AA151" i="10"/>
  <c r="AA143" i="10"/>
  <c r="AA135" i="10"/>
  <c r="AA127" i="10"/>
  <c r="AA119" i="10"/>
  <c r="AA111" i="10"/>
  <c r="AA103" i="10"/>
  <c r="AA95" i="10"/>
  <c r="AA87" i="10"/>
  <c r="AA79" i="10"/>
  <c r="AA71" i="10"/>
  <c r="AA63" i="10"/>
  <c r="AA55" i="10"/>
  <c r="AA47" i="10"/>
  <c r="AA39" i="10"/>
  <c r="AA31" i="10"/>
  <c r="AA23" i="10"/>
  <c r="AA15" i="10"/>
  <c r="AA7" i="10"/>
  <c r="AA241" i="10"/>
  <c r="AA294" i="10"/>
  <c r="AA206" i="10"/>
  <c r="AA166" i="10"/>
  <c r="AA150" i="10"/>
  <c r="AA142" i="10"/>
  <c r="AA134" i="10"/>
  <c r="AA126" i="10"/>
  <c r="AA118" i="10"/>
  <c r="AA110" i="10"/>
  <c r="AA102" i="10"/>
  <c r="AA94" i="10"/>
  <c r="AA86" i="10"/>
  <c r="AA78" i="10"/>
  <c r="AA70" i="10"/>
  <c r="AA62" i="10"/>
  <c r="AA54" i="10"/>
  <c r="AA46" i="10"/>
  <c r="AA38" i="10"/>
  <c r="AA30" i="10"/>
  <c r="AA22" i="10"/>
  <c r="AA14" i="10"/>
  <c r="AA6" i="10"/>
  <c r="AA249" i="10"/>
  <c r="AA288" i="10"/>
  <c r="AA262" i="10"/>
  <c r="AA238" i="10"/>
  <c r="AA317" i="10"/>
  <c r="AA277" i="10"/>
  <c r="AA245" i="10"/>
  <c r="AA189" i="10"/>
  <c r="AA173" i="10"/>
  <c r="AA165" i="10"/>
  <c r="AA157" i="10"/>
  <c r="AA149" i="10"/>
  <c r="AA141" i="10"/>
  <c r="AA133" i="10"/>
  <c r="AA125" i="10"/>
  <c r="AA117" i="10"/>
  <c r="AA109" i="10"/>
  <c r="AA101" i="10"/>
  <c r="AA93" i="10"/>
  <c r="AA85" i="10"/>
  <c r="AA77" i="10"/>
  <c r="AA69" i="10"/>
  <c r="AA61" i="10"/>
  <c r="AA53" i="10"/>
  <c r="AA45" i="10"/>
  <c r="AA37" i="10"/>
  <c r="AA29" i="10"/>
  <c r="AA321" i="10"/>
  <c r="AA281" i="10"/>
  <c r="AA233" i="10"/>
  <c r="AA320" i="10"/>
  <c r="AA256" i="10"/>
  <c r="AA310" i="10"/>
  <c r="AA286" i="10"/>
  <c r="AA246" i="10"/>
  <c r="AA230" i="10"/>
  <c r="AA214" i="10"/>
  <c r="AA182" i="10"/>
  <c r="AA309" i="10"/>
  <c r="AA269" i="10"/>
  <c r="AA253" i="10"/>
  <c r="AA221" i="10"/>
  <c r="AA197" i="10"/>
  <c r="AA181" i="10"/>
  <c r="AA316" i="10"/>
  <c r="AA308" i="10"/>
  <c r="AA300" i="10"/>
  <c r="AA292" i="10"/>
  <c r="AA284" i="10"/>
  <c r="AA276" i="10"/>
  <c r="AA268" i="10"/>
  <c r="AA260" i="10"/>
  <c r="AA252" i="10"/>
  <c r="AA244" i="10"/>
  <c r="AA236" i="10"/>
  <c r="AA228" i="10"/>
  <c r="AA220" i="10"/>
  <c r="AA212" i="10"/>
  <c r="AA204" i="10"/>
  <c r="AA196" i="10"/>
  <c r="AA188" i="10"/>
  <c r="AA180" i="10"/>
  <c r="AA172" i="10"/>
  <c r="AA164" i="10"/>
  <c r="AA156" i="10"/>
  <c r="AA148" i="10"/>
  <c r="AA140" i="10"/>
  <c r="AA132" i="10"/>
  <c r="AA124" i="10"/>
  <c r="AA116" i="10"/>
  <c r="AA108" i="10"/>
  <c r="AA100" i="10"/>
  <c r="AA92" i="10"/>
  <c r="AA84" i="10"/>
  <c r="AA76" i="10"/>
  <c r="AA68" i="10"/>
  <c r="AA60" i="10"/>
  <c r="AA52" i="10"/>
  <c r="AA44" i="10"/>
  <c r="AA36" i="10"/>
  <c r="AA28" i="10"/>
  <c r="AA305" i="10"/>
  <c r="AA225" i="10"/>
  <c r="AA312" i="10"/>
  <c r="AA264" i="10"/>
  <c r="AA318" i="10"/>
  <c r="AA302" i="10"/>
  <c r="AA270" i="10"/>
  <c r="AA254" i="10"/>
  <c r="AA198" i="10"/>
  <c r="AA174" i="10"/>
  <c r="AA293" i="10"/>
  <c r="AA261" i="10"/>
  <c r="AA237" i="10"/>
  <c r="AA229" i="10"/>
  <c r="AA213" i="10"/>
  <c r="AA205" i="10"/>
  <c r="AA3" i="10"/>
  <c r="AA315" i="10"/>
  <c r="AA307" i="10"/>
  <c r="AA299" i="10"/>
  <c r="AA291" i="10"/>
  <c r="AA283" i="10"/>
  <c r="AA275" i="10"/>
  <c r="AA267" i="10"/>
  <c r="AA259" i="10"/>
  <c r="AA251" i="10"/>
  <c r="AA243" i="10"/>
  <c r="AA235" i="10"/>
  <c r="AA227" i="10"/>
  <c r="AA219" i="10"/>
  <c r="AA211" i="10"/>
  <c r="AA203" i="10"/>
  <c r="AA195" i="10"/>
  <c r="AA187" i="10"/>
  <c r="AA179" i="10"/>
  <c r="AA171" i="10"/>
  <c r="AA163" i="10"/>
  <c r="AA155" i="10"/>
  <c r="AA147" i="10"/>
  <c r="AA139" i="10"/>
  <c r="AA131" i="10"/>
  <c r="AA123" i="10"/>
  <c r="AA115" i="10"/>
  <c r="AA107" i="10"/>
  <c r="AA99" i="10"/>
  <c r="AA91" i="10"/>
  <c r="AA83" i="10"/>
  <c r="AA75" i="10"/>
  <c r="AA67" i="10"/>
  <c r="AA59" i="10"/>
  <c r="AA51" i="10"/>
  <c r="AA313" i="10"/>
  <c r="AA265" i="10"/>
  <c r="AA296" i="10"/>
  <c r="AA272" i="10"/>
  <c r="AA240" i="10"/>
  <c r="AA278" i="10"/>
  <c r="AA222" i="10"/>
  <c r="AA190" i="10"/>
  <c r="AA158" i="10"/>
  <c r="AA301" i="10"/>
  <c r="AA285" i="10"/>
  <c r="AA322" i="10"/>
  <c r="AA314" i="10"/>
  <c r="AA306" i="10"/>
  <c r="AA298" i="10"/>
  <c r="AA290" i="10"/>
  <c r="AA282" i="10"/>
  <c r="AA274" i="10"/>
  <c r="AA266" i="10"/>
  <c r="AA258" i="10"/>
  <c r="AA250" i="10"/>
  <c r="AA242" i="10"/>
  <c r="AA234" i="10"/>
  <c r="AA226" i="10"/>
  <c r="AA218" i="10"/>
  <c r="AA210" i="10"/>
  <c r="AA202" i="10"/>
  <c r="AA194" i="10"/>
  <c r="AA186" i="10"/>
  <c r="AA178" i="10"/>
  <c r="AA170" i="10"/>
  <c r="AA162" i="10"/>
  <c r="AA154" i="10"/>
  <c r="AA146" i="10"/>
  <c r="AA138" i="10"/>
  <c r="AA130" i="10"/>
  <c r="AA122" i="10"/>
  <c r="AA114" i="10"/>
  <c r="AA106" i="10"/>
  <c r="AA98" i="10"/>
  <c r="AA90" i="10"/>
  <c r="AA82" i="10"/>
  <c r="AA74" i="10"/>
  <c r="AA66" i="10"/>
  <c r="AA58" i="10"/>
  <c r="AA50" i="10"/>
  <c r="AA42" i="10"/>
  <c r="AA34" i="10"/>
  <c r="AA26" i="10"/>
  <c r="AA18" i="10"/>
  <c r="AA10" i="10"/>
  <c r="AA5" i="10"/>
  <c r="AA20" i="10"/>
  <c r="AA12" i="10"/>
  <c r="AA4" i="10"/>
  <c r="AA21" i="10"/>
  <c r="AA43" i="10"/>
  <c r="AA35" i="10"/>
  <c r="AA27" i="10"/>
  <c r="AA19" i="10"/>
  <c r="AA11" i="10"/>
  <c r="AA13" i="10"/>
  <c r="F5" i="31" l="1"/>
  <c r="F6" i="31" s="1"/>
  <c r="C82" i="18"/>
  <c r="D81" i="18"/>
  <c r="C81" i="18" s="1"/>
  <c r="N27" i="13"/>
  <c r="N14" i="13"/>
  <c r="N23" i="13"/>
  <c r="N11" i="13"/>
  <c r="N18" i="13"/>
  <c r="N12" i="13"/>
  <c r="N25" i="13"/>
  <c r="N13" i="13"/>
  <c r="N19" i="13"/>
  <c r="N28" i="13"/>
  <c r="N15" i="13"/>
  <c r="N22" i="13"/>
  <c r="N21" i="13"/>
  <c r="N20" i="13"/>
  <c r="N24" i="13"/>
  <c r="N26" i="13"/>
  <c r="N29" i="13"/>
  <c r="N17" i="13"/>
  <c r="N16" i="13"/>
  <c r="Z24" i="10"/>
  <c r="Z35" i="10"/>
  <c r="Z65" i="10"/>
  <c r="Z95" i="10"/>
  <c r="Z55" i="10"/>
  <c r="Z45" i="10"/>
  <c r="Z4" i="10"/>
  <c r="Z105" i="10"/>
  <c r="Z71" i="10"/>
  <c r="Z51" i="10"/>
  <c r="Z81" i="10"/>
  <c r="Z75" i="10"/>
  <c r="Z91" i="10"/>
  <c r="Z85" i="10"/>
  <c r="Z111" i="10"/>
  <c r="Z14" i="10"/>
  <c r="Z115" i="10"/>
  <c r="Z61" i="10"/>
  <c r="Z41" i="10"/>
  <c r="Z31" i="10"/>
  <c r="Z121" i="10"/>
  <c r="Z101" i="10"/>
  <c r="C28" i="23"/>
  <c r="C29" i="23" s="1"/>
  <c r="C84" i="18" l="1"/>
  <c r="B74" i="18" s="1"/>
  <c r="F7" i="31" l="1"/>
  <c r="C85" i="18"/>
  <c r="F32" i="31"/>
  <c r="F33" i="31" s="1"/>
  <c r="D71" i="31" s="1"/>
  <c r="K38" i="30"/>
  <c r="F21" i="31"/>
  <c r="H72" i="30" s="1"/>
  <c r="I32" i="31"/>
  <c r="K39" i="30"/>
  <c r="I21" i="31"/>
  <c r="C53" i="31" l="1"/>
  <c r="D65" i="31"/>
  <c r="D44" i="31"/>
  <c r="C38" i="31"/>
  <c r="F105" i="31"/>
  <c r="F113" i="31" s="1"/>
  <c r="F114" i="31" s="1"/>
  <c r="I24" i="31"/>
  <c r="F72" i="30"/>
  <c r="F72" i="31" a="1"/>
  <c r="F72" i="31" s="1"/>
  <c r="H78" i="30" s="1"/>
  <c r="F66" i="31" a="1"/>
  <c r="F66" i="31" s="1"/>
  <c r="H77" i="30" s="1"/>
  <c r="F82" i="31"/>
  <c r="F86" i="31" s="1"/>
  <c r="F60" i="31" a="1"/>
  <c r="F60" i="31" s="1"/>
  <c r="H76" i="30" s="1"/>
  <c r="F54" i="31"/>
  <c r="H75" i="30" s="1"/>
  <c r="F22" i="31"/>
  <c r="F150" i="31"/>
  <c r="H82" i="30" s="1"/>
  <c r="F45" i="31"/>
  <c r="F39" i="31"/>
  <c r="F126" i="31"/>
  <c r="F130" i="31" s="1"/>
  <c r="F83" i="31"/>
  <c r="F91" i="31" s="1"/>
  <c r="F92" i="31" s="1"/>
  <c r="F104" i="31"/>
  <c r="F108" i="31" s="1"/>
  <c r="F127" i="31"/>
  <c r="F135" i="31" s="1"/>
  <c r="F136" i="31" s="1"/>
  <c r="F25" i="31"/>
  <c r="E77" i="30" l="1"/>
  <c r="H73" i="30"/>
  <c r="E78" i="30"/>
  <c r="H74" i="30"/>
  <c r="C122" i="31"/>
  <c r="E81" i="30" s="1"/>
  <c r="C100" i="31"/>
  <c r="E80" i="30" s="1"/>
  <c r="F40" i="31"/>
  <c r="F151" i="31"/>
  <c r="F152" i="31" s="1"/>
  <c r="I150" i="31" s="1"/>
  <c r="F55" i="31"/>
  <c r="F56" i="31" s="1"/>
  <c r="F61" i="31"/>
  <c r="F62" i="31" s="1"/>
  <c r="I60" i="31" s="1" a="1"/>
  <c r="I60" i="31" s="1"/>
  <c r="F67" i="31"/>
  <c r="F68" i="31" s="1"/>
  <c r="I66" i="31" s="1" a="1"/>
  <c r="I66" i="31" s="1"/>
  <c r="F73" i="31"/>
  <c r="F74" i="31" s="1"/>
  <c r="I72" i="31" s="1" a="1"/>
  <c r="I72" i="31" s="1"/>
  <c r="F46" i="31"/>
  <c r="F47" i="31" s="1"/>
  <c r="I45" i="31" s="1"/>
  <c r="I74" i="30" s="1"/>
  <c r="C149" i="31"/>
  <c r="E82" i="30" s="1"/>
  <c r="E75" i="30"/>
  <c r="D59" i="31"/>
  <c r="E76" i="30" s="1"/>
  <c r="C77" i="31"/>
  <c r="E79" i="30" s="1"/>
  <c r="F26" i="31"/>
  <c r="C72" i="30"/>
  <c r="F93" i="31"/>
  <c r="I91" i="31" s="1"/>
  <c r="I92" i="31" s="1"/>
  <c r="I93" i="31" s="1"/>
  <c r="L91" i="31" s="1"/>
  <c r="L92" i="31" s="1"/>
  <c r="L93" i="31" s="1"/>
  <c r="F96" i="31"/>
  <c r="H79" i="30" s="1"/>
  <c r="F87" i="31"/>
  <c r="F140" i="31"/>
  <c r="H81" i="30" s="1"/>
  <c r="F131" i="31"/>
  <c r="E74" i="30"/>
  <c r="E73" i="30"/>
  <c r="F137" i="31"/>
  <c r="I135" i="31" s="1"/>
  <c r="I136" i="31" s="1"/>
  <c r="I137" i="31" s="1"/>
  <c r="L135" i="31" s="1"/>
  <c r="L136" i="31" s="1"/>
  <c r="L137" i="31" s="1"/>
  <c r="O135" i="31" s="1"/>
  <c r="O136" i="31" s="1"/>
  <c r="O137" i="31" s="1"/>
  <c r="R137" i="31" s="1"/>
  <c r="F109" i="31"/>
  <c r="F118" i="31"/>
  <c r="H80" i="30" s="1"/>
  <c r="F115" i="31"/>
  <c r="I73" i="31" l="1"/>
  <c r="I74" i="31" s="1"/>
  <c r="I78" i="30"/>
  <c r="I67" i="31"/>
  <c r="I68" i="31" s="1"/>
  <c r="L66" i="31" s="1" a="1"/>
  <c r="L66" i="31" s="1"/>
  <c r="I77" i="30"/>
  <c r="I61" i="31"/>
  <c r="I62" i="31" s="1"/>
  <c r="I76" i="30"/>
  <c r="I151" i="31"/>
  <c r="I152" i="31" s="1"/>
  <c r="L150" i="31" s="1"/>
  <c r="J82" i="30" s="1"/>
  <c r="I82" i="30"/>
  <c r="F41" i="31"/>
  <c r="I39" i="31" s="1"/>
  <c r="I54" i="31"/>
  <c r="I46" i="31"/>
  <c r="I47" i="31" s="1"/>
  <c r="L45" i="31" s="1"/>
  <c r="F132" i="31"/>
  <c r="I130" i="31" s="1"/>
  <c r="F141" i="31"/>
  <c r="F97" i="31"/>
  <c r="F88" i="31"/>
  <c r="I86" i="31" s="1"/>
  <c r="F110" i="31"/>
  <c r="I108" i="31" s="1"/>
  <c r="F119" i="31"/>
  <c r="I113" i="31"/>
  <c r="I114" i="31" s="1"/>
  <c r="O91" i="31"/>
  <c r="O92" i="31" s="1"/>
  <c r="O93" i="31" s="1"/>
  <c r="R93" i="31" s="1"/>
  <c r="R136" i="31"/>
  <c r="V137" i="31" s="1"/>
  <c r="L72" i="31" l="1" a="1"/>
  <c r="L72" i="31" s="1"/>
  <c r="J78" i="30" s="1"/>
  <c r="L151" i="31"/>
  <c r="L152" i="31" s="1"/>
  <c r="O150" i="31" s="1"/>
  <c r="K82" i="30" s="1"/>
  <c r="L60" i="31" a="1"/>
  <c r="L60" i="31" s="1"/>
  <c r="J76" i="30" s="1"/>
  <c r="L46" i="31"/>
  <c r="L47" i="31" s="1"/>
  <c r="O45" i="31" s="1"/>
  <c r="F74" i="30" s="1" a="1"/>
  <c r="F74" i="30" s="1"/>
  <c r="J74" i="30"/>
  <c r="I55" i="31"/>
  <c r="I56" i="31" s="1"/>
  <c r="L54" i="31" s="1"/>
  <c r="J75" i="30" s="1"/>
  <c r="I75" i="30"/>
  <c r="I40" i="31"/>
  <c r="I41" i="31" s="1"/>
  <c r="I73" i="30"/>
  <c r="L67" i="31"/>
  <c r="J77" i="30"/>
  <c r="I115" i="31"/>
  <c r="L113" i="31" s="1"/>
  <c r="L114" i="31" s="1"/>
  <c r="L115" i="31" s="1"/>
  <c r="R92" i="31"/>
  <c r="V93" i="31" s="1"/>
  <c r="I118" i="31"/>
  <c r="I80" i="30" s="1"/>
  <c r="I109" i="31"/>
  <c r="I140" i="31"/>
  <c r="I81" i="30" s="1"/>
  <c r="I131" i="31"/>
  <c r="F98" i="31"/>
  <c r="F120" i="31"/>
  <c r="I96" i="31"/>
  <c r="I79" i="30" s="1"/>
  <c r="I87" i="31"/>
  <c r="F142" i="31"/>
  <c r="L73" i="31" l="1"/>
  <c r="L74" i="31" s="1"/>
  <c r="O72" i="31" s="1" a="1"/>
  <c r="O72" i="31" s="1"/>
  <c r="F78" i="30" s="1" a="1"/>
  <c r="F78" i="30" s="1"/>
  <c r="F82" i="30" a="1"/>
  <c r="F82" i="30" s="1"/>
  <c r="L61" i="31"/>
  <c r="L62" i="31" s="1"/>
  <c r="O61" i="31" s="1"/>
  <c r="R61" i="31" s="1"/>
  <c r="V62" i="31" s="1"/>
  <c r="O151" i="31"/>
  <c r="O152" i="31" s="1"/>
  <c r="R152" i="31" s="1"/>
  <c r="L39" i="31"/>
  <c r="L40" i="31" s="1"/>
  <c r="L41" i="31" s="1"/>
  <c r="O39" i="31" s="1"/>
  <c r="L55" i="31"/>
  <c r="L56" i="31" s="1"/>
  <c r="O54" i="31" s="1"/>
  <c r="K75" i="30" s="1"/>
  <c r="L68" i="31"/>
  <c r="O66" i="31" s="1" a="1"/>
  <c r="O66" i="31" s="1"/>
  <c r="O46" i="31"/>
  <c r="K74" i="30"/>
  <c r="F76" i="30" a="1"/>
  <c r="F76" i="30" s="1"/>
  <c r="I119" i="31"/>
  <c r="I110" i="31"/>
  <c r="L108" i="31" s="1"/>
  <c r="I97" i="31"/>
  <c r="I88" i="31"/>
  <c r="O113" i="31"/>
  <c r="O114" i="31" s="1"/>
  <c r="O115" i="31" s="1"/>
  <c r="R115" i="31" s="1"/>
  <c r="I132" i="31"/>
  <c r="L130" i="31" s="1"/>
  <c r="I141" i="31"/>
  <c r="K78" i="30" l="1"/>
  <c r="O73" i="31"/>
  <c r="R73" i="31" s="1"/>
  <c r="F73" i="30" a="1"/>
  <c r="F73" i="30" s="1"/>
  <c r="F75" i="30" a="1"/>
  <c r="F75" i="30" s="1"/>
  <c r="R151" i="31"/>
  <c r="V152" i="31" s="1"/>
  <c r="C76" i="30"/>
  <c r="O62" i="31"/>
  <c r="R62" i="31" s="1"/>
  <c r="O55" i="31"/>
  <c r="R55" i="31" s="1"/>
  <c r="V56" i="31" s="1"/>
  <c r="J73" i="30"/>
  <c r="K73" i="30"/>
  <c r="O40" i="31"/>
  <c r="O41" i="31" s="1"/>
  <c r="R41" i="31" s="1"/>
  <c r="O47" i="31"/>
  <c r="R47" i="31" s="1"/>
  <c r="R46" i="31"/>
  <c r="O67" i="31"/>
  <c r="K77" i="30"/>
  <c r="F77" i="30" a="1"/>
  <c r="F77" i="30" s="1"/>
  <c r="L131" i="31"/>
  <c r="L140" i="31"/>
  <c r="J81" i="30" s="1"/>
  <c r="I98" i="31"/>
  <c r="L86" i="31"/>
  <c r="L109" i="31"/>
  <c r="L118" i="31"/>
  <c r="J80" i="30" s="1"/>
  <c r="I142" i="31"/>
  <c r="R114" i="31"/>
  <c r="V115" i="31" s="1"/>
  <c r="I120" i="31"/>
  <c r="O74" i="31" l="1"/>
  <c r="R74" i="31" s="1"/>
  <c r="R40" i="31"/>
  <c r="V41" i="31" s="1"/>
  <c r="C82" i="30"/>
  <c r="O56" i="31"/>
  <c r="R56" i="31" s="1"/>
  <c r="O68" i="31"/>
  <c r="R68" i="31" s="1"/>
  <c r="R67" i="31"/>
  <c r="V74" i="31"/>
  <c r="C78" i="30"/>
  <c r="C74" i="30"/>
  <c r="V47" i="31"/>
  <c r="C75" i="30"/>
  <c r="L87" i="31"/>
  <c r="L96" i="31"/>
  <c r="J79" i="30" s="1"/>
  <c r="L119" i="31"/>
  <c r="L110" i="31"/>
  <c r="L132" i="31"/>
  <c r="L141" i="31"/>
  <c r="C73" i="30" l="1"/>
  <c r="C77" i="30"/>
  <c r="V68" i="31"/>
  <c r="O130" i="31"/>
  <c r="L142" i="31"/>
  <c r="O108" i="31"/>
  <c r="L120" i="31"/>
  <c r="L97" i="31"/>
  <c r="L88" i="31"/>
  <c r="O86" i="31" l="1"/>
  <c r="L98" i="31"/>
  <c r="O109" i="31"/>
  <c r="O118" i="31"/>
  <c r="O140" i="31"/>
  <c r="O131" i="31"/>
  <c r="F81" i="30" l="1" a="1"/>
  <c r="F81" i="30" s="1"/>
  <c r="K81" i="30"/>
  <c r="F80" i="30" a="1"/>
  <c r="F80" i="30" s="1"/>
  <c r="K80" i="30"/>
  <c r="O119" i="31"/>
  <c r="V119" i="31" s="1"/>
  <c r="O110" i="31"/>
  <c r="R109" i="31"/>
  <c r="O132" i="31"/>
  <c r="O141" i="31"/>
  <c r="V141" i="31" s="1"/>
  <c r="R131" i="31"/>
  <c r="O87" i="31"/>
  <c r="O96" i="31"/>
  <c r="F79" i="30" l="1" a="1"/>
  <c r="F79" i="30" s="1"/>
  <c r="K79" i="30"/>
  <c r="R141" i="31"/>
  <c r="C81" i="30" s="1"/>
  <c r="V132" i="31"/>
  <c r="O120" i="31"/>
  <c r="V120" i="31" s="1"/>
  <c r="R110" i="31"/>
  <c r="R120" i="31" s="1"/>
  <c r="O97" i="31"/>
  <c r="V97" i="31" s="1"/>
  <c r="O88" i="31"/>
  <c r="R87" i="31"/>
  <c r="O142" i="31"/>
  <c r="V142" i="31" s="1"/>
  <c r="R132" i="31"/>
  <c r="R142" i="31" s="1"/>
  <c r="R119" i="31"/>
  <c r="C80" i="30" s="1"/>
  <c r="V110" i="31"/>
  <c r="V88" i="31" l="1"/>
  <c r="R97" i="31"/>
  <c r="C79" i="30" s="1"/>
  <c r="F161" i="31" s="1"/>
  <c r="C98" i="18" s="1"/>
  <c r="O98" i="31"/>
  <c r="V98" i="31" s="1"/>
  <c r="R88" i="31"/>
  <c r="R98" i="31" s="1"/>
  <c r="F160" i="31" l="1"/>
  <c r="C96" i="18" s="1"/>
  <c r="F159" i="31"/>
  <c r="C95" i="18" s="1"/>
  <c r="B94" i="18" s="1"/>
  <c r="C103" i="18" l="1"/>
  <c r="C102" i="18"/>
  <c r="C101" i="18"/>
  <c r="C100" i="18"/>
  <c r="G95" i="18"/>
  <c r="I95" i="18" s="1"/>
  <c r="C104" i="18"/>
  <c r="F162" i="31" a="1"/>
  <c r="F162" i="31" s="1"/>
  <c r="C97" i="18" s="1"/>
  <c r="B158" i="31"/>
  <c r="F163" i="31" l="1"/>
  <c r="C99" i="18" s="1"/>
  <c r="C27" i="3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<sst xmlns="http://schemas.openxmlformats.org/spreadsheetml/2006/main" count="7317" uniqueCount="2394">
  <si>
    <t>RESALE FLAT AND LOAN PLAN RECOMMENDATION FOR SINGAPORE CITIZENS WHO ARE SINGLES OR COUPLES</t>
  </si>
  <si>
    <t>Basic Information</t>
  </si>
  <si>
    <t>Are you applying as a Single/Couple?</t>
  </si>
  <si>
    <t>Single</t>
  </si>
  <si>
    <t>Financial Information</t>
  </si>
  <si>
    <t>Gross Monthly Income</t>
  </si>
  <si>
    <t>Current Loan Commitments</t>
  </si>
  <si>
    <t>Number of Outstanding Loans</t>
  </si>
  <si>
    <t>Downpayment Budget</t>
  </si>
  <si>
    <t>Monthly Repayment Budget</t>
  </si>
  <si>
    <t>Own more than one residential property?</t>
  </si>
  <si>
    <t>Yes</t>
  </si>
  <si>
    <t>Preferred HDB Loan Repayment Period</t>
  </si>
  <si>
    <t>Preferred Bank Loan Repayment Period</t>
  </si>
  <si>
    <t>HDB Preferences</t>
  </si>
  <si>
    <t>Note: You may leave blank if have no preferences. Select preferences from top to bottom.</t>
  </si>
  <si>
    <t>Budget for Housing</t>
  </si>
  <si>
    <t>Location (Town)</t>
  </si>
  <si>
    <t>ANG MO KIO</t>
  </si>
  <si>
    <t>Flat Type</t>
  </si>
  <si>
    <t>4 ROOM</t>
  </si>
  <si>
    <t>Unit Floor</t>
  </si>
  <si>
    <t>Max Avg. Walking Time to nearest amenities</t>
  </si>
  <si>
    <t>Please enter a whole number</t>
  </si>
  <si>
    <t>Min House Remaining Lease</t>
  </si>
  <si>
    <t>Min Floor Area</t>
  </si>
  <si>
    <t>Rank Importance of Preferences</t>
  </si>
  <si>
    <t>Rank 1</t>
  </si>
  <si>
    <t>Shorter Avg Walking Time to nearest amenities</t>
  </si>
  <si>
    <t>Rank 2</t>
  </si>
  <si>
    <t>Longer House Remaining Lease</t>
  </si>
  <si>
    <t>Rank 3</t>
  </si>
  <si>
    <t>Larger Floor Area</t>
  </si>
  <si>
    <t>Grants Eligibility Inputs</t>
  </si>
  <si>
    <t>You are NOT a parent buying over your child's Flat</t>
  </si>
  <si>
    <t>Select Option</t>
  </si>
  <si>
    <t>Fill in either Table 1.1 OR 1.2 ONLY</t>
  </si>
  <si>
    <t>Table 1.1</t>
  </si>
  <si>
    <t>Table 1.2</t>
  </si>
  <si>
    <r>
      <t xml:space="preserve">Your parents/child are going to live </t>
    </r>
    <r>
      <rPr>
        <b/>
        <u/>
        <sz val="12"/>
        <color theme="1"/>
        <rFont val="Calibri (Body)"/>
      </rPr>
      <t>WITH</t>
    </r>
    <r>
      <rPr>
        <sz val="12"/>
        <color theme="1"/>
        <rFont val="Calibri"/>
        <family val="2"/>
        <scheme val="minor"/>
      </rPr>
      <t xml:space="preserve"> you in the resale flat you intend to buy. </t>
    </r>
  </si>
  <si>
    <r>
      <t xml:space="preserve">Your parents/child are going to live </t>
    </r>
    <r>
      <rPr>
        <b/>
        <u/>
        <sz val="12"/>
        <color theme="1"/>
        <rFont val="Calibri (Body)"/>
      </rPr>
      <t>NEAR</t>
    </r>
    <r>
      <rPr>
        <sz val="12"/>
        <color theme="1"/>
        <rFont val="Calibri"/>
        <family val="2"/>
        <scheme val="minor"/>
      </rPr>
      <t xml:space="preserve"> you in the resale flat you intend to buy. </t>
    </r>
  </si>
  <si>
    <t>Are they included in the resale flat as: 
Co-applicants or essential occupiers?</t>
  </si>
  <si>
    <r>
      <t xml:space="preserve">Are your parents/ child are living in an HDB flat or private residential property which is </t>
    </r>
    <r>
      <rPr>
        <u/>
        <sz val="12"/>
        <color theme="1"/>
        <rFont val="Calibri (Body)"/>
      </rPr>
      <t>within 4km*</t>
    </r>
    <r>
      <rPr>
        <sz val="12"/>
        <color theme="1"/>
        <rFont val="Calibri"/>
        <family val="2"/>
        <scheme val="minor"/>
      </rPr>
      <t xml:space="preserve"> of the resale flat you intend to buy.</t>
    </r>
  </si>
  <si>
    <t>Do they own the HDB/private residential property? If Yes, fill Yes. If No, is it owner-occupied by immediate family members, i.e. child or adopted child, parent(s) or parent(s)-in-law, or siblings?</t>
  </si>
  <si>
    <t>TOP 5 RECOMMENDED RESALE FLAT BASED ON PREFERENCES</t>
  </si>
  <si>
    <t>Option</t>
  </si>
  <si>
    <t>Town</t>
  </si>
  <si>
    <t>Storey Range</t>
  </si>
  <si>
    <t>Floor Area (sqm)</t>
  </si>
  <si>
    <t>Remaining Years</t>
  </si>
  <si>
    <t>Resale Price</t>
  </si>
  <si>
    <t>Address</t>
  </si>
  <si>
    <t>Walking time to nearest MRT</t>
  </si>
  <si>
    <t>Walking time to nearest Mall</t>
  </si>
  <si>
    <t>Walking time to nearest School</t>
  </si>
  <si>
    <t>Avg Walking Time to nearest amenities</t>
  </si>
  <si>
    <t>Proximity to School</t>
  </si>
  <si>
    <t>Which flat option do you want to choose?</t>
  </si>
  <si>
    <t>Option:</t>
  </si>
  <si>
    <t>CPF Grant Eligibility:</t>
  </si>
  <si>
    <t>Enhanced CPF Grant Eligibility:</t>
  </si>
  <si>
    <t>Proximity Grant Eligibility:</t>
  </si>
  <si>
    <t>CPF Grant Amount:</t>
  </si>
  <si>
    <t>Enhanced CPF Grant Amount:</t>
  </si>
  <si>
    <t>Proximity Grant Amount:</t>
  </si>
  <si>
    <t>Total Grants Amount:</t>
  </si>
  <si>
    <t>Final Cost of the Flat:</t>
  </si>
  <si>
    <t>RECOMMENDED FINANCIAL LOAN SCHEME</t>
  </si>
  <si>
    <t>*For breakdown of calculations, refer to the "HDB Lease Calculator" sheet</t>
  </si>
  <si>
    <t>Institution</t>
  </si>
  <si>
    <t>Validated Downpayment</t>
  </si>
  <si>
    <t>Scheme Name</t>
  </si>
  <si>
    <t>Validated Monthly Loan Repayment Budget</t>
  </si>
  <si>
    <t>Initial Loan Amount</t>
  </si>
  <si>
    <t>Total Amount Paid</t>
  </si>
  <si>
    <t>Total Interest Paid</t>
  </si>
  <si>
    <t>Year 1 Monthly Mortgage</t>
  </si>
  <si>
    <t>Year 2 Monthly Mortgage</t>
  </si>
  <si>
    <t>Year 3 Monthly Mortgage</t>
  </si>
  <si>
    <t>Year 4 onwards Monthly Mortgage</t>
  </si>
  <si>
    <t>(For HDB) Monthly Mortgage</t>
  </si>
  <si>
    <t>Influence Diagram for HDB Recommendation</t>
  </si>
  <si>
    <t>Black Box for HDB Recommendation</t>
  </si>
  <si>
    <t>Peformance Measures</t>
  </si>
  <si>
    <t>Decisions (Controllable)</t>
  </si>
  <si>
    <t>Preference Score</t>
  </si>
  <si>
    <t>Top 5 Resale Flat</t>
  </si>
  <si>
    <t>Price of flats</t>
  </si>
  <si>
    <t>Average Walking time to amenities</t>
  </si>
  <si>
    <t>Remaining Lease of flat</t>
  </si>
  <si>
    <t>Floor Area of flat</t>
  </si>
  <si>
    <t>Black Box</t>
  </si>
  <si>
    <t>Consequence Variables</t>
  </si>
  <si>
    <t>Parameters (Uncontrollable)</t>
  </si>
  <si>
    <t>Nearest MRT, School and Mall</t>
  </si>
  <si>
    <t>User's Personal Information</t>
  </si>
  <si>
    <t>Distance from Flat to MRT</t>
  </si>
  <si>
    <t>User's Budget</t>
  </si>
  <si>
    <t>Distance from Flat to Mall</t>
  </si>
  <si>
    <t>User's Preference Rankings</t>
  </si>
  <si>
    <t>Distance from Flat to School</t>
  </si>
  <si>
    <t>Preference rank weighting</t>
  </si>
  <si>
    <t>Walking Time from Flat to MRT</t>
  </si>
  <si>
    <t>User's HDB Preferences</t>
  </si>
  <si>
    <t>Walking Time from Flat to Mall</t>
  </si>
  <si>
    <t>Available Flats in the Time Period</t>
  </si>
  <si>
    <t>Walking Time from Flat to School</t>
  </si>
  <si>
    <t>Available Nearby Amenties</t>
  </si>
  <si>
    <t>Definitions</t>
  </si>
  <si>
    <t xml:space="preserve">   Decision</t>
  </si>
  <si>
    <t>= Output of the model</t>
  </si>
  <si>
    <t xml:space="preserve">   Parameter</t>
  </si>
  <si>
    <t>= Input variable by user + controlled variables</t>
  </si>
  <si>
    <t xml:space="preserve">   Performance Measure</t>
  </si>
  <si>
    <t>= Output (computed) variable with value of key interest to the user</t>
  </si>
  <si>
    <t xml:space="preserve">   Consequence Variable</t>
  </si>
  <si>
    <t>= Output (computed) variable with value produced in the calculations</t>
  </si>
  <si>
    <t>Influence Diagram for Recommended Financing Option</t>
  </si>
  <si>
    <t>Black Box for Recommended Financing Option</t>
  </si>
  <si>
    <t>Recommended loan scheme</t>
  </si>
  <si>
    <t>Total interest Repaid</t>
  </si>
  <si>
    <t>Eligibility Status for Bank Loan and HDB Loan</t>
  </si>
  <si>
    <t>Final Monthly Mortgage Repayment Amount</t>
  </si>
  <si>
    <t>MSR &amp; TDSR ratio</t>
  </si>
  <si>
    <t>MSR &amp; TDSR value</t>
  </si>
  <si>
    <t>LTV Eligibility (for bank loan)</t>
  </si>
  <si>
    <t>Max Monthly Mortgage Repayment Amount</t>
  </si>
  <si>
    <t>Bank Loan Eligibility</t>
  </si>
  <si>
    <t>Final Price of Selected HDB Flat</t>
  </si>
  <si>
    <t>HDB and bank loan (Interest Rates)</t>
  </si>
  <si>
    <t>LTV</t>
  </si>
  <si>
    <t>User's Total household gross income</t>
  </si>
  <si>
    <t>User's Current loan commitments</t>
  </si>
  <si>
    <t>Total Loan amount</t>
  </si>
  <si>
    <t>User's Number of outstanding housing loan</t>
  </si>
  <si>
    <t>User's Budget for monthly loan repayment</t>
  </si>
  <si>
    <t>User's Preferred repayment period (for HDB and banks)</t>
  </si>
  <si>
    <t>User Selected Flat's Price</t>
  </si>
  <si>
    <t>User's HG Grant</t>
  </si>
  <si>
    <t>User Proximity Grant</t>
  </si>
  <si>
    <t>= Input variable with value to be decided by the user (controllable)</t>
  </si>
  <si>
    <t>= Input variable with value given or assumed (uncontrollable)</t>
  </si>
  <si>
    <t>Top 5 Recommended Flats</t>
  </si>
  <si>
    <t>***Should only display the cells below if there is 1 or more flat</t>
  </si>
  <si>
    <t>These are the top 5 flats choosen based on your preferences.</t>
  </si>
  <si>
    <t>Single/Couple List (C5)</t>
  </si>
  <si>
    <t>Couple</t>
  </si>
  <si>
    <t>No. of Outstanding Housing Loan (C12)</t>
  </si>
  <si>
    <t>Own more than one residential property? (C14)</t>
  </si>
  <si>
    <t>No</t>
  </si>
  <si>
    <t>&gt;=2</t>
  </si>
  <si>
    <t xml:space="preserve">HDB Preferences </t>
  </si>
  <si>
    <t>Location(B16:B41)</t>
  </si>
  <si>
    <t>Flat type List (C16:C20)</t>
  </si>
  <si>
    <t>Unit Floor (D16:D26)</t>
  </si>
  <si>
    <t>User Preferences Rankings (E16:E18)</t>
  </si>
  <si>
    <t>Available Flat Type (F16:F20)</t>
  </si>
  <si>
    <t>Available Unit Floor (G16:G26)</t>
  </si>
  <si>
    <t>Lower Flat Price</t>
  </si>
  <si>
    <t>Single/Couple?</t>
  </si>
  <si>
    <t>Yes/No</t>
  </si>
  <si>
    <t>Grants eligibility:</t>
  </si>
  <si>
    <t>Min downpayment (I16)</t>
  </si>
  <si>
    <t>NIL</t>
  </si>
  <si>
    <t>Options</t>
  </si>
  <si>
    <t>to be referenced from user input:</t>
  </si>
  <si>
    <t>Filter Criteria Table</t>
  </si>
  <si>
    <t>User Preference Table</t>
  </si>
  <si>
    <t>Budget</t>
  </si>
  <si>
    <t>Location</t>
  </si>
  <si>
    <t>Unit Floor Level</t>
  </si>
  <si>
    <t>Walking Time</t>
  </si>
  <si>
    <t>Remaining Lease</t>
  </si>
  <si>
    <t>Floor Area</t>
  </si>
  <si>
    <t>Rank</t>
  </si>
  <si>
    <t>Criteria</t>
  </si>
  <si>
    <t>% weighting</t>
  </si>
  <si>
    <t>Maximums of all eligible flats</t>
  </si>
  <si>
    <t>No of Flats</t>
  </si>
  <si>
    <t>Table 1: Distance to Time conversion</t>
  </si>
  <si>
    <t>Model 1: Shortlisted eligible flats</t>
  </si>
  <si>
    <t>meter</t>
  </si>
  <si>
    <t>in minutes</t>
  </si>
  <si>
    <t>Distance</t>
  </si>
  <si>
    <t>10 TO 12</t>
  </si>
  <si>
    <t>512 ANG MO KIO AVE 8</t>
  </si>
  <si>
    <t>Within 1km</t>
  </si>
  <si>
    <t>324 ANG MO KIO AVE 3</t>
  </si>
  <si>
    <t>537 ANG MO KIO AVE 5</t>
  </si>
  <si>
    <t>04 TO 06</t>
  </si>
  <si>
    <t>606 ANG MO KIO AVE 5</t>
  </si>
  <si>
    <t>07 TO 09</t>
  </si>
  <si>
    <t>612 ANG MO KIO AVE 4</t>
  </si>
  <si>
    <t>HDB Lease Calculator</t>
  </si>
  <si>
    <t>Input</t>
  </si>
  <si>
    <t>Flat of Choice</t>
  </si>
  <si>
    <t>MSR</t>
  </si>
  <si>
    <t>Flat Price (before subsidy)</t>
  </si>
  <si>
    <t>before subsidy</t>
  </si>
  <si>
    <t>TDSR</t>
  </si>
  <si>
    <t>Flat Price (after subsidy)</t>
  </si>
  <si>
    <t>after subsidy</t>
  </si>
  <si>
    <t xml:space="preserve">Total Household Gross Income </t>
  </si>
  <si>
    <t>Current Loan Commitments (SGD)</t>
  </si>
  <si>
    <t>No. of Outstanding Housing Loan</t>
  </si>
  <si>
    <t>User's Monthly Repayment Budget</t>
  </si>
  <si>
    <t>Validated Monthly Loan Repayment</t>
  </si>
  <si>
    <t>Calculated Value</t>
  </si>
  <si>
    <t>For HDB Loan</t>
  </si>
  <si>
    <t>Preferred Repayment Period</t>
  </si>
  <si>
    <t>Interest rate</t>
  </si>
  <si>
    <t>per annum</t>
  </si>
  <si>
    <t>*Right now we are assuming that interest rate will stay constant at 2.6%, even though it will change according to CPF OA interest rate (OA int+0.1%) in the future</t>
  </si>
  <si>
    <t>Loan Amount</t>
  </si>
  <si>
    <t>Monthly Repayment</t>
  </si>
  <si>
    <t xml:space="preserve">Total Amount Paid </t>
  </si>
  <si>
    <t>For Bank Loan</t>
  </si>
  <si>
    <t>years (maximum 30 years)</t>
  </si>
  <si>
    <t>*Bank downpayment is subject to number of outstanding housing loan and repayment period</t>
  </si>
  <si>
    <t>OCBC</t>
  </si>
  <si>
    <t>Floating</t>
  </si>
  <si>
    <t>1st Year</t>
  </si>
  <si>
    <t>2nd Year</t>
  </si>
  <si>
    <t>3rd Year</t>
  </si>
  <si>
    <t>4th Year Onwards</t>
  </si>
  <si>
    <t>Grand Total</t>
  </si>
  <si>
    <t>2 Years Fixed</t>
  </si>
  <si>
    <t>DBS</t>
  </si>
  <si>
    <t>3 Years Fixed</t>
  </si>
  <si>
    <t>4 Years Fixed</t>
  </si>
  <si>
    <t>Hybrid</t>
  </si>
  <si>
    <t>Loan Proportion Paid by Fixed</t>
  </si>
  <si>
    <t>Loan Proportion Paid by Floating</t>
  </si>
  <si>
    <t>Loan Paid by Fixed</t>
  </si>
  <si>
    <t>Loan Paid by Floating</t>
  </si>
  <si>
    <t>Total</t>
  </si>
  <si>
    <t>Monthly Repayment (by fixed)</t>
  </si>
  <si>
    <t>Total Amount Paid (by fixed)</t>
  </si>
  <si>
    <t>Total Interest Paid (by fixed)</t>
  </si>
  <si>
    <t>Monthly Repayment (by float)</t>
  </si>
  <si>
    <t>Total Amount Paid (by float)</t>
  </si>
  <si>
    <t>Total Interest Paid (by float)</t>
  </si>
  <si>
    <t>Monthly Repayment (hybrid total)</t>
  </si>
  <si>
    <t>Total Amount Paid (hybrid total)</t>
  </si>
  <si>
    <t>Total Interest Paid (hybrid total)</t>
  </si>
  <si>
    <t>UOB</t>
  </si>
  <si>
    <t>Result</t>
  </si>
  <si>
    <t>No. of Outstanding Housing Loan(A2: A5)</t>
  </si>
  <si>
    <t>LTV Table</t>
  </si>
  <si>
    <t>Outstanding housing Loans</t>
  </si>
  <si>
    <t>Loan Tenure</t>
  </si>
  <si>
    <t>LTV Limit</t>
  </si>
  <si>
    <t>Min downpayment (%)</t>
  </si>
  <si>
    <t xml:space="preserve">&lt;=25 </t>
  </si>
  <si>
    <t>&gt;25</t>
  </si>
  <si>
    <t>3M Compounded SORA value</t>
  </si>
  <si>
    <r>
      <t>3M Compounded SORA (Floating) (</t>
    </r>
    <r>
      <rPr>
        <b/>
        <sz val="11"/>
        <color theme="1"/>
        <rFont val="Calibri"/>
        <family val="2"/>
        <scheme val="minor"/>
      </rPr>
      <t>OCBC</t>
    </r>
    <r>
      <rPr>
        <sz val="12"/>
        <color theme="1"/>
        <rFont val="Calibri"/>
        <family val="2"/>
        <scheme val="minor"/>
      </rPr>
      <t>)</t>
    </r>
  </si>
  <si>
    <t>Interest rate (in years)</t>
  </si>
  <si>
    <t>Loan Plans</t>
  </si>
  <si>
    <t>Min Loan Amount</t>
  </si>
  <si>
    <t>OCBC Floating</t>
  </si>
  <si>
    <t>OCBC Fixed</t>
  </si>
  <si>
    <t>DBS Floating</t>
  </si>
  <si>
    <t>DBS Fixed</t>
  </si>
  <si>
    <r>
      <t>2 Years Fixed (</t>
    </r>
    <r>
      <rPr>
        <b/>
        <sz val="11"/>
        <color theme="1"/>
        <rFont val="Calibri"/>
        <family val="2"/>
        <scheme val="minor"/>
      </rPr>
      <t>OCBC</t>
    </r>
    <r>
      <rPr>
        <sz val="12"/>
        <color theme="1"/>
        <rFont val="Calibri"/>
        <family val="2"/>
        <scheme val="minor"/>
      </rPr>
      <t>)</t>
    </r>
  </si>
  <si>
    <t>DBS Hybrid</t>
  </si>
  <si>
    <t>UOB Floating</t>
  </si>
  <si>
    <t>HDB Loan Eligibility</t>
  </si>
  <si>
    <t>Gross monthly household income (couple)</t>
  </si>
  <si>
    <r>
      <t>3M Compounded SORA (Floating) (</t>
    </r>
    <r>
      <rPr>
        <b/>
        <sz val="11"/>
        <color theme="1"/>
        <rFont val="Calibri"/>
        <family val="2"/>
        <scheme val="minor"/>
      </rPr>
      <t>DBS</t>
    </r>
    <r>
      <rPr>
        <sz val="12"/>
        <color theme="1"/>
        <rFont val="Calibri"/>
        <family val="2"/>
        <scheme val="minor"/>
      </rPr>
      <t>)</t>
    </r>
  </si>
  <si>
    <t>Gross monthly household income (single)</t>
  </si>
  <si>
    <t>Validate HDB Repayment Period</t>
  </si>
  <si>
    <t>Remaining lease of HDB</t>
  </si>
  <si>
    <r>
      <t>2 Years Fixed (</t>
    </r>
    <r>
      <rPr>
        <b/>
        <sz val="11"/>
        <color theme="1"/>
        <rFont val="Calibri"/>
        <family val="2"/>
        <scheme val="minor"/>
      </rPr>
      <t>DBS</t>
    </r>
    <r>
      <rPr>
        <sz val="12"/>
        <color theme="1"/>
        <rFont val="Calibri"/>
        <family val="2"/>
        <scheme val="minor"/>
      </rPr>
      <t>)</t>
    </r>
  </si>
  <si>
    <t>Type of Fixed Plans</t>
  </si>
  <si>
    <t>Average age of the buyers</t>
  </si>
  <si>
    <t>Min downpayment for HDB Loan</t>
  </si>
  <si>
    <t>Min downpayment for bank Loan</t>
  </si>
  <si>
    <r>
      <t>3 Years Fixed (</t>
    </r>
    <r>
      <rPr>
        <b/>
        <sz val="11"/>
        <color theme="1"/>
        <rFont val="Calibri"/>
        <family val="2"/>
        <scheme val="minor"/>
      </rPr>
      <t>DBS</t>
    </r>
    <r>
      <rPr>
        <sz val="12"/>
        <color theme="1"/>
        <rFont val="Calibri"/>
        <family val="2"/>
        <scheme val="minor"/>
      </rPr>
      <t>)</t>
    </r>
  </si>
  <si>
    <r>
      <t>4 Years Fixed (</t>
    </r>
    <r>
      <rPr>
        <b/>
        <sz val="11"/>
        <color theme="1"/>
        <rFont val="Calibri"/>
        <family val="2"/>
        <scheme val="minor"/>
      </rPr>
      <t>DBS</t>
    </r>
    <r>
      <rPr>
        <sz val="12"/>
        <color theme="1"/>
        <rFont val="Calibri"/>
        <family val="2"/>
        <scheme val="minor"/>
      </rPr>
      <t>)</t>
    </r>
  </si>
  <si>
    <r>
      <t>2 Years Fixed (Hybrid) (</t>
    </r>
    <r>
      <rPr>
        <b/>
        <sz val="11"/>
        <color theme="1"/>
        <rFont val="Calibri"/>
        <family val="2"/>
        <scheme val="minor"/>
      </rPr>
      <t>DBS</t>
    </r>
    <r>
      <rPr>
        <sz val="12"/>
        <color theme="1"/>
        <rFont val="Calibri"/>
        <family val="2"/>
        <scheme val="minor"/>
      </rPr>
      <t>)</t>
    </r>
  </si>
  <si>
    <t>hybrid loan repayment proportion</t>
  </si>
  <si>
    <t>fixed</t>
  </si>
  <si>
    <t>floating</t>
  </si>
  <si>
    <r>
      <t>3M Compounded SORA (Floating) (Hybrid) (</t>
    </r>
    <r>
      <rPr>
        <b/>
        <sz val="11"/>
        <color theme="1"/>
        <rFont val="Calibri"/>
        <family val="2"/>
        <scheme val="minor"/>
      </rPr>
      <t>DBS</t>
    </r>
    <r>
      <rPr>
        <sz val="12"/>
        <color theme="1"/>
        <rFont val="Calibri"/>
        <family val="2"/>
        <scheme val="minor"/>
      </rPr>
      <t>)</t>
    </r>
  </si>
  <si>
    <r>
      <t>3M Compounded SORA (Floating) (</t>
    </r>
    <r>
      <rPr>
        <b/>
        <sz val="11"/>
        <color theme="1"/>
        <rFont val="Calibri"/>
        <family val="2"/>
        <scheme val="minor"/>
      </rPr>
      <t>UOB</t>
    </r>
    <r>
      <rPr>
        <sz val="12"/>
        <color theme="1"/>
        <rFont val="Calibri"/>
        <family val="2"/>
        <scheme val="minor"/>
      </rPr>
      <t>)</t>
    </r>
  </si>
  <si>
    <t>Results Computation</t>
  </si>
  <si>
    <t>Bank</t>
  </si>
  <si>
    <t>Scheme</t>
  </si>
  <si>
    <t>Total interest paid</t>
  </si>
  <si>
    <t>Lock in period (years)</t>
  </si>
  <si>
    <t>Eligibility</t>
  </si>
  <si>
    <t>Meet monthly budget?</t>
  </si>
  <si>
    <t>vlookup</t>
  </si>
  <si>
    <t>year 1 monthly repayment</t>
  </si>
  <si>
    <t>year 2 monthly repayment</t>
  </si>
  <si>
    <t>year 3 monthly repayment</t>
  </si>
  <si>
    <t>year 4 monthly repayment</t>
  </si>
  <si>
    <t>HDB</t>
  </si>
  <si>
    <t>-</t>
  </si>
  <si>
    <t>Hybrid 30%</t>
  </si>
  <si>
    <t>Hybrid 40%</t>
  </si>
  <si>
    <t>Hybrid 50%</t>
  </si>
  <si>
    <t>Month</t>
  </si>
  <si>
    <t>Block</t>
  </si>
  <si>
    <t>Street Name</t>
  </si>
  <si>
    <t>Flat Model</t>
  </si>
  <si>
    <t>Lease Commence Date</t>
  </si>
  <si>
    <t>Postal Code</t>
  </si>
  <si>
    <t>Latitude</t>
  </si>
  <si>
    <t>Longitude</t>
  </si>
  <si>
    <t>Nearest MRT</t>
  </si>
  <si>
    <t>Nearest Mall</t>
  </si>
  <si>
    <t>Nearest School</t>
  </si>
  <si>
    <t>Dist to nearest MRT</t>
  </si>
  <si>
    <t>Dist to nearest Mall</t>
  </si>
  <si>
    <t>Dist to nearest School</t>
  </si>
  <si>
    <t>2023-10</t>
  </si>
  <si>
    <t>3 ROOM</t>
  </si>
  <si>
    <t>ANG MO KIO AVE 1</t>
  </si>
  <si>
    <t>New Generation</t>
  </si>
  <si>
    <t>319 ANG MO KIO AVE 1</t>
  </si>
  <si>
    <t>ANG MO KIO AVE 10</t>
  </si>
  <si>
    <t>13 TO 15</t>
  </si>
  <si>
    <t>418 ANG MO KIO AVE 10</t>
  </si>
  <si>
    <t>ANG MO KIO AVE 4</t>
  </si>
  <si>
    <t>Improved</t>
  </si>
  <si>
    <t>170 ANG MO KIO AVE 4</t>
  </si>
  <si>
    <t>118 ANG MO KIO AVE 4</t>
  </si>
  <si>
    <t>610 ANG MO KIO AVE 4</t>
  </si>
  <si>
    <t>644 ANG MO KIO AVE 4</t>
  </si>
  <si>
    <t>ANG MO KIO AVE 5</t>
  </si>
  <si>
    <t>533 ANG MO KIO AVE 5</t>
  </si>
  <si>
    <t>180 ANG MO KIO AVE 5</t>
  </si>
  <si>
    <t>ANG MO KIO ST 44</t>
  </si>
  <si>
    <t>Model A</t>
  </si>
  <si>
    <t>455A ANG MO KIO ST 44</t>
  </si>
  <si>
    <t>ANG MO KIO AVE 3</t>
  </si>
  <si>
    <t>ANG MO KIO AVE 8</t>
  </si>
  <si>
    <t>ANG MO KIO ST 21</t>
  </si>
  <si>
    <t>260B ANG MO KIO ST 21</t>
  </si>
  <si>
    <t>5 ROOM</t>
  </si>
  <si>
    <t>Standard</t>
  </si>
  <si>
    <t>306 ANG MO KIO AVE 1</t>
  </si>
  <si>
    <t>22 TO 24</t>
  </si>
  <si>
    <t>458 ANG MO KIO AVE 10</t>
  </si>
  <si>
    <t>16 TO 18</t>
  </si>
  <si>
    <t>439 ANG MO KIO AVE 10</t>
  </si>
  <si>
    <t>ANG MO KIO ST 32</t>
  </si>
  <si>
    <t>01 TO 03</t>
  </si>
  <si>
    <t>350 ANG MO KIO ST 32</t>
  </si>
  <si>
    <t>BEDOK</t>
  </si>
  <si>
    <t>BEDOK NTH RD</t>
  </si>
  <si>
    <t>115 BEDOK NORTH RD</t>
  </si>
  <si>
    <t>BEDOK NTH ST 1</t>
  </si>
  <si>
    <t>217 BEDOK NORTH ST 1</t>
  </si>
  <si>
    <t>BEDOK NTH ST 2</t>
  </si>
  <si>
    <t>134 BEDOK NORTH ST 2</t>
  </si>
  <si>
    <t>BEDOK NTH ST 3</t>
  </si>
  <si>
    <t>529 BEDOK NORTH ST 3</t>
  </si>
  <si>
    <t>501 BEDOK NORTH ST 3</t>
  </si>
  <si>
    <t>539 BEDOK NORTH ST 3</t>
  </si>
  <si>
    <t>BEDOK RESERVOIR CRES</t>
  </si>
  <si>
    <t>DBSS</t>
  </si>
  <si>
    <t>748B BEDOK RESERVOIR CRES</t>
  </si>
  <si>
    <t>748C BEDOK RESERVOIR CRES</t>
  </si>
  <si>
    <t>BEDOK RESERVOIR RD</t>
  </si>
  <si>
    <t>616 BEDOK RESERVOIR RD</t>
  </si>
  <si>
    <t>712 BEDOK RESERVOIR RD</t>
  </si>
  <si>
    <t>Simplified</t>
  </si>
  <si>
    <t>151 BEDOK RESERVOIR RD</t>
  </si>
  <si>
    <t>CHAI CHEE RD</t>
  </si>
  <si>
    <t>20 CHAI CHEE RD</t>
  </si>
  <si>
    <t>BEDOK NTH AVE 3</t>
  </si>
  <si>
    <t>507 BEDOK NORTH AVE 3</t>
  </si>
  <si>
    <t>107 BEDOK NORTH RD</t>
  </si>
  <si>
    <t>BEDOK NTH ST 4</t>
  </si>
  <si>
    <t>186B BEDOK NORTH ST 4</t>
  </si>
  <si>
    <t>122 BEDOK RESERVOIR RD</t>
  </si>
  <si>
    <t>718 BEDOK RESERVOIR RD</t>
  </si>
  <si>
    <t>134 BEDOK RESERVOIR RD</t>
  </si>
  <si>
    <t>NEW UPP CHANGI RD</t>
  </si>
  <si>
    <t>64 NEW UPP CHANGI RD</t>
  </si>
  <si>
    <t>EXECUTIVE</t>
  </si>
  <si>
    <t>Apartment</t>
  </si>
  <si>
    <t>639 BEDOK RESERVOIR RD</t>
  </si>
  <si>
    <t>BISHAN</t>
  </si>
  <si>
    <t>BISHAN ST 24</t>
  </si>
  <si>
    <t>273A BISHAN ST 24</t>
  </si>
  <si>
    <t>Premium Apartment</t>
  </si>
  <si>
    <t>290 BISHAN ST 24</t>
  </si>
  <si>
    <t>BISHAN ST 23</t>
  </si>
  <si>
    <t>Maisonette</t>
  </si>
  <si>
    <t>201 BISHAN ST 23</t>
  </si>
  <si>
    <t>BUKIT BATOK</t>
  </si>
  <si>
    <t>2 ROOM</t>
  </si>
  <si>
    <t>BT BATOK WEST AVE 9</t>
  </si>
  <si>
    <t>2-room</t>
  </si>
  <si>
    <t>448B BUKIT BATOK WEST AVE 9</t>
  </si>
  <si>
    <t>BT BATOK EAST AVE 4</t>
  </si>
  <si>
    <t>267 BUKIT BATOK EAST AVE 4</t>
  </si>
  <si>
    <t>BT BATOK EAST AVE 5</t>
  </si>
  <si>
    <t>239 BUKIT BATOK EAST AVE 5</t>
  </si>
  <si>
    <t>BT BATOK ST 21</t>
  </si>
  <si>
    <t>215 BUKIT BATOK ST 21</t>
  </si>
  <si>
    <t>BT BATOK WEST AVE 8</t>
  </si>
  <si>
    <t>441A BUKIT BATOK WEST AVE 8</t>
  </si>
  <si>
    <t>182 BUKIT BATOK WEST AVE 8</t>
  </si>
  <si>
    <t>448A BUKIT BATOK WEST AVE 9</t>
  </si>
  <si>
    <t>BT BATOK CTRL</t>
  </si>
  <si>
    <t>626 BUKIT BATOK CTRL</t>
  </si>
  <si>
    <t>19 TO 21</t>
  </si>
  <si>
    <t>622 BUKIT BATOK CTRL</t>
  </si>
  <si>
    <t>BT BATOK ST 22</t>
  </si>
  <si>
    <t>296A BUKIT BATOK ST 22</t>
  </si>
  <si>
    <t>BT BATOK ST 31</t>
  </si>
  <si>
    <t>363 BUKIT BATOK ST 31</t>
  </si>
  <si>
    <t>360 BUKIT BATOK ST 31</t>
  </si>
  <si>
    <t>BT BATOK WEST AVE 6</t>
  </si>
  <si>
    <t>453A BUKIT BATOK WEST AVE 6</t>
  </si>
  <si>
    <t>452A BUKIT BATOK WEST AVE 6</t>
  </si>
  <si>
    <t>453B BUKIT BATOK WEST AVE 6</t>
  </si>
  <si>
    <t>442C BUKIT BATOK WEST AVE 8</t>
  </si>
  <si>
    <t>293A BUKIT BATOK ST 21</t>
  </si>
  <si>
    <t>BT BATOK WEST AVE 5</t>
  </si>
  <si>
    <t>393 BUKIT BATOK WEST AVE 5</t>
  </si>
  <si>
    <t>392 BUKIT BATOK WEST AVE 5</t>
  </si>
  <si>
    <t>194A BUKIT BATOK WEST AVE 6</t>
  </si>
  <si>
    <t>461D BUKIT BATOK WEST AVE 8</t>
  </si>
  <si>
    <t>BT BATOK ST 25</t>
  </si>
  <si>
    <t>288F BUKIT BATOK ST 25</t>
  </si>
  <si>
    <t>BUKIT MERAH</t>
  </si>
  <si>
    <t>BEO CRES</t>
  </si>
  <si>
    <t>24 BEO CRES</t>
  </si>
  <si>
    <t>36 BEO CRES</t>
  </si>
  <si>
    <t>EVERTON PK</t>
  </si>
  <si>
    <t>2 EVERTON PK</t>
  </si>
  <si>
    <t>081002</t>
  </si>
  <si>
    <t>KIM PONG RD</t>
  </si>
  <si>
    <t>49 KIM PONG RD</t>
  </si>
  <si>
    <t>TELOK BLANGAH CRES</t>
  </si>
  <si>
    <t>1 TELOK BLANGAH CRES</t>
  </si>
  <si>
    <t>090001</t>
  </si>
  <si>
    <t>16 TELOK BLANGAH CRES</t>
  </si>
  <si>
    <t>090016</t>
  </si>
  <si>
    <t>CANTONMENT CL</t>
  </si>
  <si>
    <t>19 CANTONMENT CL</t>
  </si>
  <si>
    <t>080019</t>
  </si>
  <si>
    <t>KIM TIAN RD</t>
  </si>
  <si>
    <t>119B KIM TIAN RD</t>
  </si>
  <si>
    <t>TELOK BLANGAH HTS</t>
  </si>
  <si>
    <t>70A TELOK BLANGAH HTS</t>
  </si>
  <si>
    <t>TELOK BLANGAH ST 31</t>
  </si>
  <si>
    <t>28 TO 30</t>
  </si>
  <si>
    <t>93B TELOK BLANGAH ST 31</t>
  </si>
  <si>
    <t>90A TELOK BLANGAH ST 31</t>
  </si>
  <si>
    <t>4 EVERTON PK</t>
  </si>
  <si>
    <t>080004</t>
  </si>
  <si>
    <t>HENDERSON RD</t>
  </si>
  <si>
    <t>96A HENDERSON RD</t>
  </si>
  <si>
    <t>BUKIT PANJANG</t>
  </si>
  <si>
    <t>BANGKIT RD</t>
  </si>
  <si>
    <t>250 BANGKIT RD</t>
  </si>
  <si>
    <t>BT PANJANG RING RD</t>
  </si>
  <si>
    <t>435 BUKIT PANJANG RING RD</t>
  </si>
  <si>
    <t>PENDING RD</t>
  </si>
  <si>
    <t>128 PENDING RD</t>
  </si>
  <si>
    <t>SEGAR RD</t>
  </si>
  <si>
    <t>458 SEGAR RD</t>
  </si>
  <si>
    <t>546A SEGAR RD</t>
  </si>
  <si>
    <t>SENJA RD</t>
  </si>
  <si>
    <t>636B SENJA RD</t>
  </si>
  <si>
    <t>239 BUKIT PANJANG RING RD</t>
  </si>
  <si>
    <t>FAJAR RD</t>
  </si>
  <si>
    <t>452 FAJAR RD</t>
  </si>
  <si>
    <t>BUKIT TIMAH</t>
  </si>
  <si>
    <t>EMPRESS RD</t>
  </si>
  <si>
    <t>8 EMPRESS RD</t>
  </si>
  <si>
    <t>TANJONG PAGAR</t>
  </si>
  <si>
    <t>TG PAGAR PLAZA</t>
  </si>
  <si>
    <t>3 TG PAGAR PLAZA</t>
  </si>
  <si>
    <t>081003</t>
  </si>
  <si>
    <t>CHOA CHU KANG</t>
  </si>
  <si>
    <t>CHOA CHU KANG AVE 1</t>
  </si>
  <si>
    <t>818A CHOA CHU KANG AVE 1</t>
  </si>
  <si>
    <t>TECK WHYE CRES</t>
  </si>
  <si>
    <t>166B TECK WHYE CRES</t>
  </si>
  <si>
    <t>TECK WHYE LANE</t>
  </si>
  <si>
    <t>16 TECK WHYE LANE</t>
  </si>
  <si>
    <t>26 TECK WHYE LANE</t>
  </si>
  <si>
    <t>818C CHOA CHU KANG AVE 1</t>
  </si>
  <si>
    <t>818B CHOA CHU KANG AVE 1</t>
  </si>
  <si>
    <t>CHOA CHU KANG AVE 2</t>
  </si>
  <si>
    <t>295 CHOA CHU KANG AVE 2</t>
  </si>
  <si>
    <t>CHOA CHU KANG AVE 3</t>
  </si>
  <si>
    <t>281 CHOA CHU KANG AVE 3</t>
  </si>
  <si>
    <t>CHOA CHU KANG AVE 5</t>
  </si>
  <si>
    <t>488C CHOA CHU KANG AVE 5</t>
  </si>
  <si>
    <t>CHOA CHU KANG AVE 7</t>
  </si>
  <si>
    <t>811B CHOA CHU KANG AVE 7</t>
  </si>
  <si>
    <t>CHOA CHU KANG CRES</t>
  </si>
  <si>
    <t>680 CHOA CHU KANG CRES</t>
  </si>
  <si>
    <t>658 CHOA CHU KANG CRES</t>
  </si>
  <si>
    <t>CHOA CHU KANG DR</t>
  </si>
  <si>
    <t>688A CHOA CHU KANG DR</t>
  </si>
  <si>
    <t>CHOA CHU KANG NTH 6</t>
  </si>
  <si>
    <t>636 CHOA CHU KANG NORTH 6</t>
  </si>
  <si>
    <t>635 CHOA CHU KANG NORTH 6</t>
  </si>
  <si>
    <t>TECK WHYE AVE</t>
  </si>
  <si>
    <t>1 TECK WHYE AVE</t>
  </si>
  <si>
    <t>487C CHOA CHU KANG AVE 5</t>
  </si>
  <si>
    <t>485B CHOA CHU KANG AVE 5</t>
  </si>
  <si>
    <t>CLEMENTI</t>
  </si>
  <si>
    <t>CLEMENTI AVE 4</t>
  </si>
  <si>
    <t>307 CLEMENTI AVE 4</t>
  </si>
  <si>
    <t>CLEMENTI AVE 3</t>
  </si>
  <si>
    <t>440B CLEMENTI AVE 3</t>
  </si>
  <si>
    <t>CLEMENTI ST 13</t>
  </si>
  <si>
    <t>111 CLEMENTI ST 13</t>
  </si>
  <si>
    <t>GEYLANG</t>
  </si>
  <si>
    <t>CIRCUIT RD</t>
  </si>
  <si>
    <t>34 CIRCUIT RD</t>
  </si>
  <si>
    <t>OLD AIRPORT RD</t>
  </si>
  <si>
    <t>99 OLD AIRPORT RD</t>
  </si>
  <si>
    <t>BALAM RD</t>
  </si>
  <si>
    <t>31 BALAM RD</t>
  </si>
  <si>
    <t>PAYA LEBAR WAY</t>
  </si>
  <si>
    <t>122 PAYA LEBAR WAY</t>
  </si>
  <si>
    <t>UBI AVE 1</t>
  </si>
  <si>
    <t>301 UBI AVE 1</t>
  </si>
  <si>
    <t>322 UBI AVE 1</t>
  </si>
  <si>
    <t>HOUGANG</t>
  </si>
  <si>
    <t>BUANGKOK LINK</t>
  </si>
  <si>
    <t>992B BUANGKOK LINK</t>
  </si>
  <si>
    <t>991B BUANGKOK LINK</t>
  </si>
  <si>
    <t>HOUGANG AVE 7</t>
  </si>
  <si>
    <t>316 HOUGANG AVE 7</t>
  </si>
  <si>
    <t>HOUGANG AVE 8</t>
  </si>
  <si>
    <t>652 HOUGANG AVE 8</t>
  </si>
  <si>
    <t>644 HOUGANG AVE 8</t>
  </si>
  <si>
    <t>HOUGANG ST 61</t>
  </si>
  <si>
    <t>696 HOUGANG ST 61</t>
  </si>
  <si>
    <t>678 HOUGANG AVE 8</t>
  </si>
  <si>
    <t>HOUGANG ST 91</t>
  </si>
  <si>
    <t>929 HOUGANG ST 91</t>
  </si>
  <si>
    <t>LOR AH SOO</t>
  </si>
  <si>
    <t>137 LOR AH SOO</t>
  </si>
  <si>
    <t>BUANGKOK CRES</t>
  </si>
  <si>
    <t>981A BUANGKOK CRES</t>
  </si>
  <si>
    <t>997B BUANGKOK CRES</t>
  </si>
  <si>
    <t>985B BUANGKOK CRES</t>
  </si>
  <si>
    <t>440 HOUGANG AVE 8</t>
  </si>
  <si>
    <t>HOUGANG ST 51</t>
  </si>
  <si>
    <t>570 HOUGANG ST 51</t>
  </si>
  <si>
    <t>956 HOUGANG ST 91</t>
  </si>
  <si>
    <t>UPP SERANGOON CRES</t>
  </si>
  <si>
    <t>473D UPP SERANGOON CRES</t>
  </si>
  <si>
    <t>JURONG EAST</t>
  </si>
  <si>
    <t>JURONG EAST ST 13</t>
  </si>
  <si>
    <t>110 JURONG EAST ST 13</t>
  </si>
  <si>
    <t>JURONG EAST ST 32</t>
  </si>
  <si>
    <t>306 JURONG EAST ST 32</t>
  </si>
  <si>
    <t>TEBAN GDNS RD</t>
  </si>
  <si>
    <t>47 TEBAN GDNS RD</t>
  </si>
  <si>
    <t>57 TEBAN GDNS RD</t>
  </si>
  <si>
    <t>25 TEBAN GDNS RD</t>
  </si>
  <si>
    <t>JURONG WEST</t>
  </si>
  <si>
    <t>BOON LAY AVE</t>
  </si>
  <si>
    <t>187 BOON LAY AVE</t>
  </si>
  <si>
    <t>BOON LAY DR</t>
  </si>
  <si>
    <t>197A BOON LAY DR</t>
  </si>
  <si>
    <t>BOON LAY PL</t>
  </si>
  <si>
    <t>213 BOON LAY PL</t>
  </si>
  <si>
    <t>JURONG WEST AVE 1</t>
  </si>
  <si>
    <t>440 JURONG WEST AVE 1</t>
  </si>
  <si>
    <t>488 JURONG WEST AVE 1</t>
  </si>
  <si>
    <t>538 JURONG WEST AVE 1</t>
  </si>
  <si>
    <t>JURONG WEST ST 42</t>
  </si>
  <si>
    <t>550 JURONG WEST ST 42</t>
  </si>
  <si>
    <t>JURONG WEST ST 61</t>
  </si>
  <si>
    <t>640 JURONG WEST ST 61</t>
  </si>
  <si>
    <t>650A JURONG WEST ST 61</t>
  </si>
  <si>
    <t>JURONG WEST ST 64</t>
  </si>
  <si>
    <t>684A JURONG WEST ST 64</t>
  </si>
  <si>
    <t>675A JURONG WEST ST 64</t>
  </si>
  <si>
    <t>JURONG WEST ST 65</t>
  </si>
  <si>
    <t>636 JURONG WEST ST 65</t>
  </si>
  <si>
    <t>JURONG WEST ST 91</t>
  </si>
  <si>
    <t>938 JURONG WEST ST 91</t>
  </si>
  <si>
    <t>JURONG WEST ST 93</t>
  </si>
  <si>
    <t>980 JURONG WEST ST 93</t>
  </si>
  <si>
    <t>197D BOON LAY DR</t>
  </si>
  <si>
    <t>JURONG WEST CTRL 1</t>
  </si>
  <si>
    <t>682B JURONG WEST CTRL 1</t>
  </si>
  <si>
    <t>941 JURONG WEST ST 91</t>
  </si>
  <si>
    <t>987A JURONG WEST ST 93</t>
  </si>
  <si>
    <t>989D JURONG WEST ST 93</t>
  </si>
  <si>
    <t>TAH CHING RD</t>
  </si>
  <si>
    <t>323 TAH CHING RD</t>
  </si>
  <si>
    <t>JURONG WEST AVE 5</t>
  </si>
  <si>
    <t>719 JURONG WEST AVE 5</t>
  </si>
  <si>
    <t>669A JURONG WEST ST 64</t>
  </si>
  <si>
    <t>671B JURONG WEST ST 65</t>
  </si>
  <si>
    <t>KALLANG/WHAMPOA</t>
  </si>
  <si>
    <t>GEYLANG BAHRU</t>
  </si>
  <si>
    <t>57 GEYLANG BAHRU</t>
  </si>
  <si>
    <t>73 GEYLANG BAHRU</t>
  </si>
  <si>
    <t>JLN BATU</t>
  </si>
  <si>
    <t>2 JLN BATU</t>
  </si>
  <si>
    <t>5 JLN BATU</t>
  </si>
  <si>
    <t>ST. GEORGE'S RD</t>
  </si>
  <si>
    <t>14 ST. GEORGE'S RD</t>
  </si>
  <si>
    <t>UPP BOON KENG RD</t>
  </si>
  <si>
    <t>16 UPP BOON KENG RD</t>
  </si>
  <si>
    <t>2C UPP BOON KENG RD</t>
  </si>
  <si>
    <t>10 JLN BATU</t>
  </si>
  <si>
    <t>MARINE PARADE</t>
  </si>
  <si>
    <t>MARINE DR</t>
  </si>
  <si>
    <t>63 MARINE DR</t>
  </si>
  <si>
    <t>PASIR RIS</t>
  </si>
  <si>
    <t>PASIR RIS ST 11</t>
  </si>
  <si>
    <t>119 PASIR RIS ST 11</t>
  </si>
  <si>
    <t>PASIR RIS ST 21</t>
  </si>
  <si>
    <t>230 PASIR RIS ST 21</t>
  </si>
  <si>
    <t>PASIR RIS DR 3</t>
  </si>
  <si>
    <t>631 PASIR RIS DR 3</t>
  </si>
  <si>
    <t>PASIR RIS ST 13</t>
  </si>
  <si>
    <t>160 PASIR RIS ST 13</t>
  </si>
  <si>
    <t>PASIR RIS ST 51</t>
  </si>
  <si>
    <t>538 PASIR RIS ST 51</t>
  </si>
  <si>
    <t>PUNGGOL</t>
  </si>
  <si>
    <t>PUNGGOL PL</t>
  </si>
  <si>
    <t>209C PUNGGOL PL</t>
  </si>
  <si>
    <t>EDGEDALE PLAINS</t>
  </si>
  <si>
    <t>661B EDGEDALE PLAINS</t>
  </si>
  <si>
    <t>171A EDGEDALE PLAINS</t>
  </si>
  <si>
    <t>PUNGGOL CTRL</t>
  </si>
  <si>
    <t>601D PUNGGOL CTRL</t>
  </si>
  <si>
    <t>PUNGGOL DR</t>
  </si>
  <si>
    <t>663A PUNGGOL DR</t>
  </si>
  <si>
    <t>PUNGGOL FIELD</t>
  </si>
  <si>
    <t>204C PUNGGOL FIELD</t>
  </si>
  <si>
    <t>270A PUNGGOL FIELD</t>
  </si>
  <si>
    <t>PUNGGOL RD</t>
  </si>
  <si>
    <t>195E PUNGGOL RD</t>
  </si>
  <si>
    <t>PUNGGOL WALK</t>
  </si>
  <si>
    <t>310A PUNGGOL WALK</t>
  </si>
  <si>
    <t>213C PUNGGOL WALK</t>
  </si>
  <si>
    <t>PUNGGOL WAY</t>
  </si>
  <si>
    <t>264A PUNGGOL WAY</t>
  </si>
  <si>
    <t>SUMANG WALK</t>
  </si>
  <si>
    <t>322C SUMANG WALK</t>
  </si>
  <si>
    <t>256B SUMANG WALK</t>
  </si>
  <si>
    <t>684B EDGEDALE PLAINS</t>
  </si>
  <si>
    <t>130 EDGEDALE PLAINS</t>
  </si>
  <si>
    <t>126C EDGEDALE PLAINS</t>
  </si>
  <si>
    <t>641A PUNGGOL DR</t>
  </si>
  <si>
    <t>663C PUNGGOL DR</t>
  </si>
  <si>
    <t>679C PUNGGOL DR</t>
  </si>
  <si>
    <t>PUNGGOL EAST</t>
  </si>
  <si>
    <t>658A PUNGGOL EAST</t>
  </si>
  <si>
    <t>SUMANG LANE</t>
  </si>
  <si>
    <t>231B SUMANG LANE</t>
  </si>
  <si>
    <t>322A SUMANG WALK</t>
  </si>
  <si>
    <t>QUEENSTOWN</t>
  </si>
  <si>
    <t>C'WEALTH CL</t>
  </si>
  <si>
    <t>81 C'WEALTH CL</t>
  </si>
  <si>
    <t>HOLLAND DR</t>
  </si>
  <si>
    <t>40 HOLLAND DR</t>
  </si>
  <si>
    <t>MEI LING ST</t>
  </si>
  <si>
    <t>160 MEI LING ST</t>
  </si>
  <si>
    <t>QUEEN'S CL</t>
  </si>
  <si>
    <t>23A QUEEN'S CL</t>
  </si>
  <si>
    <t>GHIM MOH LINK</t>
  </si>
  <si>
    <t>34 TO 36</t>
  </si>
  <si>
    <t>30 GHIM MOH LINK</t>
  </si>
  <si>
    <t>HOLLAND CL</t>
  </si>
  <si>
    <t>3A HOLLAND CL</t>
  </si>
  <si>
    <t>STRATHMORE AVE</t>
  </si>
  <si>
    <t>62B STRATHMORE AVE</t>
  </si>
  <si>
    <t>SEMBAWANG</t>
  </si>
  <si>
    <t>SEMBAWANG CRES</t>
  </si>
  <si>
    <t>363A SEMBAWANG CRES</t>
  </si>
  <si>
    <t>CANBERRA ST</t>
  </si>
  <si>
    <t>128B CANBERRA ST</t>
  </si>
  <si>
    <t>107A CANBERRA ST</t>
  </si>
  <si>
    <t>129B CANBERRA ST</t>
  </si>
  <si>
    <t>CANBERRA CRES</t>
  </si>
  <si>
    <t>119B CANBERRA CRES</t>
  </si>
  <si>
    <t>128C CANBERRA ST</t>
  </si>
  <si>
    <t>107C CANBERRA ST</t>
  </si>
  <si>
    <t>CANBERRA WALK</t>
  </si>
  <si>
    <t>108C CANBERRA WALK</t>
  </si>
  <si>
    <t>108B CANBERRA WALK</t>
  </si>
  <si>
    <t>115D CANBERRA WALK</t>
  </si>
  <si>
    <t>362C SEMBAWANG CRES</t>
  </si>
  <si>
    <t>SEMBAWANG VISTA</t>
  </si>
  <si>
    <t>318 SEMBAWANG VISTA</t>
  </si>
  <si>
    <t>ADMIRALTY LINK</t>
  </si>
  <si>
    <t>401 ADMIRALTY LINK</t>
  </si>
  <si>
    <t>CANBERRA LINK</t>
  </si>
  <si>
    <t>503B CANBERRA LINK</t>
  </si>
  <si>
    <t>CANBERRA RD</t>
  </si>
  <si>
    <t>304 CANBERRA RD</t>
  </si>
  <si>
    <t>310 CANBERRA RD</t>
  </si>
  <si>
    <t>SENGKANG</t>
  </si>
  <si>
    <t>COMPASSVALE LANE</t>
  </si>
  <si>
    <t>210A COMPASSVALE LANE</t>
  </si>
  <si>
    <t>FERNVALE LINK</t>
  </si>
  <si>
    <t>418A FERNVALE LINK</t>
  </si>
  <si>
    <t>SENGKANG WEST AVE</t>
  </si>
  <si>
    <t>438B SENGKANG WEST AVE</t>
  </si>
  <si>
    <t>ANCHORVALE DR</t>
  </si>
  <si>
    <t>Model A2</t>
  </si>
  <si>
    <t>320A ANCHORVALE DR</t>
  </si>
  <si>
    <t>ANCHORVALE LINK</t>
  </si>
  <si>
    <t>302A ANCHORVALE LINK</t>
  </si>
  <si>
    <t>306C ANCHORVALE LINK</t>
  </si>
  <si>
    <t>ANCHORVALE RD</t>
  </si>
  <si>
    <t>307A ANCHORVALE RD</t>
  </si>
  <si>
    <t>COMPASSVALE CRES</t>
  </si>
  <si>
    <t>287A COMPASSVALE CRES</t>
  </si>
  <si>
    <t>COMPASSVALE DR</t>
  </si>
  <si>
    <t>215B COMPASSVALE DR</t>
  </si>
  <si>
    <t>217C COMPASSVALE DR</t>
  </si>
  <si>
    <t>COMPASSVALE RD</t>
  </si>
  <si>
    <t>257B COMPASSVALE RD</t>
  </si>
  <si>
    <t>470A FERNVALE LINK</t>
  </si>
  <si>
    <t>SENGKANG CTRL</t>
  </si>
  <si>
    <t>271C SENGKANG CTRL</t>
  </si>
  <si>
    <t>SENGKANG EAST AVE</t>
  </si>
  <si>
    <t>282A SENGKANG EAST AVE</t>
  </si>
  <si>
    <t>310A ANCHORVALE RD</t>
  </si>
  <si>
    <t>310B ANCHORVALE RD</t>
  </si>
  <si>
    <t>295A COMPASSVALE CRES</t>
  </si>
  <si>
    <t>207B COMPASSVALE LANE</t>
  </si>
  <si>
    <t>COMPASSVALE ST</t>
  </si>
  <si>
    <t>298A COMPASSVALE ST</t>
  </si>
  <si>
    <t>RIVERVALE CRES</t>
  </si>
  <si>
    <t>157A RIVERVALE CRES</t>
  </si>
  <si>
    <t>SENGKANG EAST WAY</t>
  </si>
  <si>
    <t>261A SENGKANG EAST WAY</t>
  </si>
  <si>
    <t>121D SENGKANG EAST WAY</t>
  </si>
  <si>
    <t>RIVERVALE DR</t>
  </si>
  <si>
    <t>189B RIVERVALE DR</t>
  </si>
  <si>
    <t>SERANGOON</t>
  </si>
  <si>
    <t>SERANGOON AVE 4</t>
  </si>
  <si>
    <t>214 SERANGOON AVE 4</t>
  </si>
  <si>
    <t>217 SERANGOON AVE 4</t>
  </si>
  <si>
    <t>SERANGOON NTH AVE 4</t>
  </si>
  <si>
    <t>541 SERANGOON NORTH AVE 4</t>
  </si>
  <si>
    <t>TAMPINES</t>
  </si>
  <si>
    <t>TAMPINES AVE 8</t>
  </si>
  <si>
    <t>869A TAMPINES AVE 8</t>
  </si>
  <si>
    <t>TAMPINES ST 23</t>
  </si>
  <si>
    <t>217 TAMPINES ST 23</t>
  </si>
  <si>
    <t>SIMEI ST 1</t>
  </si>
  <si>
    <t>153 SIMEI ST 1</t>
  </si>
  <si>
    <t>TAMPINES AVE 7</t>
  </si>
  <si>
    <t>391 TAMPINES AVE 7</t>
  </si>
  <si>
    <t>TAMPINES CTRL 7</t>
  </si>
  <si>
    <t>522A TAMPINES CTRL 7</t>
  </si>
  <si>
    <t>523B TAMPINES CTRL 7</t>
  </si>
  <si>
    <t>TAMPINES ST 33</t>
  </si>
  <si>
    <t>346 TAMPINES ST 33</t>
  </si>
  <si>
    <t>TAMPINES ST 34</t>
  </si>
  <si>
    <t>367 TAMPINES ST 34</t>
  </si>
  <si>
    <t>TAMPINES ST 45</t>
  </si>
  <si>
    <t>494H TAMPINES ST 45</t>
  </si>
  <si>
    <t>487C TAMPINES ST 45</t>
  </si>
  <si>
    <t>TAMPINES ST 71</t>
  </si>
  <si>
    <t>726 TAMPINES ST 71</t>
  </si>
  <si>
    <t>TAMPINES ST 82</t>
  </si>
  <si>
    <t>832 TAMPINES ST 82</t>
  </si>
  <si>
    <t>850 TAMPINES ST 82</t>
  </si>
  <si>
    <t>TAMPINES ST 91</t>
  </si>
  <si>
    <t>927 TAMPINES ST 91</t>
  </si>
  <si>
    <t>TAMPINES AVE 9</t>
  </si>
  <si>
    <t>494B TAMPINES AVE 9</t>
  </si>
  <si>
    <t>491A TAMPINES AVE 9</t>
  </si>
  <si>
    <t>317 TAMPINES ST 33</t>
  </si>
  <si>
    <t>912 TAMPINES ST 91</t>
  </si>
  <si>
    <t>TAMPINES ST 12</t>
  </si>
  <si>
    <t>149 TAMPINES ST 12</t>
  </si>
  <si>
    <t>TAMPINES ST 32</t>
  </si>
  <si>
    <t>332 TAMPINES ST 32</t>
  </si>
  <si>
    <t>497A TAMPINES ST 45</t>
  </si>
  <si>
    <t>TOA PAYOH</t>
  </si>
  <si>
    <t>LOR 1 TOA PAYOH</t>
  </si>
  <si>
    <t>157 LOR 1 TOA PAYOH</t>
  </si>
  <si>
    <t>LOR 7 TOA PAYOH</t>
  </si>
  <si>
    <t>3 LOR 7 TOA PAYOH</t>
  </si>
  <si>
    <t>LOR 8 TOA PAYOH</t>
  </si>
  <si>
    <t>234 LOR 8 TOA PAYOH</t>
  </si>
  <si>
    <t>130A LOR 1 TOA PAYOH</t>
  </si>
  <si>
    <t>219 LOR 8 TOA PAYOH</t>
  </si>
  <si>
    <t>TOA PAYOH CTRL</t>
  </si>
  <si>
    <t>79E TOA PAYOH CTRL</t>
  </si>
  <si>
    <t>KIM KEAT AVE</t>
  </si>
  <si>
    <t>255 KIM KEAT AVE</t>
  </si>
  <si>
    <t>LOR 1A TOA PAYOH</t>
  </si>
  <si>
    <t>139A LOR 1A TOA PAYOH</t>
  </si>
  <si>
    <t>138A LOR 1A TOA PAYOH</t>
  </si>
  <si>
    <t>LOR 4 TOA PAYOH</t>
  </si>
  <si>
    <t>82B LOR 4 TOA PAYOH</t>
  </si>
  <si>
    <t>WOODLANDS</t>
  </si>
  <si>
    <t>MARSILING DR</t>
  </si>
  <si>
    <t>202 MARSILING DR</t>
  </si>
  <si>
    <t>6 MARSILING DR</t>
  </si>
  <si>
    <t>WOODLANDS ST 31</t>
  </si>
  <si>
    <t>25 TO 27</t>
  </si>
  <si>
    <t>302A WOODLANDS ST 31</t>
  </si>
  <si>
    <t>MARSILING LANE</t>
  </si>
  <si>
    <t>12C MARSILING LANE</t>
  </si>
  <si>
    <t>WOODLANDS AVE 6</t>
  </si>
  <si>
    <t>693B WOODLANDS AVE 6</t>
  </si>
  <si>
    <t>793 WOODLANDS AVE 6</t>
  </si>
  <si>
    <t>WOODLANDS CIRCLE</t>
  </si>
  <si>
    <t>736 WOODLANDS CIRCLE</t>
  </si>
  <si>
    <t>WOODLANDS DR 14</t>
  </si>
  <si>
    <t>520 WOODLANDS DR 14</t>
  </si>
  <si>
    <t>533 WOODLANDS DR 14</t>
  </si>
  <si>
    <t>WOODLANDS DR 16</t>
  </si>
  <si>
    <t>537 WOODLANDS DR 16</t>
  </si>
  <si>
    <t>541 WOODLANDS DR 16</t>
  </si>
  <si>
    <t>WOODLANDS DR 50</t>
  </si>
  <si>
    <t>886B WOODLANDS DR 50</t>
  </si>
  <si>
    <t>897C WOODLANDS DR 50</t>
  </si>
  <si>
    <t>899A WOODLANDS DR 50</t>
  </si>
  <si>
    <t>WOODLANDS DR 60</t>
  </si>
  <si>
    <t>786B WOODLANDS DR 60</t>
  </si>
  <si>
    <t>769 WOODLANDS DR 60</t>
  </si>
  <si>
    <t>WOODLANDS RISE</t>
  </si>
  <si>
    <t>783C WOODLANDS RISE</t>
  </si>
  <si>
    <t>36 MARSILING DR</t>
  </si>
  <si>
    <t>WOODLANDS AVE 4</t>
  </si>
  <si>
    <t>750 WOODLANDS AVE 4</t>
  </si>
  <si>
    <t>766 WOODLANDS CIRCLE</t>
  </si>
  <si>
    <t>WOODLANDS CRES</t>
  </si>
  <si>
    <t>777 WOODLANDS CRES</t>
  </si>
  <si>
    <t>518 WOODLANDS DR 14</t>
  </si>
  <si>
    <t>896B WOODLANDS DR 50</t>
  </si>
  <si>
    <t>WOODLANDS DR 70</t>
  </si>
  <si>
    <t>712 WOODLANDS DR 70</t>
  </si>
  <si>
    <t>WOODLANDS RING RD</t>
  </si>
  <si>
    <t>607 WOODLANDS RING RD</t>
  </si>
  <si>
    <t>MARSILING RD</t>
  </si>
  <si>
    <t>142 MARSILING RD</t>
  </si>
  <si>
    <t>YISHUN</t>
  </si>
  <si>
    <t>YISHUN AVE 11</t>
  </si>
  <si>
    <t>459 YISHUN AVE 11</t>
  </si>
  <si>
    <t>YISHUN AVE 4</t>
  </si>
  <si>
    <t>672C YISHUN AVE 4</t>
  </si>
  <si>
    <t>YISHUN RING RD</t>
  </si>
  <si>
    <t>116 YISHUN RING RD</t>
  </si>
  <si>
    <t>621 YISHUN RING RD</t>
  </si>
  <si>
    <t>419 YISHUN AVE 11</t>
  </si>
  <si>
    <t>YISHUN AVE 3</t>
  </si>
  <si>
    <t>770 YISHUN AVE 3</t>
  </si>
  <si>
    <t>507A YISHUN AVE 4</t>
  </si>
  <si>
    <t>366 YISHUN RING RD</t>
  </si>
  <si>
    <t>YISHUN ST 51</t>
  </si>
  <si>
    <t>501B YISHUN ST 51</t>
  </si>
  <si>
    <t>YISHUN ST 61</t>
  </si>
  <si>
    <t>639 YISHUN ST 61</t>
  </si>
  <si>
    <t>YISHUN ST 72</t>
  </si>
  <si>
    <t>752 YISHUN ST 72</t>
  </si>
  <si>
    <t>756 YISHUN ST 72</t>
  </si>
  <si>
    <t>YISHUN ST 81</t>
  </si>
  <si>
    <t>876 YISHUN ST 81</t>
  </si>
  <si>
    <t>508B YISHUN AVE 4</t>
  </si>
  <si>
    <t>OBJECTID</t>
  </si>
  <si>
    <t>Station Name</t>
  </si>
  <si>
    <t>Station No.</t>
  </si>
  <si>
    <t>EUNOS MRT STATION</t>
  </si>
  <si>
    <t>EW7</t>
  </si>
  <si>
    <t>CHINESE GARDEN MRT STATION</t>
  </si>
  <si>
    <t>EW25</t>
  </si>
  <si>
    <t>KHATIB MRT STATION</t>
  </si>
  <si>
    <t>NS14</t>
  </si>
  <si>
    <t>KRANJI MRT STATION</t>
  </si>
  <si>
    <t>NS7</t>
  </si>
  <si>
    <t>REDHILL MRT STATION</t>
  </si>
  <si>
    <t>EW18</t>
  </si>
  <si>
    <t>YEW TEE MRT STATION</t>
  </si>
  <si>
    <t>NS5</t>
  </si>
  <si>
    <t>PIONEER MRT STATION</t>
  </si>
  <si>
    <t>EW28</t>
  </si>
  <si>
    <t>COMMONWEALTH MRT STATION</t>
  </si>
  <si>
    <t>EW20</t>
  </si>
  <si>
    <t>PAYA LEBAR MRT STATION</t>
  </si>
  <si>
    <t>EW8/CC9</t>
  </si>
  <si>
    <t>SIMEI MRT STATION</t>
  </si>
  <si>
    <t>EW3</t>
  </si>
  <si>
    <t>TAMPINES MRT STATION</t>
  </si>
  <si>
    <t>EW2/DT32</t>
  </si>
  <si>
    <t>ADMIRALTY MRT STATION</t>
  </si>
  <si>
    <t>NS10</t>
  </si>
  <si>
    <t>YISHUN MRT STATION</t>
  </si>
  <si>
    <t>NS13</t>
  </si>
  <si>
    <t>PASIR RIS MRT STATION</t>
  </si>
  <si>
    <t>EW1</t>
  </si>
  <si>
    <t>CLEMENTI MRT STATION</t>
  </si>
  <si>
    <t>EW23</t>
  </si>
  <si>
    <t>ALJUNIED MRT STATION</t>
  </si>
  <si>
    <t>EW9</t>
  </si>
  <si>
    <t>ANG MO KIO MRT STATION</t>
  </si>
  <si>
    <t>NS16</t>
  </si>
  <si>
    <t>EXPO MRT STATION</t>
  </si>
  <si>
    <t>CG1/DT35</t>
  </si>
  <si>
    <t>CHOA CHU KANG MRT STATION</t>
  </si>
  <si>
    <t>NS4</t>
  </si>
  <si>
    <t>JURONG EAST MRT STATION</t>
  </si>
  <si>
    <t>EW24/NS1</t>
  </si>
  <si>
    <t>QUEENSTOWN MRT STATION</t>
  </si>
  <si>
    <t>EW19</t>
  </si>
  <si>
    <t>TUAS LINK MRT STATION</t>
  </si>
  <si>
    <t>EW33</t>
  </si>
  <si>
    <t>GUL CIRCLE MRT STATION</t>
  </si>
  <si>
    <t>EW30</t>
  </si>
  <si>
    <t>WOODLANDS MRT STATION</t>
  </si>
  <si>
    <t>NS9/TE2</t>
  </si>
  <si>
    <t>TUAS CRESCENT MRT STATION</t>
  </si>
  <si>
    <t>EW31</t>
  </si>
  <si>
    <t>KALLANG MRT STATION</t>
  </si>
  <si>
    <t>EW10</t>
  </si>
  <si>
    <t>TUAS WEST ROAD MRT STATION</t>
  </si>
  <si>
    <t>EW32</t>
  </si>
  <si>
    <t>BUONA VISTA MRT STATION</t>
  </si>
  <si>
    <t>EW21/CC22</t>
  </si>
  <si>
    <t>DOVER MRT STATION</t>
  </si>
  <si>
    <t>EW22</t>
  </si>
  <si>
    <t>SEMBAWANG MRT STATION</t>
  </si>
  <si>
    <t>NS11</t>
  </si>
  <si>
    <t>KEMBANGAN MRT STATION</t>
  </si>
  <si>
    <t>EW6</t>
  </si>
  <si>
    <t>BUKIT BATOK MRT STATION</t>
  </si>
  <si>
    <t>NS2</t>
  </si>
  <si>
    <t>BOON LAY MRT STATION</t>
  </si>
  <si>
    <t>EW27</t>
  </si>
  <si>
    <t>BUKIT GOMBAK MRT STATION</t>
  </si>
  <si>
    <t>NS3</t>
  </si>
  <si>
    <t>MARSILING MRT STATION</t>
  </si>
  <si>
    <t>NS8</t>
  </si>
  <si>
    <t>BEDOK MRT STATION</t>
  </si>
  <si>
    <t>EW5</t>
  </si>
  <si>
    <t>JOO KOON MRT STATION</t>
  </si>
  <si>
    <t>EW29</t>
  </si>
  <si>
    <t>LAKESIDE MRT STATION</t>
  </si>
  <si>
    <t>EW26</t>
  </si>
  <si>
    <t>TANAH MERAH MRT STATION</t>
  </si>
  <si>
    <t>EW4</t>
  </si>
  <si>
    <t>YIO CHU KANG MRT STATION</t>
  </si>
  <si>
    <t>NS15</t>
  </si>
  <si>
    <t>OASIS LRT STATION</t>
  </si>
  <si>
    <t>PE6</t>
  </si>
  <si>
    <t>SAM KEE LRT STATION</t>
  </si>
  <si>
    <t>PW1</t>
  </si>
  <si>
    <t>FARMWAY LRT STATION</t>
  </si>
  <si>
    <t>SW2</t>
  </si>
  <si>
    <t>KUPANG LRT STATION</t>
  </si>
  <si>
    <t>SW3</t>
  </si>
  <si>
    <t>RENJONG LRT STATION</t>
  </si>
  <si>
    <t>SW8</t>
  </si>
  <si>
    <t>BUKIT PANJANG LRT STATION</t>
  </si>
  <si>
    <t>BP6</t>
  </si>
  <si>
    <t>FAJAR LRT STATION</t>
  </si>
  <si>
    <t>BP10</t>
  </si>
  <si>
    <t>PUNGGOL LRT STATION</t>
  </si>
  <si>
    <t>PTC</t>
  </si>
  <si>
    <t>SAMUDERA LRT STATION</t>
  </si>
  <si>
    <t>PW4</t>
  </si>
  <si>
    <t>NIBONG LRT STATION</t>
  </si>
  <si>
    <t>PW5</t>
  </si>
  <si>
    <t>SOO TECK LRT STATION</t>
  </si>
  <si>
    <t>PW7</t>
  </si>
  <si>
    <t>KADALOOR LRT STATION</t>
  </si>
  <si>
    <t>PE5</t>
  </si>
  <si>
    <t>CORAL EDGE LRT STATION</t>
  </si>
  <si>
    <t>PE3</t>
  </si>
  <si>
    <t>THANGGAM LRT STATION</t>
  </si>
  <si>
    <t>SW4</t>
  </si>
  <si>
    <t>KEAT HONG LRT STATION</t>
  </si>
  <si>
    <t>BP3</t>
  </si>
  <si>
    <t>DAMAI LRT STATION</t>
  </si>
  <si>
    <t>PE7</t>
  </si>
  <si>
    <t>COVE LRT STATION</t>
  </si>
  <si>
    <t>PE1</t>
  </si>
  <si>
    <t>RIVIERA LRT STATION</t>
  </si>
  <si>
    <t>PE4</t>
  </si>
  <si>
    <t>SENJA LRT STATION</t>
  </si>
  <si>
    <t>BP13</t>
  </si>
  <si>
    <t>JELAPANG LRT STATION</t>
  </si>
  <si>
    <t>BP12</t>
  </si>
  <si>
    <t>PETIR LRT STATION</t>
  </si>
  <si>
    <t>BP7</t>
  </si>
  <si>
    <t>TECK WHYE LRT STATION</t>
  </si>
  <si>
    <t>BP4</t>
  </si>
  <si>
    <t>CHOA CHU KANG LRT STATION</t>
  </si>
  <si>
    <t>BP1</t>
  </si>
  <si>
    <t>SOUTH VIEW LRT STATION</t>
  </si>
  <si>
    <t>BP2</t>
  </si>
  <si>
    <t>LAYAR LRT STATION</t>
  </si>
  <si>
    <t>SW6</t>
  </si>
  <si>
    <t>KANGKAR LRT STATION</t>
  </si>
  <si>
    <t>SE4</t>
  </si>
  <si>
    <t>MERIDIAN LRT STATION</t>
  </si>
  <si>
    <t>PE2</t>
  </si>
  <si>
    <t>CHENG LIM LRT STATION</t>
  </si>
  <si>
    <t>SW1</t>
  </si>
  <si>
    <t>PUNGGOL POINT LRT STATION</t>
  </si>
  <si>
    <t>PW3</t>
  </si>
  <si>
    <t>SUMANG LRT STATION</t>
  </si>
  <si>
    <t>PW6</t>
  </si>
  <si>
    <t>FERNVALE LRT STATION</t>
  </si>
  <si>
    <t>SW5</t>
  </si>
  <si>
    <t>TONGKANG LRT STATION</t>
  </si>
  <si>
    <t>SW7</t>
  </si>
  <si>
    <t>PENDING LRT STATION</t>
  </si>
  <si>
    <t>BP8</t>
  </si>
  <si>
    <t>TECK LEE LRT STATION</t>
  </si>
  <si>
    <t>PW2</t>
  </si>
  <si>
    <t>BANGKIT LRT STATION</t>
  </si>
  <si>
    <t>BP9</t>
  </si>
  <si>
    <t>BAKAU LRT STATION</t>
  </si>
  <si>
    <t>SE3</t>
  </si>
  <si>
    <t>RUMBIA LRT STATION</t>
  </si>
  <si>
    <t>SE2</t>
  </si>
  <si>
    <t>COMPASSVALE LRT STATION</t>
  </si>
  <si>
    <t>SE1</t>
  </si>
  <si>
    <t>RANGGUNG LRT STATION</t>
  </si>
  <si>
    <t>SE5</t>
  </si>
  <si>
    <t>PHOENIX LRT STATION</t>
  </si>
  <si>
    <t>BP5</t>
  </si>
  <si>
    <t>SEGAR LRT STATION</t>
  </si>
  <si>
    <t>BP11</t>
  </si>
  <si>
    <t>SENGKANG LRT STATION</t>
  </si>
  <si>
    <t>STC</t>
  </si>
  <si>
    <t>BRAS BASAH MRT STATION</t>
  </si>
  <si>
    <t>CC2</t>
  </si>
  <si>
    <t>MACPHERSON MRT STATION</t>
  </si>
  <si>
    <t>CC10/DT26</t>
  </si>
  <si>
    <t>CITY HALL MRT STATION</t>
  </si>
  <si>
    <t>EW13/NS25</t>
  </si>
  <si>
    <t>TAMPINES EAST MRT STATION</t>
  </si>
  <si>
    <t>DT33</t>
  </si>
  <si>
    <t>TAMPINES WEST MRT STATION</t>
  </si>
  <si>
    <t>DT31</t>
  </si>
  <si>
    <t>GEYLANG BAHRU MRT STATION</t>
  </si>
  <si>
    <t>DT24</t>
  </si>
  <si>
    <t>BENDEMEER MRT STATION</t>
  </si>
  <si>
    <t>DT23</t>
  </si>
  <si>
    <t>BENCOOLEN MRT STATION</t>
  </si>
  <si>
    <t>DT21</t>
  </si>
  <si>
    <t>HARBOURFRONT MRT STATION</t>
  </si>
  <si>
    <t>NE1/CC29</t>
  </si>
  <si>
    <t>098867</t>
  </si>
  <si>
    <t>KENT RIDGE MRT STATION</t>
  </si>
  <si>
    <t>CC24</t>
  </si>
  <si>
    <t>PUNGGOL MRT STATION</t>
  </si>
  <si>
    <t>NE17</t>
  </si>
  <si>
    <t>TANJONG PAGAR MRT STATION</t>
  </si>
  <si>
    <t>EW15</t>
  </si>
  <si>
    <t>069119</t>
  </si>
  <si>
    <t>ONE-NORTH MRT STATION</t>
  </si>
  <si>
    <t>CC23</t>
  </si>
  <si>
    <t>STADIUM MRT STATION</t>
  </si>
  <si>
    <t>CC6</t>
  </si>
  <si>
    <t>BUGIS MRT STATION</t>
  </si>
  <si>
    <t>EW12/DT14</t>
  </si>
  <si>
    <t>SOMERSET MRT STATION</t>
  </si>
  <si>
    <t>NS23</t>
  </si>
  <si>
    <t>ORCHARD MRT STATION</t>
  </si>
  <si>
    <t>NS22/TE14</t>
  </si>
  <si>
    <t>JALAN BESAR MRT STATION</t>
  </si>
  <si>
    <t>DT22</t>
  </si>
  <si>
    <t>BAYFRONT MRT STATION</t>
  </si>
  <si>
    <t>DT16/CE1</t>
  </si>
  <si>
    <t>018957</t>
  </si>
  <si>
    <t>SENGKANG MRT STATION</t>
  </si>
  <si>
    <t>NE16</t>
  </si>
  <si>
    <t>BUKIT BROWN MRT STATION</t>
  </si>
  <si>
    <t>CC18</t>
  </si>
  <si>
    <t>MOUNTBATTEN MRT STATION</t>
  </si>
  <si>
    <t>CC7</t>
  </si>
  <si>
    <t>KOVAN MRT STATION</t>
  </si>
  <si>
    <t>NE13</t>
  </si>
  <si>
    <t>FORT CANNING MRT STATION</t>
  </si>
  <si>
    <t>DT20</t>
  </si>
  <si>
    <t>FARRER ROAD MRT STATION</t>
  </si>
  <si>
    <t>CC20</t>
  </si>
  <si>
    <t>DOWNTOWN MRT STATION</t>
  </si>
  <si>
    <t>DT17</t>
  </si>
  <si>
    <t>018969</t>
  </si>
  <si>
    <t>ESPLANADE MRT STATION</t>
  </si>
  <si>
    <t>CC3</t>
  </si>
  <si>
    <t>189562</t>
  </si>
  <si>
    <t>NICOLL HIGHWAY MRT STATION</t>
  </si>
  <si>
    <t>CC5</t>
  </si>
  <si>
    <t>038970</t>
  </si>
  <si>
    <t>CALDECOTT MRT STATION</t>
  </si>
  <si>
    <t>CC17/TE9</t>
  </si>
  <si>
    <t>MARINA BAY MRT STATION</t>
  </si>
  <si>
    <t>NS27/TE20/CE2</t>
  </si>
  <si>
    <t>018925</t>
  </si>
  <si>
    <t>LABRADOR PARK MRT STATION</t>
  </si>
  <si>
    <t>CC27</t>
  </si>
  <si>
    <t>109029</t>
  </si>
  <si>
    <t>CHINATOWN MRT STATION</t>
  </si>
  <si>
    <t>NE4/DT19</t>
  </si>
  <si>
    <t>058362</t>
  </si>
  <si>
    <t>TAN KAH KEE MRT STATION</t>
  </si>
  <si>
    <t>DT8</t>
  </si>
  <si>
    <t>TIONG BAHRU MRT STATION</t>
  </si>
  <si>
    <t>EW17</t>
  </si>
  <si>
    <t>HILLVIEW MRT STATION</t>
  </si>
  <si>
    <t>DT3</t>
  </si>
  <si>
    <t>KING ALBERT PARK MRT STATION</t>
  </si>
  <si>
    <t>DT6</t>
  </si>
  <si>
    <t>MATTAR MRT STATION</t>
  </si>
  <si>
    <t>DT25</t>
  </si>
  <si>
    <t>UBI MRT STATION</t>
  </si>
  <si>
    <t>DT27</t>
  </si>
  <si>
    <t>BEAUTY WORLD MRT STATION</t>
  </si>
  <si>
    <t>DT5</t>
  </si>
  <si>
    <t>KAKI BUKIT MRT STATION</t>
  </si>
  <si>
    <t>DT28</t>
  </si>
  <si>
    <t>BEDOK NORTH MRT STATION</t>
  </si>
  <si>
    <t>DT29</t>
  </si>
  <si>
    <t>DHOBY GHAUT MRT STATION</t>
  </si>
  <si>
    <t>NS24/NE6/CC1</t>
  </si>
  <si>
    <t>WOODLEIGH MRT STATION</t>
  </si>
  <si>
    <t>NE11</t>
  </si>
  <si>
    <t>NOVENA MRT STATION</t>
  </si>
  <si>
    <t>NS20</t>
  </si>
  <si>
    <t>SERANGOON MRT STATION</t>
  </si>
  <si>
    <t>NE12/CC13</t>
  </si>
  <si>
    <t>BEDOK RESERVOIR MRT STATION</t>
  </si>
  <si>
    <t>DT30</t>
  </si>
  <si>
    <t>MARINA SOUTH PIER MRT STATION</t>
  </si>
  <si>
    <t>NS28</t>
  </si>
  <si>
    <t>018948</t>
  </si>
  <si>
    <t>FARRER PARK MRT STATION</t>
  </si>
  <si>
    <t>NE8</t>
  </si>
  <si>
    <t>BARTLEY MRT STATION</t>
  </si>
  <si>
    <t>CC12</t>
  </si>
  <si>
    <t>DAKOTA MRT STATION</t>
  </si>
  <si>
    <t>CC8</t>
  </si>
  <si>
    <t>PASIR PANJANG MRT STATION</t>
  </si>
  <si>
    <t>CC26</t>
  </si>
  <si>
    <t>CLARKE QUAY MRT STATION</t>
  </si>
  <si>
    <t>NE5</t>
  </si>
  <si>
    <t>059815</t>
  </si>
  <si>
    <t>BISHAN MRT STATION</t>
  </si>
  <si>
    <t>NS17/CC15</t>
  </si>
  <si>
    <t>MARYMOUNT MRT STATION</t>
  </si>
  <si>
    <t>CC16</t>
  </si>
  <si>
    <t>HAW PAR VILLA MRT STATION</t>
  </si>
  <si>
    <t>CC25</t>
  </si>
  <si>
    <t>LORONG CHUAN MRT STATION</t>
  </si>
  <si>
    <t>CC14</t>
  </si>
  <si>
    <t>LAVENDER MRT STATION</t>
  </si>
  <si>
    <t>EW11</t>
  </si>
  <si>
    <t>TAI SENG MRT STATION</t>
  </si>
  <si>
    <t>CC11</t>
  </si>
  <si>
    <t>ROCHOR MRT STATION</t>
  </si>
  <si>
    <t>DT13</t>
  </si>
  <si>
    <t>LITTLE INDIA MRT STATION</t>
  </si>
  <si>
    <t>NE7/DT12</t>
  </si>
  <si>
    <t>STEVENS MRT STATION</t>
  </si>
  <si>
    <t>DT10/TE11</t>
  </si>
  <si>
    <t>BUKIT PANJANG MRT STATION</t>
  </si>
  <si>
    <t>DT1</t>
  </si>
  <si>
    <t>CASHEW MRT STATION</t>
  </si>
  <si>
    <t>DT2</t>
  </si>
  <si>
    <t>SIXTH AVENUE MRT STATION</t>
  </si>
  <si>
    <t>DT7</t>
  </si>
  <si>
    <t>TOA PAYOH MRT STATION</t>
  </si>
  <si>
    <t>NS19</t>
  </si>
  <si>
    <t>WOODLANDS SOUTH MRT STATION</t>
  </si>
  <si>
    <t>TE3</t>
  </si>
  <si>
    <t>POTONG PASIR MRT STATION</t>
  </si>
  <si>
    <t>NE10</t>
  </si>
  <si>
    <t>HOUGANG MRT STATION</t>
  </si>
  <si>
    <t>NE14</t>
  </si>
  <si>
    <t>BOON KENG MRT STATION</t>
  </si>
  <si>
    <t>NE9</t>
  </si>
  <si>
    <t>UPPER CHANGI MRT STATION</t>
  </si>
  <si>
    <t>DT34</t>
  </si>
  <si>
    <t>CHANGI AIRPORT MRT STATION</t>
  </si>
  <si>
    <t>CG2</t>
  </si>
  <si>
    <t>BRADDELL MRT STATION</t>
  </si>
  <si>
    <t>NS18</t>
  </si>
  <si>
    <t>BUANGKOK MRT STATION</t>
  </si>
  <si>
    <t>NE15</t>
  </si>
  <si>
    <t>PROMENADE MRT STATION</t>
  </si>
  <si>
    <t>CC4/DT15</t>
  </si>
  <si>
    <t>039193</t>
  </si>
  <si>
    <t>BOTANIC GARDENS MRT STATION</t>
  </si>
  <si>
    <t>CC19/DT9</t>
  </si>
  <si>
    <t>RAFFLES PLACE MRT STATION</t>
  </si>
  <si>
    <t>EW14/NS26</t>
  </si>
  <si>
    <t>048618</t>
  </si>
  <si>
    <t>HOLLAND VILLAGE MRT STATION</t>
  </si>
  <si>
    <t>CC21</t>
  </si>
  <si>
    <t>OUTRAM PARK MRT STATION</t>
  </si>
  <si>
    <t>EW16</t>
  </si>
  <si>
    <t>059816</t>
  </si>
  <si>
    <t>TELOK BLANGAH MRT STATION</t>
  </si>
  <si>
    <t>CC28</t>
  </si>
  <si>
    <t>TELOK AYER MRT STATION</t>
  </si>
  <si>
    <t>DT18</t>
  </si>
  <si>
    <t>048416</t>
  </si>
  <si>
    <t>NEWTON MRT STATION</t>
  </si>
  <si>
    <t>NS21/DT11</t>
  </si>
  <si>
    <t>WOODLANDS NORTH MRT STATION</t>
  </si>
  <si>
    <t>TE1</t>
  </si>
  <si>
    <t>CANBERRA MRT STATION</t>
  </si>
  <si>
    <t>NS12</t>
  </si>
  <si>
    <t>UPPER THOMSON MRT STATION</t>
  </si>
  <si>
    <t>TE8</t>
  </si>
  <si>
    <t>BRIGHT HILL MRT STATION</t>
  </si>
  <si>
    <t>TE7</t>
  </si>
  <si>
    <t>MAYFLOWER MRT STATION</t>
  </si>
  <si>
    <t>TE6</t>
  </si>
  <si>
    <t>LENTOR MRT STATION</t>
  </si>
  <si>
    <t>TE5</t>
  </si>
  <si>
    <t>SPRINGLEAF MRT STATION</t>
  </si>
  <si>
    <t>TE4</t>
  </si>
  <si>
    <t>NAPIER MRT STATION</t>
  </si>
  <si>
    <t>TE12</t>
  </si>
  <si>
    <t>ORCHARD BOULEVARD MRT STATION</t>
  </si>
  <si>
    <t>TE13</t>
  </si>
  <si>
    <t>GREAT WORLD MRT STATION</t>
  </si>
  <si>
    <t>TE15</t>
  </si>
  <si>
    <t>HAVELOCK MRT STATION</t>
  </si>
  <si>
    <t>TE16</t>
  </si>
  <si>
    <t>MAXWELL MRT STATION</t>
  </si>
  <si>
    <t>TE18</t>
  </si>
  <si>
    <t>058841</t>
  </si>
  <si>
    <t>SHENTON WAY MRT STATION</t>
  </si>
  <si>
    <t>TE19</t>
  </si>
  <si>
    <t>018928</t>
  </si>
  <si>
    <t>GARDENS BY THE BAY MRT STATION</t>
  </si>
  <si>
    <t>TE22</t>
  </si>
  <si>
    <t>019396</t>
  </si>
  <si>
    <t>School Name</t>
  </si>
  <si>
    <t>School Address</t>
  </si>
  <si>
    <t>Nearby MRT Stations</t>
  </si>
  <si>
    <t>bus_desc</t>
  </si>
  <si>
    <t>DGP Code</t>
  </si>
  <si>
    <t>Zone</t>
  </si>
  <si>
    <t>mainlevel_code</t>
  </si>
  <si>
    <t>ADMIRALTY PRIMARY SCHOOL</t>
  </si>
  <si>
    <t>11 WOODLANDS CIRCLE</t>
  </si>
  <si>
    <t>Admiralty Station</t>
  </si>
  <si>
    <t>TIBS 965, 964, 913</t>
  </si>
  <si>
    <t>NORTH</t>
  </si>
  <si>
    <t>PRIMARY</t>
  </si>
  <si>
    <t>AHMAD IBRAHIM PRIMARY SCHOOL</t>
  </si>
  <si>
    <t>10 YISHUN STREET 11</t>
  </si>
  <si>
    <t>Yishun</t>
  </si>
  <si>
    <t>Yishun Ring Road - 812 (white plate); Yishun Ave 2 - 169, 804, 965, 117, 883</t>
  </si>
  <si>
    <t>AI TONG SCHOOL</t>
  </si>
  <si>
    <t>100 BRIGHT HILL DRIVE</t>
  </si>
  <si>
    <t>Bishan MRT</t>
  </si>
  <si>
    <t>410, 162, 52</t>
  </si>
  <si>
    <t>SOUTH</t>
  </si>
  <si>
    <t>ALEXANDRA PRIMARY SCHOOL</t>
  </si>
  <si>
    <t>2A PRINCE CHARLES CRESENT</t>
  </si>
  <si>
    <t>Redhill Station Tiong Bahru Station</t>
  </si>
  <si>
    <t>51, 122, 139, 186, 970.</t>
  </si>
  <si>
    <t>ANCHOR GREEN PRIMARY SCHOOL</t>
  </si>
  <si>
    <t>31 Anchorvale Drive</t>
  </si>
  <si>
    <t>MRT : NE16-Sengkang LRT : SW7-TongKang</t>
  </si>
  <si>
    <t>Bus 372, 110, 50</t>
  </si>
  <si>
    <t>SENG KANG</t>
  </si>
  <si>
    <t>ANDERSON PRIMARY SCHOOL</t>
  </si>
  <si>
    <t>19 ANG MO KIO AVE 9</t>
  </si>
  <si>
    <t>Yio Chu Kang MRT Station</t>
  </si>
  <si>
    <t>Ang Mo Kio Ave 9 - Bus 76, 265, 268</t>
  </si>
  <si>
    <t>ANG MO KIO PRIMARY SCHOOL</t>
  </si>
  <si>
    <t>20 ANG MO KIO AVENUE 3</t>
  </si>
  <si>
    <t>Ang Mo Kio MRT Station</t>
  </si>
  <si>
    <t>76,132,165,166,169,200,000,000</t>
  </si>
  <si>
    <t>ANGLO-CHINESE SCHOOL (JUNIOR)</t>
  </si>
  <si>
    <t>16 WINSTEDT ROAD</t>
  </si>
  <si>
    <t>Newton MRT Station</t>
  </si>
  <si>
    <t>5, 54, 124, 143, 162, 162M, 167, 167e, 518, 518A, 972M</t>
  </si>
  <si>
    <t>CENTRAL</t>
  </si>
  <si>
    <t>ANGLO-CHINESE SCHOOL (PRIMARY)</t>
  </si>
  <si>
    <t>50 BARKER ROAD</t>
  </si>
  <si>
    <t>Bus 48, 66, 67, 170, 603, 972M</t>
  </si>
  <si>
    <t>NOVENA</t>
  </si>
  <si>
    <t>ANGSANA PRIMARY SCHOOL</t>
  </si>
  <si>
    <t>3 Tampines Street 22</t>
  </si>
  <si>
    <t>Tampines and Simei Stations</t>
  </si>
  <si>
    <t>Bus Service 8, 17, 18, 20, 28, 34, 39, 59, 518, Feeder Bus Service 292</t>
  </si>
  <si>
    <t>EAST</t>
  </si>
  <si>
    <t>BEACON PRIMARY SCHOOL</t>
  </si>
  <si>
    <t>36 Bukit Panjang Ring Road</t>
  </si>
  <si>
    <t>Bangkit LRT, Fajar LRT Station</t>
  </si>
  <si>
    <t>920, 922, 971, 972, 972A, 972M, 976</t>
  </si>
  <si>
    <t>WEST</t>
  </si>
  <si>
    <t>BEDOK GREEN PRIMARY SCHOOL</t>
  </si>
  <si>
    <t>1 BEDOK SOUTH AVE 2</t>
  </si>
  <si>
    <t>Bedok MRT Station, Tanah Merah MRT Station</t>
  </si>
  <si>
    <t>Bus No. 2, 9, 12, 24, 31, 34 &amp; 38</t>
  </si>
  <si>
    <t>BENDEMEER PRIMARY SCHOOL</t>
  </si>
  <si>
    <t>91 BENDEMEER ROAD</t>
  </si>
  <si>
    <t>Boon Keng, Kallang</t>
  </si>
  <si>
    <t>13 23 31 61 64 65 65M 66 125, 125X ,133,140,147,853,857,985</t>
  </si>
  <si>
    <t>KALLANG</t>
  </si>
  <si>
    <t>BLANGAH RISE PRIMARY SCHOOL</t>
  </si>
  <si>
    <t>91 TELOK BLANGAH HEIGHTS</t>
  </si>
  <si>
    <t>Telok Blangah, Tiong Bahru &amp; Redhill</t>
  </si>
  <si>
    <t>SBS 273 &amp; 124</t>
  </si>
  <si>
    <t>BOON LAY GARDEN PRIMARY SCHOOL</t>
  </si>
  <si>
    <t>20 BOON LAY DRIVE</t>
  </si>
  <si>
    <t>Lakeside &amp; Boon Lay</t>
  </si>
  <si>
    <t>30,99,154,178,180,187,240,246</t>
  </si>
  <si>
    <t>BUKIT PANJANG PRIMARY SCHOOL</t>
  </si>
  <si>
    <t>109 CASHEW ROAD</t>
  </si>
  <si>
    <t>From Pending LRT station to Choa Chu Kang MRT station</t>
  </si>
  <si>
    <t>75, 184</t>
  </si>
  <si>
    <t>BUKIT TIMAH PRIMARY SCHOOL</t>
  </si>
  <si>
    <t>111 Lorong Kismis</t>
  </si>
  <si>
    <t>Beauty World, Bukit Batok and Clementi Stations</t>
  </si>
  <si>
    <t>173</t>
  </si>
  <si>
    <t>BUKIT VIEW PRIMARY SCHOOL</t>
  </si>
  <si>
    <t>18 BUKIT BATOK STREET 21</t>
  </si>
  <si>
    <t>Bukit Batok MRT Station</t>
  </si>
  <si>
    <t>173,157,178,852,66,106,61,506,963,77</t>
  </si>
  <si>
    <t>CANBERRA PRIMARY SCHOOL</t>
  </si>
  <si>
    <t>21 ADMIRALTY DRIVE</t>
  </si>
  <si>
    <t>Sembawang MRT Station</t>
  </si>
  <si>
    <t>Bus No. 859</t>
  </si>
  <si>
    <t>CANOSSA CATHOLIC PRIMARY SCHOOL</t>
  </si>
  <si>
    <t>1 Sallim Road</t>
  </si>
  <si>
    <t>Nearest MRT station: Mattar Station (about 7-minute walk)</t>
  </si>
  <si>
    <t>Aljunied Road (same side as CCPS): 62, 64, 100 Aljunied Road (opposite CCPS): 61, 62, 64, 66, 100, 135, 154, 155 Merpati Rd (after Jln Anggerek): 40, 61, 63, 65, 66, 135,</t>
  </si>
  <si>
    <t>CASUARINA PRIMARY SCHOOL</t>
  </si>
  <si>
    <t>30 PASIR RIS ST 41</t>
  </si>
  <si>
    <t>Pasir Ris MRT Station</t>
  </si>
  <si>
    <t>Nos. 12, 21 &amp; 358</t>
  </si>
  <si>
    <t>CATHOLIC HIGH SCHOOL</t>
  </si>
  <si>
    <t>9 BISHAN STREET 22</t>
  </si>
  <si>
    <t>BISHAN MRT</t>
  </si>
  <si>
    <t>13, 52, 54, 88, 156, 162, 162M, 410</t>
  </si>
  <si>
    <t>MIXED LEVELS</t>
  </si>
  <si>
    <t>CEDAR PRIMARY SCHOOL</t>
  </si>
  <si>
    <t>15 CEDAR AVENUE</t>
  </si>
  <si>
    <t>Potong Pasir MRT Station</t>
  </si>
  <si>
    <t>8, 61, 64, 65, 66, 66A, 90, 90A, 100, 135, 151, 154, 155</t>
  </si>
  <si>
    <t>CHANGKAT PRIMARY SCHOOL</t>
  </si>
  <si>
    <t>11 SIMEI ST 3</t>
  </si>
  <si>
    <t>Simei MRT Station</t>
  </si>
  <si>
    <t>9,38,5</t>
  </si>
  <si>
    <t>CHIJ (KATONG) PRIMARY</t>
  </si>
  <si>
    <t>17 MARTIA ROAD</t>
  </si>
  <si>
    <t>EUNOS PAYA LEBAR</t>
  </si>
  <si>
    <t>15, 55, 36, 16, 135, 197, 196, 31, 13, 76, 12, 10, 14, 32, 40</t>
  </si>
  <si>
    <t>CHIJ OUR LADY OF GOOD COUNSEL</t>
  </si>
  <si>
    <t>2C Burghley Drive</t>
  </si>
  <si>
    <t>Ang Mo Kio MRT, Bishan MRT, Serangoon MRT station.</t>
  </si>
  <si>
    <t>317 Feeder Bus Service from Serangoon Interchange. 135,136 from Ang Mo Kio Interchange.</t>
  </si>
  <si>
    <t>CHIJ OUR LADY OF THE NATIVITY</t>
  </si>
  <si>
    <t>1257 UPPER SERANGOON ROAD</t>
  </si>
  <si>
    <t>Hougang MRT</t>
  </si>
  <si>
    <t>74, 102, 112, 113, 119, 136, 147, 324, 672</t>
  </si>
  <si>
    <t>CHIJ OUR LADY QUEEN OF PEACE</t>
  </si>
  <si>
    <t>4 Chestnut Drive</t>
  </si>
  <si>
    <t>Cashew and Hillview</t>
  </si>
  <si>
    <t>180, 67, 171, 176, 177, 178, 184, 961, 963, 970</t>
  </si>
  <si>
    <t>CHIJ PRIMARY (TOA PAYOH)</t>
  </si>
  <si>
    <t>628 Lorong 1 Toa Payoh</t>
  </si>
  <si>
    <t>Toa Payoh</t>
  </si>
  <si>
    <t>59, 231, 141</t>
  </si>
  <si>
    <t>CHIJ ST. NICHOLAS GIRLS' SCHOOL</t>
  </si>
  <si>
    <t>501 ANG MO KIO STREET 13</t>
  </si>
  <si>
    <t>ANG MO KIO MRT, YIO CHU KANG MRT, MAYFLOWER MRT (End 2021)</t>
  </si>
  <si>
    <t>76, 265, 268, 269</t>
  </si>
  <si>
    <t>CHONGFU SCHOOL</t>
  </si>
  <si>
    <t>170 YISHUN AVENUE 6</t>
  </si>
  <si>
    <t>Yishun MRT station</t>
  </si>
  <si>
    <t>Feeder Service 811</t>
  </si>
  <si>
    <t>CHONGZHENG PRIMARY SCHOOL</t>
  </si>
  <si>
    <t>1 TAMPINES STREET 21</t>
  </si>
  <si>
    <t>Tampines MRT Station</t>
  </si>
  <si>
    <t>3,3A, 8, 17, 18, 20, 28, 34, 39, 59, 518</t>
  </si>
  <si>
    <t>CHUA CHU KANG PRIMARY SCHOOL</t>
  </si>
  <si>
    <t>20 CHOA CHU KANG AVENUE 2</t>
  </si>
  <si>
    <t>Choa Chu Kang MRT Station and Southview LRT Station</t>
  </si>
  <si>
    <t>Bus Service 300, 301 and NR3 along Chua Chu Kang Ave 2 Bus Service 172, 301, 991 along Chua Chu Kang Ave 1</t>
  </si>
  <si>
    <t>CLEMENTI PRIMARY SCHOOL</t>
  </si>
  <si>
    <t>8 CLEMENTI AVE 3</t>
  </si>
  <si>
    <t>Clementi MRT Station</t>
  </si>
  <si>
    <t>We are just beside Clementi Bus Interchange.</t>
  </si>
  <si>
    <t>COMPASSVALE PRIMARY SCHOOL</t>
  </si>
  <si>
    <t>21 COMPASSVALE ST</t>
  </si>
  <si>
    <t>Sengkang</t>
  </si>
  <si>
    <t>83 (along Compassvale Street) 27, 89, 89E &amp; 965 (along Compassvale Road).</t>
  </si>
  <si>
    <t>CONCORD PRIMARY SCHOOL</t>
  </si>
  <si>
    <t>3 CHOA CHU KANG AVE 4</t>
  </si>
  <si>
    <t>Choa Chu Kang MRT Station</t>
  </si>
  <si>
    <t>Bus 300 and 983</t>
  </si>
  <si>
    <t>CORPORATION PRIMARY SCHOOL</t>
  </si>
  <si>
    <t>31 JURONG WEST STREET 24</t>
  </si>
  <si>
    <t>BOON LAY STATION LAKESIDE STATION</t>
  </si>
  <si>
    <t>157 (from Boon Lay Interchange), or 185</t>
  </si>
  <si>
    <t>DAMAI PRIMARY SCHOOL</t>
  </si>
  <si>
    <t>52 BEDOK RESERVOIR CRESCENT</t>
  </si>
  <si>
    <t>Bedok North MRT Station</t>
  </si>
  <si>
    <t>Bus 228,66,65,22,21,5 and 506</t>
  </si>
  <si>
    <t>DAZHONG PRIMARY SCHOOL</t>
  </si>
  <si>
    <t>35 BUKIT BATOK STREET 31</t>
  </si>
  <si>
    <t>Bukit Gombak</t>
  </si>
  <si>
    <t>187, 188</t>
  </si>
  <si>
    <t>DE LA SALLE SCHOOL</t>
  </si>
  <si>
    <t>11 Choa Chu Kang St 52</t>
  </si>
  <si>
    <t>YEW TEE MRT</t>
  </si>
  <si>
    <t>TIBS 302, 979</t>
  </si>
  <si>
    <t>EAST SPRING PRIMARY SCHOOL</t>
  </si>
  <si>
    <t>31 TAMPINES ST 33</t>
  </si>
  <si>
    <t>Tampines</t>
  </si>
  <si>
    <t>291, 28,18</t>
  </si>
  <si>
    <t>EDGEFIELD PRIMARY SCHOOL</t>
  </si>
  <si>
    <t>41 EDGEFIELD PLAINS</t>
  </si>
  <si>
    <t>Punggol MRT</t>
  </si>
  <si>
    <t>3, 34, 62, 82, 83, 136</t>
  </si>
  <si>
    <t>ELIAS PARK PRIMARY SCHOOL</t>
  </si>
  <si>
    <t>11 PASIR RIS STREET 52</t>
  </si>
  <si>
    <t>Pasir Ris MRT</t>
  </si>
  <si>
    <t>3, 15, 39, 53, 81, 88, 89, 357, 403, 518</t>
  </si>
  <si>
    <t>ENDEAVOUR PRIMARY SCHOOL</t>
  </si>
  <si>
    <t>10 Admiralty Link</t>
  </si>
  <si>
    <t>859, 962</t>
  </si>
  <si>
    <t>EUNOS PRIMARY SCHOOL</t>
  </si>
  <si>
    <t>95 JALAN EUNOS</t>
  </si>
  <si>
    <t>Nearest MRT Station - Eunos</t>
  </si>
  <si>
    <t>Bus Services (SBS): 15, 21, 25, 51, 55, 63, 93, 94, 60 Bus Services (SMRT) : 61, 854, 966</t>
  </si>
  <si>
    <t>EVERGREEN PRIMARY SCHOOL</t>
  </si>
  <si>
    <t>31 WOODLANDS CIRCLE</t>
  </si>
  <si>
    <t>Admiralty</t>
  </si>
  <si>
    <t>913(front), 911 &amp; 858(back)</t>
  </si>
  <si>
    <t>FAIRFIELD METHODIST SCHOOL (PRIMARY)</t>
  </si>
  <si>
    <t>100 DOVER ROAD</t>
  </si>
  <si>
    <t>One-North MRT, Buona Vista MRT &amp; Dover MRT</t>
  </si>
  <si>
    <t>SBS Bus 14,33,74,166 &amp; 196</t>
  </si>
  <si>
    <t>FARRER PARK PRIMARY SCHOOL</t>
  </si>
  <si>
    <t>2 FARRER PARK ROAD</t>
  </si>
  <si>
    <t>Farrer Park MRT Station</t>
  </si>
  <si>
    <t>131</t>
  </si>
  <si>
    <t>FENGSHAN PRIMARY SCHOOL</t>
  </si>
  <si>
    <t>307 BEDOK NORTH ROAD</t>
  </si>
  <si>
    <t>Bedok MRT</t>
  </si>
  <si>
    <t>18, 228, 222, 17, 69, 66, 67, 168, 28, 506, 14, 45</t>
  </si>
  <si>
    <t>FERN GREEN PRIMARY SCHOOL</t>
  </si>
  <si>
    <t>70 Fernvale Link</t>
  </si>
  <si>
    <t>Kupang LRT Station (SW3)</t>
  </si>
  <si>
    <t>85, 102</t>
  </si>
  <si>
    <t>FERNVALE PRIMARY SCHOOL</t>
  </si>
  <si>
    <t>1 Fernvale Lane</t>
  </si>
  <si>
    <t>Fernvale LRT (Sengkang West Loop)</t>
  </si>
  <si>
    <t>Along Sengkang West Ave - Bus Services 50, 163; Along Yio Chu Kang Road - Bus Services 70, 86, 103 and 854.</t>
  </si>
  <si>
    <t>FIRST TOA PAYOH PRIMARY SCHOOL</t>
  </si>
  <si>
    <t>7 LORONG 8 TOA PAYOH</t>
  </si>
  <si>
    <t>Braddell &amp; Toa Payoh Stations</t>
  </si>
  <si>
    <t>157,153,105,159,88,FS238</t>
  </si>
  <si>
    <t>FRONTIER PRIMARY SCHOOL</t>
  </si>
  <si>
    <t>20 Jurong West Street 61</t>
  </si>
  <si>
    <t>Pioneer MRT Station (EW28)</t>
  </si>
  <si>
    <t>241, 974, 179</t>
  </si>
  <si>
    <t>FUCHUN PRIMARY SCHOOL</t>
  </si>
  <si>
    <t>23 WOODLANDS AVENUE 1</t>
  </si>
  <si>
    <t>Marsiling</t>
  </si>
  <si>
    <t>187,856,912,925,950,960,961,963,963E,963R,966</t>
  </si>
  <si>
    <t>FUHUA PRIMARY SCHOOL</t>
  </si>
  <si>
    <t>65 JURONG EAST STREET 13</t>
  </si>
  <si>
    <t>JURONG EAST CENTRAL (BS28441): 41,49,52,105,160,160A,160M,176,183,334,506 JURONG EAST CENTRAL (BS28431):51,66,78,79,143, 143M, 176, 335</t>
  </si>
  <si>
    <t>GAN ENG SENG PRIMARY SCHOOL</t>
  </si>
  <si>
    <t>100 REDHILL CLOSE</t>
  </si>
  <si>
    <t>Redhill</t>
  </si>
  <si>
    <t>14, 63, 147, 196, 197, 855, 961</t>
  </si>
  <si>
    <t>GEYLANG METHODIST SCHOOL (PRIMARY)</t>
  </si>
  <si>
    <t>4 Geylang East Central</t>
  </si>
  <si>
    <t>Aljunied</t>
  </si>
  <si>
    <t>80, 134, 155</t>
  </si>
  <si>
    <t>GONGSHANG PRIMARY SCHOOL</t>
  </si>
  <si>
    <t>1 TAMPINES STREET 42</t>
  </si>
  <si>
    <t>Tampines (Downtown Line and East West Line) and Tampines East (Downtown Line)</t>
  </si>
  <si>
    <t>4, 8, 18, 19, 21, 37, 38, 81, 293</t>
  </si>
  <si>
    <t>GREENDALE PRIMARY SCHOOL</t>
  </si>
  <si>
    <t>50 Edgedale Plains</t>
  </si>
  <si>
    <t>Punggol LRT: Coral Edge</t>
  </si>
  <si>
    <t>3,62, 83, 85, 386</t>
  </si>
  <si>
    <t>GREENRIDGE PRIMARY SCHOOL</t>
  </si>
  <si>
    <t>11 JELAPANG ROAD</t>
  </si>
  <si>
    <t>Senja LRT station, Jelapang LRT Station</t>
  </si>
  <si>
    <t>Bus 920, 922, 972</t>
  </si>
  <si>
    <t>GREENWOOD PRIMARY SCHOOL</t>
  </si>
  <si>
    <t>11 WOODLANDS DR 62</t>
  </si>
  <si>
    <t>Admiralty MRT Station</t>
  </si>
  <si>
    <t>912, 913, 962</t>
  </si>
  <si>
    <t>GUANGYANG PRIMARY SCHOOL</t>
  </si>
  <si>
    <t>6 Bishan Street 12</t>
  </si>
  <si>
    <t>13,52,54,55,56,57,59,88,93,156,157,163,410</t>
  </si>
  <si>
    <t>HAIG GIRLS' SCHOOL</t>
  </si>
  <si>
    <t>51 Koon Seng Road</t>
  </si>
  <si>
    <t>Eunos, Dakota</t>
  </si>
  <si>
    <t>16,33</t>
  </si>
  <si>
    <t>HENRY PARK PRIMARY SCHOOL</t>
  </si>
  <si>
    <t>1 HOLLAND GROVE ROAD</t>
  </si>
  <si>
    <t>Buona Vista MRT, Clementi MRT</t>
  </si>
  <si>
    <t>7, 61, 75, 156, 157, 165, 92</t>
  </si>
  <si>
    <t>HOLY INNOCENTS' PRIMARY SCHOOL</t>
  </si>
  <si>
    <t>5 Lorong Low Koon</t>
  </si>
  <si>
    <t>2km walk to Hougang MRT</t>
  </si>
  <si>
    <t>51,72,80,101,119,132,136,153.</t>
  </si>
  <si>
    <t>HONG WEN SCHOOL</t>
  </si>
  <si>
    <t>30 TOWNER ROAD</t>
  </si>
  <si>
    <t>Boon Keng MRT</t>
  </si>
  <si>
    <t>Serangoon Road: 13, 23, 31, 64, 65, 66, 125, 133, 147, 857, 985 Balestier Road: 21, 125, 130, 139, 145</t>
  </si>
  <si>
    <t>HORIZON PRIMARY SCHOOL</t>
  </si>
  <si>
    <t>61 Edgedale Plains</t>
  </si>
  <si>
    <t>Punggol MRT Station (NE17) (LRT: Kadaloor [PE5] or Oasis [PE6])</t>
  </si>
  <si>
    <t>3, 50, 83, 85, 569</t>
  </si>
  <si>
    <t>HOUGANG PRIMARY SCHOOL</t>
  </si>
  <si>
    <t>1 HOUGANG ST 93</t>
  </si>
  <si>
    <t>Ang Mo Kio, Buangkok, Hougang, Sengkang, Yio Chu Kang</t>
  </si>
  <si>
    <t>SBS 43, 72, 88, 101, 109, 116, 156, 159, 325, 329</t>
  </si>
  <si>
    <t>HUAMIN PRIMARY SCHOOL</t>
  </si>
  <si>
    <t>21 YISHUN AVENUE 11</t>
  </si>
  <si>
    <t>Yishun MRT Station</t>
  </si>
  <si>
    <t>806, 804</t>
  </si>
  <si>
    <t>INNOVA PRIMARY SCHOOL</t>
  </si>
  <si>
    <t>80 Woodlands Drive 17</t>
  </si>
  <si>
    <t>Woodlands</t>
  </si>
  <si>
    <t>900A (weekdays only - 7.00 am to 8.30 am &amp; 4.30 pm to 6.30 pm), 901</t>
  </si>
  <si>
    <t>JIEMIN PRIMARY SCHOOL</t>
  </si>
  <si>
    <t>2 YISHUN STREET 71</t>
  </si>
  <si>
    <t>167,169,171,800,811,000,000,000,000,000,000</t>
  </si>
  <si>
    <t>JING SHAN PRIMARY SCHOOL</t>
  </si>
  <si>
    <t>5 ANG MO KIO ST 52</t>
  </si>
  <si>
    <t>Ang Mo Kio MRT</t>
  </si>
  <si>
    <t>Bus 265</t>
  </si>
  <si>
    <t>JUNYUAN PRIMARY SCHOOL</t>
  </si>
  <si>
    <t>2 Tampines Street 91</t>
  </si>
  <si>
    <t>Tampines West (Downtown Line); Tampines (East-West Line)</t>
  </si>
  <si>
    <t>76281: 22, 46, 129 76061: 10, 15, 20, 21, 23, 27, 31, 34, 39, 65, 67, 168, 292 75051: 5, 8, 18, 28, 59, 118</t>
  </si>
  <si>
    <t>JURONG PRIMARY SCHOOL</t>
  </si>
  <si>
    <t>320 JURONG EAST Street 32</t>
  </si>
  <si>
    <t>Lakeside MRT Station, Jurong East MRT Station</t>
  </si>
  <si>
    <t>333</t>
  </si>
  <si>
    <t>JURONG WEST PRIMARY SCHOOL</t>
  </si>
  <si>
    <t>30 JURONG WEST ST 61</t>
  </si>
  <si>
    <t>Pioneer MRT Station</t>
  </si>
  <si>
    <t>192</t>
  </si>
  <si>
    <t>JUYING PRIMARY SCHOOL</t>
  </si>
  <si>
    <t>31 JURONG WEST STREET 91</t>
  </si>
  <si>
    <t>Boon Lay MRT Station (Jurong Point)</t>
  </si>
  <si>
    <t>SBS 99 (From Clementi Inter-change) SBS 241 (From Boon Lay Inter-change)</t>
  </si>
  <si>
    <t>KEMING PRIMARY SCHOOL</t>
  </si>
  <si>
    <t>90 BUKIT BATOK EAST AVENUE 6</t>
  </si>
  <si>
    <t>Bukit Batok</t>
  </si>
  <si>
    <t>61,66,77,106,157,174,178,963</t>
  </si>
  <si>
    <t>KHENG CHENG SCHOOL</t>
  </si>
  <si>
    <t>15 LORONG 3 TOA PAYOH</t>
  </si>
  <si>
    <t>Braddell</t>
  </si>
  <si>
    <t>SBS 235,56,73,88,157,159,163,231,</t>
  </si>
  <si>
    <t>KONG HWA SCHOOL</t>
  </si>
  <si>
    <t>350 GUILLEMARD ROAD</t>
  </si>
  <si>
    <t>Dakota</t>
  </si>
  <si>
    <t>Service 7,70,70M,197(to Guillemard Road)</t>
  </si>
  <si>
    <t>KRANJI PRIMARY SCHOOL</t>
  </si>
  <si>
    <t>11 CHOA CHU KANG STREET 54</t>
  </si>
  <si>
    <t>Yew Tee MRT</t>
  </si>
  <si>
    <t>Bus No 307, 302</t>
  </si>
  <si>
    <t>KUO CHUAN PRESBYTERIAN PRIMARY SCHOOL</t>
  </si>
  <si>
    <t>8 BISHAN STREET 13</t>
  </si>
  <si>
    <t>Bishan MRT Station</t>
  </si>
  <si>
    <t>54, 56, 410, 410G</t>
  </si>
  <si>
    <t>LAKESIDE PRIMARY SCHOOL</t>
  </si>
  <si>
    <t>161 Corporation Walk</t>
  </si>
  <si>
    <t>Lakeside MRT</t>
  </si>
  <si>
    <t>30, 49, 98, 98M</t>
  </si>
  <si>
    <t>LIANHUA PRIMARY SCHOOL</t>
  </si>
  <si>
    <t>2 BUKIT BATOK STREET 52</t>
  </si>
  <si>
    <t>Bukit Gombak/Bukit Batok</t>
  </si>
  <si>
    <t>945</t>
  </si>
  <si>
    <t>MAHA BODHI SCHOOL</t>
  </si>
  <si>
    <t>10 UBI AVENUE 1</t>
  </si>
  <si>
    <t>Eunos Station (Transfer Bus No.63, 63M) Ubi Station (Transfer Bus No. 137)</t>
  </si>
  <si>
    <t>5,8,15,22,25,45,51,55,59,61,63,63M,65,66,93,94,854</t>
  </si>
  <si>
    <t>MARIS STELLA HIGH SCHOOL</t>
  </si>
  <si>
    <t>25 MOUNT VERNON ROAD</t>
  </si>
  <si>
    <t>BARTLEY MRT</t>
  </si>
  <si>
    <t>28, 93, 129, 158</t>
  </si>
  <si>
    <t>MARSILING PRIMARY SCHOOL</t>
  </si>
  <si>
    <t>31 WOODLANDS CENTRE ROAD</t>
  </si>
  <si>
    <t>Marsiling MRT Station</t>
  </si>
  <si>
    <t>856, 911, 912</t>
  </si>
  <si>
    <t>MARYMOUNT CONVENT SCHOOL</t>
  </si>
  <si>
    <t>20 Marymount Road</t>
  </si>
  <si>
    <t>Braddell MRT Station or Caldecott MRT Station</t>
  </si>
  <si>
    <t>141, 235</t>
  </si>
  <si>
    <t>MAYFLOWER PRIMARY SCHOOL</t>
  </si>
  <si>
    <t>6 Ang Mo Kio Avenue 2</t>
  </si>
  <si>
    <t>Yio Chu Kang MRT Station.</t>
  </si>
  <si>
    <t>13,86,138,162,269,851,852,853.</t>
  </si>
  <si>
    <t>MEE TOH SCHOOL</t>
  </si>
  <si>
    <t>21 EDGEDALE PLAINS</t>
  </si>
  <si>
    <t>Punggol Station</t>
  </si>
  <si>
    <t>3,62,83</t>
  </si>
  <si>
    <t>MERIDIAN PRIMARY SCHOOL</t>
  </si>
  <si>
    <t>20 PASIR RIS ST 71</t>
  </si>
  <si>
    <t>3,359</t>
  </si>
  <si>
    <t>METHODIST GIRLS' SCHOOL (PRIMARY)</t>
  </si>
  <si>
    <t>11 Blackmore Drive</t>
  </si>
  <si>
    <t>King Albert Park MRT</t>
  </si>
  <si>
    <t>66, 67, 74, 77, 151, 154, 157, 170, 171, 174, 852, 961, 970</t>
  </si>
  <si>
    <t>MONTFORT JUNIOR SCHOOL</t>
  </si>
  <si>
    <t>52 HOUGANG AVENUE 8</t>
  </si>
  <si>
    <t>Hougang MRT &amp; Bus Interchange</t>
  </si>
  <si>
    <t>74,88,101,147,161,</t>
  </si>
  <si>
    <t>NAN CHIAU PRIMARY SCHOOL</t>
  </si>
  <si>
    <t>50 ANCHORVALE LINK</t>
  </si>
  <si>
    <t>Sengkang Station</t>
  </si>
  <si>
    <t>156, 159, 161, 371, 372</t>
  </si>
  <si>
    <t>NAN HUA PRIMARY SCHOOL</t>
  </si>
  <si>
    <t>30 Jalan Lempeng</t>
  </si>
  <si>
    <t>30, 51, 143, 175, 201, 533, 655, 727, 762</t>
  </si>
  <si>
    <t>NANYANG PRIMARY SCHOOL</t>
  </si>
  <si>
    <t>52 KING'S ROAD</t>
  </si>
  <si>
    <t>Farrer Rd MRT Station</t>
  </si>
  <si>
    <t>66, 67, 74, 93, 151, 153, 154, 156, 157, 165, 170, 171, 174, 186, 852, 855, 961</t>
  </si>
  <si>
    <t>NAVAL BASE PRIMARY SCHOOL</t>
  </si>
  <si>
    <t>7 YISHUN AVE 4</t>
  </si>
  <si>
    <t>Feeder bus No. 811 from Yishun Interchange.</t>
  </si>
  <si>
    <t>NEW TOWN PRIMARY SCHOOL</t>
  </si>
  <si>
    <t>300 Tanglin Halt Road</t>
  </si>
  <si>
    <t>Commonwealth MRT Station</t>
  </si>
  <si>
    <t>SBS Numbers 32, 100, 105, 111, 145, 147, 195, 196, 198, 855</t>
  </si>
  <si>
    <t>NGEE ANN PRIMARY SCHOOL</t>
  </si>
  <si>
    <t>344 MARINE TERRACE</t>
  </si>
  <si>
    <t>Nil</t>
  </si>
  <si>
    <t>13, 16, 16M, 31,36, 43, 47, 48, 55, 135, 196, 196E, 197, 853M (at Marine Parade road) 13, 16, 16M, 196 and 196E(at Marine Terrace)</t>
  </si>
  <si>
    <t>NORTH SPRING PRIMARY SCHOOL</t>
  </si>
  <si>
    <t>1 RIVERVALE STREET</t>
  </si>
  <si>
    <t>NEL - Sengkang Station LRT - Bakau Station</t>
  </si>
  <si>
    <t>SBS Transit Services 82, 85, 86, 88, 119, 136, 163, 372</t>
  </si>
  <si>
    <t>NORTH VIEW PRIMARY SCHOOL</t>
  </si>
  <si>
    <t>210 YISHUN AVENUE 6</t>
  </si>
  <si>
    <t>Yishun Khatib</t>
  </si>
  <si>
    <t>Feeder Service 804, 806, 807, 860</t>
  </si>
  <si>
    <t>NORTH VISTA PRIMARY SCHOOL</t>
  </si>
  <si>
    <t>20 Compassvale Link</t>
  </si>
  <si>
    <t>Buangkok MRT (NE15), Ranggung LRT (SE5)</t>
  </si>
  <si>
    <t>na</t>
  </si>
  <si>
    <t>NORTHLAND PRIMARY SCHOOL</t>
  </si>
  <si>
    <t>15 YISHUN AVENUE 4</t>
  </si>
  <si>
    <t>812 (next to bus service number 171) at Yishun Interchange</t>
  </si>
  <si>
    <t>NORTHOAKS PRIMARY SCHOOL</t>
  </si>
  <si>
    <t>61 Sembawang Drive</t>
  </si>
  <si>
    <t>Sembawang MRT</t>
  </si>
  <si>
    <t>Bus number 962</t>
  </si>
  <si>
    <t>NORTHSHORE PRIMARY SCHOOL</t>
  </si>
  <si>
    <t>30 Northshore Drive</t>
  </si>
  <si>
    <t>Puggol Point LRT Station</t>
  </si>
  <si>
    <t>84, 384</t>
  </si>
  <si>
    <t>OASIS PRIMARY SCHOOL</t>
  </si>
  <si>
    <t>71 Edgefield Plains</t>
  </si>
  <si>
    <t>Damai LRT Station</t>
  </si>
  <si>
    <t>50, 386</t>
  </si>
  <si>
    <t>OPERA ESTATE PRIMARY SCHOOL</t>
  </si>
  <si>
    <t>48 FIDELIO STREET</t>
  </si>
  <si>
    <t>Bedok, Kembangan</t>
  </si>
  <si>
    <t>42</t>
  </si>
  <si>
    <t>PALM VIEW PRIMARY SCHOOL</t>
  </si>
  <si>
    <t>150 Compassvale Bow</t>
  </si>
  <si>
    <t>Buangkok</t>
  </si>
  <si>
    <t>27,43,109,156,159,161,163,163M,550</t>
  </si>
  <si>
    <t>PARK VIEW PRIMARY SCHOOL</t>
  </si>
  <si>
    <t>60 PASIR RIS DRIVE 1</t>
  </si>
  <si>
    <t>358,39,53,81,89</t>
  </si>
  <si>
    <t>PASIR RIS PRIMARY SCHOOL</t>
  </si>
  <si>
    <t>5 PASIR RIS STREET 21</t>
  </si>
  <si>
    <t>3,5,6,89</t>
  </si>
  <si>
    <t>PAYA LEBAR METHODIST GIRLS' SCHOOL (PRIMARY)</t>
  </si>
  <si>
    <t>298 LORONG AH SOO</t>
  </si>
  <si>
    <t>Kovan (NE13), Serangoon(NE12/CC13)</t>
  </si>
  <si>
    <t>45, 53, 53M, 62, 113</t>
  </si>
  <si>
    <t>PEI CHUN PUBLIC SCHOOL</t>
  </si>
  <si>
    <t>16 LORONG 7 TOA PAYOH</t>
  </si>
  <si>
    <t>Toa Payoh MRT Station and Braddell MRT Station</t>
  </si>
  <si>
    <t>Bus Service 232, 57</t>
  </si>
  <si>
    <t>PEI HWA PRESBYTERIAN PRIMARY SCHOOL</t>
  </si>
  <si>
    <t>7 PEI WAH AVENUE</t>
  </si>
  <si>
    <t>Beauty World</t>
  </si>
  <si>
    <t>970, 852, 174, 173, 157, 77, 61</t>
  </si>
  <si>
    <t>PEI TONG PRIMARY SCHOOL</t>
  </si>
  <si>
    <t>15 CLEMENTI AVENUE 5</t>
  </si>
  <si>
    <t>Clementi</t>
  </si>
  <si>
    <t>7, 184, 282</t>
  </si>
  <si>
    <t>PEIYING PRIMARY SCHOOL</t>
  </si>
  <si>
    <t>651 YISHUN RING ROAD</t>
  </si>
  <si>
    <t>Khatib</t>
  </si>
  <si>
    <t>851, 852, 853, 854, 855</t>
  </si>
  <si>
    <t>PIONEER PRIMARY SCHOOL</t>
  </si>
  <si>
    <t>23 JURONG WEST STREET 81</t>
  </si>
  <si>
    <t>Boon Lay Station</t>
  </si>
  <si>
    <t>243</t>
  </si>
  <si>
    <t>POI CHING SCHOOL</t>
  </si>
  <si>
    <t>21 TAMPINES STREET 71</t>
  </si>
  <si>
    <t>Tampines MRT</t>
  </si>
  <si>
    <t>Bus 293, 72, 27 and 168</t>
  </si>
  <si>
    <t>PRINCESS ELIZABETH PRIMARY SCHOOL</t>
  </si>
  <si>
    <t>30 BUKIT BATOK WEST AVENUE 3</t>
  </si>
  <si>
    <t>Bus 174, 157, 178, 66, 941</t>
  </si>
  <si>
    <t>PUNGGOL COVE PRIMARY SCHOOL</t>
  </si>
  <si>
    <t>52 Sumang Walk</t>
  </si>
  <si>
    <t>Nibong LRT Station</t>
  </si>
  <si>
    <t>382W, 84</t>
  </si>
  <si>
    <t>PUNGGOL GREEN PRIMARY SCHOOL</t>
  </si>
  <si>
    <t>98 Punggol Walk</t>
  </si>
  <si>
    <t>Punggol MRT Station</t>
  </si>
  <si>
    <t>PUNGGOL PRIMARY SCHOOL</t>
  </si>
  <si>
    <t>61 HOUGANG AVENUE 8</t>
  </si>
  <si>
    <t>Hougang, Buangkok</t>
  </si>
  <si>
    <t>62 74 88 113 147 325</t>
  </si>
  <si>
    <t>PUNGGOL VIEW PRIMARY SCHOOL</t>
  </si>
  <si>
    <t>9 Punggol Place</t>
  </si>
  <si>
    <t>50 382</t>
  </si>
  <si>
    <t>QIFA PRIMARY SCHOOL</t>
  </si>
  <si>
    <t>50 WEST COAST AVENUE</t>
  </si>
  <si>
    <t>30,51,78,143,285,655</t>
  </si>
  <si>
    <t>QIHUA PRIMARY SCHOOL</t>
  </si>
  <si>
    <t>5 WOODLANDS STREET 81</t>
  </si>
  <si>
    <t>Woodlands MRT Station</t>
  </si>
  <si>
    <t>911, 900</t>
  </si>
  <si>
    <t>QUEENSTOWN PRIMARY SCHOOL</t>
  </si>
  <si>
    <t>310 MARGARET DR</t>
  </si>
  <si>
    <t>Queenstown MRT</t>
  </si>
  <si>
    <t>32, 111, 145, 195</t>
  </si>
  <si>
    <t>RAFFLES GIRLS' PRIMARY SCHOOL</t>
  </si>
  <si>
    <t>21 Hillcrest Road</t>
  </si>
  <si>
    <t>66, 67, 74, 151, 154, 156, 157, 170, 171, 174, 852, 961</t>
  </si>
  <si>
    <t>RED SWASTIKA SCHOOL</t>
  </si>
  <si>
    <t>350 BEDOK NORTH AVENUE 3</t>
  </si>
  <si>
    <t>Bedok Reservoir MRT</t>
  </si>
  <si>
    <t>Bus 14, 17, 28, 46, 66, 67, 69, 222, 228</t>
  </si>
  <si>
    <t>RIVER VALLEY HIGH SCHOOL</t>
  </si>
  <si>
    <t>6 BOON LAY AVENUE</t>
  </si>
  <si>
    <t>BOON LAY MRT, LAKESIDE MRT</t>
  </si>
  <si>
    <t>99, 157, 172, 174, 174E, 198, 240, 502, 974, NR5</t>
  </si>
  <si>
    <t>RIVER VALLEY PRIMARY SCHOOL</t>
  </si>
  <si>
    <t>2 RIVER VALLEY GREEN</t>
  </si>
  <si>
    <t>Somerset MRT</t>
  </si>
  <si>
    <t>5, 16, 32, 54, 65, 75, 175, 970</t>
  </si>
  <si>
    <t>RIVERSIDE PRIMARY SCHOOL</t>
  </si>
  <si>
    <t>110 Woodlands Crescent</t>
  </si>
  <si>
    <t>Bus No 913 and Bus No 964</t>
  </si>
  <si>
    <t>RIVERVALE PRIMARY SCHOOL</t>
  </si>
  <si>
    <t>80 RIVERVALE DRIVE</t>
  </si>
  <si>
    <t>Nearest LRT Station : Rumbia</t>
  </si>
  <si>
    <t>Bus Service 86, 371.</t>
  </si>
  <si>
    <t>ROSYTH SCHOOL</t>
  </si>
  <si>
    <t>21 Serangoon North Avenue 4</t>
  </si>
  <si>
    <t>Ang Mo Kio, Serangoon</t>
  </si>
  <si>
    <t>73, 315, 116</t>
  </si>
  <si>
    <t>RULANG PRIMARY SCHOOL</t>
  </si>
  <si>
    <t>6 JURONG WEST STREET 52</t>
  </si>
  <si>
    <t>Lakeside</t>
  </si>
  <si>
    <t>SBS 335</t>
  </si>
  <si>
    <t>SEMBAWANG PRIMARY SCHOOL</t>
  </si>
  <si>
    <t>10 SEMBAWANG DRIVE</t>
  </si>
  <si>
    <t>Sembawang MRT (6 to 8-minute walk)</t>
  </si>
  <si>
    <t>656, 859, 962, 980</t>
  </si>
  <si>
    <t>SENG KANG PRIMARY SCHOOL</t>
  </si>
  <si>
    <t>21 COMPASSVALE WALK</t>
  </si>
  <si>
    <t>Sengkang MRT</t>
  </si>
  <si>
    <t>27, 80, 82, 83, 86, 87, 88, 89, 119, 156, 163, 371, 372 &amp; 965</t>
  </si>
  <si>
    <t>SENGKANG GREEN PRIMARY SCHOOL</t>
  </si>
  <si>
    <t>15 Fernvale Road</t>
  </si>
  <si>
    <t>Fernvale LRT (SW5) - (Sengkang West Loop)</t>
  </si>
  <si>
    <t>Sengkang and Toa Payoh interchange - no 163, Along Yio Chu Kang Road, - no 70, 86, 103 and 854.Punggol Temp Interchange to Bishan Interchange - Bus 50</t>
  </si>
  <si>
    <t>SHUQUN PRIMARY SCHOOL</t>
  </si>
  <si>
    <t>8 JURONG WEST STREET 51</t>
  </si>
  <si>
    <t>W11 Lakeside</t>
  </si>
  <si>
    <t>98, 187, 335</t>
  </si>
  <si>
    <t>SI LING PRIMARY SCHOOL</t>
  </si>
  <si>
    <t>61 WOODLANDS AVENUE 1</t>
  </si>
  <si>
    <t>912 from Woodlands Interchange</t>
  </si>
  <si>
    <t>SINGAPORE CHINESE GIRLS' PRIMARY SCHOOL</t>
  </si>
  <si>
    <t>190 DUNEARN ROAD</t>
  </si>
  <si>
    <t>Stevens</t>
  </si>
  <si>
    <t>66, 67, 105, 132, 151, 153, 154, 156, 170, 171, 186, 190, 605, 700, 960</t>
  </si>
  <si>
    <t>SOUTH VIEW PRIMARY SCHOOL</t>
  </si>
  <si>
    <t>6 Choa Chu Kang Central</t>
  </si>
  <si>
    <t>307 / South View LRT Station</t>
  </si>
  <si>
    <t>SPRINGDALE PRIMARY SCHOOL</t>
  </si>
  <si>
    <t>71 Anchorvale Link</t>
  </si>
  <si>
    <t>Sengkang Station (NE16) Nearest LRT station: Farmway *10-15 min walk from either station</t>
  </si>
  <si>
    <t>50, 85, 102, 372 Nearest Bus Stop: In front of Blk 326 Car Park *1-2 min walk from bus stop; enter by Main Gate along Anchorvale Link or Rear Gate</t>
  </si>
  <si>
    <t>ST. ANDREW'S JUNIOR SCHOOL</t>
  </si>
  <si>
    <t>2 FRANCIS THOMAS DRIVE</t>
  </si>
  <si>
    <t>Potong Pasir,Toa Payoh</t>
  </si>
  <si>
    <t>8,13,26,31,90,90A,107,133,142,147,853,NR6</t>
  </si>
  <si>
    <t>ST. ANTHONY'S CANOSSIAN PRIMARY SCHOOL</t>
  </si>
  <si>
    <t>1602 BEDOK NORTH AVE 4</t>
  </si>
  <si>
    <t>17</t>
  </si>
  <si>
    <t>ST. ANTHONY'S PRIMARY SCHOOL</t>
  </si>
  <si>
    <t>30 Bukit Batok St 32</t>
  </si>
  <si>
    <t>Bukit Gombak MRT Station</t>
  </si>
  <si>
    <t>ST. GABRIEL'S PRIMARY SCHOOL</t>
  </si>
  <si>
    <t>220 Lorong Chuan</t>
  </si>
  <si>
    <t>Lor Chuan MRT Station (Circle Line)</t>
  </si>
  <si>
    <t>73, 105, 159</t>
  </si>
  <si>
    <t>ST. HILDA'S PRIMARY SCHOOL</t>
  </si>
  <si>
    <t>2 Tampines Ave 3</t>
  </si>
  <si>
    <t>Tampines West, Tampines Central</t>
  </si>
  <si>
    <t>Feeder Bus service: 293 from Tampines Interchange (towards St 71)</t>
  </si>
  <si>
    <t>ST. JOSEPH'S INSTITUTION</t>
  </si>
  <si>
    <t>38 MALCOLM ROAD</t>
  </si>
  <si>
    <t>STEVENS MRT</t>
  </si>
  <si>
    <t>105, 132, 151, 153, 154, 156, 186, 190, 960, 972</t>
  </si>
  <si>
    <t>ST. JOSEPH'S INSTITUTION JUNIOR</t>
  </si>
  <si>
    <t>3 ESSEX ROAD</t>
  </si>
  <si>
    <t>Novena</t>
  </si>
  <si>
    <t>21;54;56;57;124;131;141;166;518;851;980</t>
  </si>
  <si>
    <t>ST. MARGARET'S PRIMARY SCHOOL</t>
  </si>
  <si>
    <t>2 Mattar Road</t>
  </si>
  <si>
    <t>Mattar MRT Station (DT25)</t>
  </si>
  <si>
    <t>40, 61, 63, 65, 66, 135, 154, 155, 158</t>
  </si>
  <si>
    <t>ST. STEPHEN'S SCHOOL</t>
  </si>
  <si>
    <t>20 SIGLAP VIEW</t>
  </si>
  <si>
    <t>Kembangan MRT Station</t>
  </si>
  <si>
    <t>2,7,24,25,26,28,30,32,33,67,854</t>
  </si>
  <si>
    <t>STAMFORD PRIMARY SCHOOL</t>
  </si>
  <si>
    <t>1 VICTORIA LANE</t>
  </si>
  <si>
    <t>Bugis MRT Station, Jalan Besar MRT Station</t>
  </si>
  <si>
    <t>Along Victoria Street:2,7,12,32,33, 51, 61,63,80,130,133,145, 175, 197</t>
  </si>
  <si>
    <t>TAMPINES NORTH PRIMARY SCHOOL</t>
  </si>
  <si>
    <t>30 TAMPINES AVENUE 9</t>
  </si>
  <si>
    <t>SBS Transit 28, 29, 293</t>
  </si>
  <si>
    <t>TAMPINES PRIMARY SCHOOL</t>
  </si>
  <si>
    <t>250 TAMPINES STREET 12</t>
  </si>
  <si>
    <t>8, 10, 17,18, 27, 31, 65, 292, 293, or any bus going into Tampines Interchange</t>
  </si>
  <si>
    <t>TANJONG KATONG PRIMARY SCHOOL</t>
  </si>
  <si>
    <t>10 Seraya Road</t>
  </si>
  <si>
    <t>TAO NAN SCHOOL</t>
  </si>
  <si>
    <t>49 MARINE CRESCENT</t>
  </si>
  <si>
    <t>Paya Lebar, Eunos</t>
  </si>
  <si>
    <t>13, 16, 31, 36, 43, 48, 55, 134, 196, 197</t>
  </si>
  <si>
    <t>TECK GHEE PRIMARY SCHOOL</t>
  </si>
  <si>
    <t>1 ANG MO KIO STREET 32</t>
  </si>
  <si>
    <t>Ang Mo Kio &amp; Bishan</t>
  </si>
  <si>
    <t>22,24,135,853,162,262,159</t>
  </si>
  <si>
    <t>TECK WHYE PRIMARY SCHOOL</t>
  </si>
  <si>
    <t>11 TECK WHYE WALK</t>
  </si>
  <si>
    <t>Choa Chu Kang MRT &amp; LRT</t>
  </si>
  <si>
    <t>975, 190 &amp; 985</t>
  </si>
  <si>
    <t>TELOK KURAU PRIMARY SCHOOL</t>
  </si>
  <si>
    <t>50 BEDOK RESERVOIR RD</t>
  </si>
  <si>
    <t>Kaki Bukit MRT (nearest)</t>
  </si>
  <si>
    <t>8, 15, 22, 55, 65, 60,66, 87 &amp; 506</t>
  </si>
  <si>
    <t>TEMASEK PRIMARY SCHOOL</t>
  </si>
  <si>
    <t>501 BEDOK SOUTH AVE 3</t>
  </si>
  <si>
    <t>Tanah Merah MRT</t>
  </si>
  <si>
    <t>229, 10, 14, 13, 48, 43, 506</t>
  </si>
  <si>
    <t>TOWNSVILLE PRIMARY SCHOOL</t>
  </si>
  <si>
    <t>3 ANG MO KIO AVE 10</t>
  </si>
  <si>
    <t>Bishan MRT, Ang Mo Kio MRT Stations</t>
  </si>
  <si>
    <t>45, 50, 55, 261, 548, 22, 24, 128, 135, 159, 162, 162M, 262, 853</t>
  </si>
  <si>
    <t>UNITY PRIMARY SCHOOL</t>
  </si>
  <si>
    <t>21 CHOA CHU KANG CRESCENT</t>
  </si>
  <si>
    <t>TIBs 302</t>
  </si>
  <si>
    <t>VALOUR PRIMARY SCHOOL</t>
  </si>
  <si>
    <t>49 Punggol Central</t>
  </si>
  <si>
    <t>WATERWAY PRIMARY SCHOOL</t>
  </si>
  <si>
    <t>70 Punggol Drive</t>
  </si>
  <si>
    <t>Kadaloor LRT Station</t>
  </si>
  <si>
    <t>50, 381</t>
  </si>
  <si>
    <t>WELLINGTON PRIMARY SCHOOL</t>
  </si>
  <si>
    <t>10 WELLINGTON CIRCLE</t>
  </si>
  <si>
    <t>980, 856, 859</t>
  </si>
  <si>
    <t>WEST GROVE PRIMARY SCHOOL</t>
  </si>
  <si>
    <t>1 JURONG WEST ST 72</t>
  </si>
  <si>
    <t>Boon Lay MRT</t>
  </si>
  <si>
    <t>Bus 99, 242</t>
  </si>
  <si>
    <t>WEST SPRING PRIMARY SCHOOL</t>
  </si>
  <si>
    <t>60 Bukit Panjang Ring Road</t>
  </si>
  <si>
    <t>Jelapang LRT</t>
  </si>
  <si>
    <t>920, 922</t>
  </si>
  <si>
    <t>WEST VIEW PRIMARY SCHOOL</t>
  </si>
  <si>
    <t>31 SENJA ROAD</t>
  </si>
  <si>
    <t>Bukit Panjang MRT, SENJA LRT (A13)</t>
  </si>
  <si>
    <t>170,171,176,178,180,000,000,000,000,000</t>
  </si>
  <si>
    <t>WESTWOOD PRIMARY SCHOOL</t>
  </si>
  <si>
    <t>1 Jurong West Street 73</t>
  </si>
  <si>
    <t>Boon Lay MRT Station</t>
  </si>
  <si>
    <t>181, 502 &amp; 243</t>
  </si>
  <si>
    <t>WHITE SANDS PRIMARY SCHOOL</t>
  </si>
  <si>
    <t>2 PASIR RIS ST 11</t>
  </si>
  <si>
    <t>12, 17, 21, 39, 53, 81, 518, 109</t>
  </si>
  <si>
    <t>WOODGROVE PRIMARY SCHOOL</t>
  </si>
  <si>
    <t>2 WOODLANDS DRIVE 14</t>
  </si>
  <si>
    <t>901</t>
  </si>
  <si>
    <t>WOODLANDS PRIMARY SCHOOL</t>
  </si>
  <si>
    <t>10 WOODLANDS DRIVE 50</t>
  </si>
  <si>
    <t>912 &amp; 912E</t>
  </si>
  <si>
    <t>WOODLANDS RING PRIMARY SCHOOL</t>
  </si>
  <si>
    <t>11 WOODLANDS RING ROAD</t>
  </si>
  <si>
    <t>912</t>
  </si>
  <si>
    <t>XINGHUA PRIMARY SCHOOL</t>
  </si>
  <si>
    <t>45 HOUGANG AVENUE 1</t>
  </si>
  <si>
    <t>Kovan MRT Station</t>
  </si>
  <si>
    <t>Bus services 53, 62, 112, 113, 115</t>
  </si>
  <si>
    <t>XINGNAN PRIMARY SCHOOL</t>
  </si>
  <si>
    <t>5 JURONG WEST STREET 91</t>
  </si>
  <si>
    <t>Bus 99 &amp; 241</t>
  </si>
  <si>
    <t>XINMIN PRIMARY SCHOOL</t>
  </si>
  <si>
    <t>9 HOUGANG AVENUE 8</t>
  </si>
  <si>
    <t>74, 147, 165, 112</t>
  </si>
  <si>
    <t>XISHAN PRIMARY SCHOOL</t>
  </si>
  <si>
    <t>8 YISHUN STREET 21</t>
  </si>
  <si>
    <t>o Alight at Yishun MRT Station o Take Exit C o Walk towards Yishun Street 21</t>
  </si>
  <si>
    <t>Along Yishun Ave 2,take Bus Service 117, 169, 804, 812, 965. Alight at Blk 220. Along Yishun Ring Road,take Bus Service 1N, 800, 804, NR1. Alight at Blk 227 or 236.</t>
  </si>
  <si>
    <t>YANGZHENG PRIMARY SCHOOL</t>
  </si>
  <si>
    <t>15 SERANGOON AVENUE 3</t>
  </si>
  <si>
    <t>Serangoon Station</t>
  </si>
  <si>
    <t>58 &amp; 105 (Outside the school, Serangoon Ave 3) 133 &amp; 135(Serangoon Ave 2)</t>
  </si>
  <si>
    <t>YEW TEE PRIMARY SCHOOL</t>
  </si>
  <si>
    <t>10 CHOA CHU KANG ST 64</t>
  </si>
  <si>
    <t>Yew Tee MRT Station</t>
  </si>
  <si>
    <t>307</t>
  </si>
  <si>
    <t>YIO CHU KANG PRIMARY SCHOOL</t>
  </si>
  <si>
    <t>1 HOUGANG STREET 51</t>
  </si>
  <si>
    <t>Hougang MRT Station Yio Chu Kang MRT Station</t>
  </si>
  <si>
    <t>88,101,109,159,161 and 325</t>
  </si>
  <si>
    <t>YISHUN PRIMARY SCHOOL</t>
  </si>
  <si>
    <t>500 YISHUN RING ROAD</t>
  </si>
  <si>
    <t>Translink Feeder Service 800 &amp; 812</t>
  </si>
  <si>
    <t>YU NENG PRIMARY SCHOOL</t>
  </si>
  <si>
    <t>56 BEDOK NORTH ST 3</t>
  </si>
  <si>
    <t>Bedok MRT Station (East-West Line), Bedok Reservoir MRT STation (Downtown line)</t>
  </si>
  <si>
    <t>14, 17, 18, 28, 66, 67, 69, 225</t>
  </si>
  <si>
    <t>YUHUA PRIMARY SCHOOL</t>
  </si>
  <si>
    <t>158 JURONG EAST STREET 24</t>
  </si>
  <si>
    <t>Jurong East, Bukit Batok</t>
  </si>
  <si>
    <t>98,98A,187,333,502,507,NR5</t>
  </si>
  <si>
    <t>YUMIN PRIMARY SCHOOL</t>
  </si>
  <si>
    <t>3 TAMPINES STREET 21</t>
  </si>
  <si>
    <t>ZHANGDE PRIMARY SCHOOL</t>
  </si>
  <si>
    <t>51 Jalan Membina</t>
  </si>
  <si>
    <t>Tiong Bahru MRT Station</t>
  </si>
  <si>
    <t>16,33,63,123,195,605,851,14,65,147,167,196,197,961</t>
  </si>
  <si>
    <t>ZHENGHUA PRIMARY SCHOOL</t>
  </si>
  <si>
    <t>9 Fajar Road</t>
  </si>
  <si>
    <t>LRT: Fajar Station</t>
  </si>
  <si>
    <t>190, 184, 187, 700, 700A, 921</t>
  </si>
  <si>
    <t>ZHONGHUA PRIMARY SCHOOL</t>
  </si>
  <si>
    <t>12 SERANGOON AVENUE 4</t>
  </si>
  <si>
    <t>Ang Mo Kio MRT, Bishan MRT, Serangoon MRT</t>
  </si>
  <si>
    <t>Boundary Road: 22,24,53,105,156,315,853,501,502 Yio Chu Kang Road: 70,76,103,147,156,501,502</t>
  </si>
  <si>
    <t>Mall Name</t>
  </si>
  <si>
    <t>100 AM</t>
  </si>
  <si>
    <t>100 TRAS STREET</t>
  </si>
  <si>
    <t>079027</t>
  </si>
  <si>
    <t>313@Somerset</t>
  </si>
  <si>
    <t>313 ORCHARD ROAD</t>
  </si>
  <si>
    <t>Aperia</t>
  </si>
  <si>
    <t>8 KALLANG AVENUE</t>
  </si>
  <si>
    <t>Balestier Hill Shopping Centre</t>
  </si>
  <si>
    <t xml:space="preserve">1 THOMSON ROAD </t>
  </si>
  <si>
    <t>Bugis Cube</t>
  </si>
  <si>
    <t>470 NORTH BRIDGE ROAD</t>
  </si>
  <si>
    <t>Bugis Junction</t>
  </si>
  <si>
    <t>200 VICTORIA STREET</t>
  </si>
  <si>
    <t>Bugis+</t>
  </si>
  <si>
    <t>162B ROCHOR ROA</t>
  </si>
  <si>
    <t>Capitol Piazza</t>
  </si>
  <si>
    <t>13 STAMFORD ROAD</t>
  </si>
  <si>
    <t>Cathay Cineleisure Orchard</t>
  </si>
  <si>
    <t>8 GRANGE ROAD</t>
  </si>
  <si>
    <t>The Centrepoint</t>
  </si>
  <si>
    <t>176 ORCHARD ROAD</t>
  </si>
  <si>
    <t>City Square Mall</t>
  </si>
  <si>
    <t>180 KITCHENER ROAD</t>
  </si>
  <si>
    <t>CityLink Mall</t>
  </si>
  <si>
    <t xml:space="preserve">1 RAFFLES LINK </t>
  </si>
  <si>
    <t>039393</t>
  </si>
  <si>
    <t>Duo</t>
  </si>
  <si>
    <t>7 FRASER STREET</t>
  </si>
  <si>
    <t>Far East Plaza</t>
  </si>
  <si>
    <t>14 SCOTTS ROAD</t>
  </si>
  <si>
    <t>Funan</t>
  </si>
  <si>
    <t>107 NORTH BRIDGE ROA</t>
  </si>
  <si>
    <t>Great World City</t>
  </si>
  <si>
    <t>1 KIM SENG PROMENADE</t>
  </si>
  <si>
    <t>HDB Hub</t>
  </si>
  <si>
    <t>460 LORONG 6 TOA PAYOH</t>
  </si>
  <si>
    <t>ION Orchard</t>
  </si>
  <si>
    <t>2 ORCHARD TURN</t>
  </si>
  <si>
    <t>Junction 8</t>
  </si>
  <si>
    <t>9 BISHAN PLACE</t>
  </si>
  <si>
    <t>Knightsbridge</t>
  </si>
  <si>
    <t>270 ORCHARD ROAD</t>
  </si>
  <si>
    <t>Liat Towers</t>
  </si>
  <si>
    <t>541 ORCHARD ROAD</t>
  </si>
  <si>
    <t>Lucky Plaza</t>
  </si>
  <si>
    <t>304 ORCHARD ROAD</t>
  </si>
  <si>
    <t>Marina Bay Sands</t>
  </si>
  <si>
    <t xml:space="preserve">1 BAYFRONT AVENUE TOWER 1 </t>
  </si>
  <si>
    <t>018971</t>
  </si>
  <si>
    <t>The Shoppes at Marina Bay Sands</t>
  </si>
  <si>
    <t>2A BAYFRONT AVENUE</t>
  </si>
  <si>
    <t>018958</t>
  </si>
  <si>
    <t>Marina Bay Link Mall</t>
  </si>
  <si>
    <t>8 MARINA BOULEVARD</t>
  </si>
  <si>
    <t>018981</t>
  </si>
  <si>
    <t>Marina Square</t>
  </si>
  <si>
    <t>6 RAFFLES BOULEVARD</t>
  </si>
  <si>
    <t>039594</t>
  </si>
  <si>
    <t>Millenia Walk</t>
  </si>
  <si>
    <t>1 TEMASEK AVENUE</t>
  </si>
  <si>
    <t>039192</t>
  </si>
  <si>
    <t>Ngee Ann City</t>
  </si>
  <si>
    <t>391 ORCHARD ROAD</t>
  </si>
  <si>
    <t>Orchard Central</t>
  </si>
  <si>
    <t>181 ORCHARD ROAD</t>
  </si>
  <si>
    <t>Orchard Gateway</t>
  </si>
  <si>
    <t>218 ORCHARD ROAD</t>
  </si>
  <si>
    <t>Orchard Plaza</t>
  </si>
  <si>
    <t>150 ORCHARD ROAD</t>
  </si>
  <si>
    <t>Midpoint Orchard</t>
  </si>
  <si>
    <t>220 ORCHARD ROAD</t>
  </si>
  <si>
    <t>Palais Renaissance</t>
  </si>
  <si>
    <t>390 ORCHARD ROAD</t>
  </si>
  <si>
    <t>People's Park Centre</t>
  </si>
  <si>
    <t>101 UPPER CROSS STREET</t>
  </si>
  <si>
    <t>058357</t>
  </si>
  <si>
    <t>People's Park Complex</t>
  </si>
  <si>
    <t>1 PARK ROAD</t>
  </si>
  <si>
    <t>059108</t>
  </si>
  <si>
    <t>Plaza Singapura</t>
  </si>
  <si>
    <t>68 ORCHARD ROAD</t>
  </si>
  <si>
    <t>Raffles City</t>
  </si>
  <si>
    <t>250 NORTH BRIDGE ROAD</t>
  </si>
  <si>
    <t>Scotts Square</t>
  </si>
  <si>
    <t>6 SCOTTS ROAD</t>
  </si>
  <si>
    <t>Sim Lim Square</t>
  </si>
  <si>
    <t>1 ROCHOR CANAL ROAD</t>
  </si>
  <si>
    <t>Furama City Centre</t>
  </si>
  <si>
    <t>60 EU TONG SEN STREET</t>
  </si>
  <si>
    <t>059804</t>
  </si>
  <si>
    <t>The South Beach</t>
  </si>
  <si>
    <t>38 BEACH ROAD</t>
  </si>
  <si>
    <t>Square 2</t>
  </si>
  <si>
    <t xml:space="preserve">12 MARINA VIEW ASIA SQUARE TOWER 2 </t>
  </si>
  <si>
    <t>018961</t>
  </si>
  <si>
    <t>Sunshine Plaza</t>
  </si>
  <si>
    <t>10 PRINSEP LINK</t>
  </si>
  <si>
    <t>Suntec City</t>
  </si>
  <si>
    <t>1 RAFFLES BOULEVARD</t>
  </si>
  <si>
    <t>039593</t>
  </si>
  <si>
    <t>Tanglin Mall</t>
  </si>
  <si>
    <t>163 TANGLIN ROAD</t>
  </si>
  <si>
    <t>Tanjong Pagar Plaza</t>
  </si>
  <si>
    <t>1 TANJONG PAGAR PLAZA</t>
  </si>
  <si>
    <t>082001</t>
  </si>
  <si>
    <t>Tekka Centre</t>
  </si>
  <si>
    <t>661 BUFFALO ROAD</t>
  </si>
  <si>
    <t>The Adelphi</t>
  </si>
  <si>
    <t>1 COLEMAN STREET</t>
  </si>
  <si>
    <t>The Paragon</t>
  </si>
  <si>
    <t>290 ORCHARD ROAD</t>
  </si>
  <si>
    <t>Tiong Bahru Plaza</t>
  </si>
  <si>
    <t>302 TIONG BAHRU ROAD</t>
  </si>
  <si>
    <t>The Poiz</t>
  </si>
  <si>
    <t>2 MEYAPPA CHETTIAR ROAD</t>
  </si>
  <si>
    <t>Thomson Plaza</t>
  </si>
  <si>
    <t>4 MARIGOLD DRIVE</t>
  </si>
  <si>
    <t>United Square</t>
  </si>
  <si>
    <t>101 THOMSON ROAD</t>
  </si>
  <si>
    <t>Thomson V</t>
  </si>
  <si>
    <t>9 SIN MING ROAD</t>
  </si>
  <si>
    <t>Velocity@Novena Square</t>
  </si>
  <si>
    <t>238 THOMSON ROAD</t>
  </si>
  <si>
    <t>Wheelock Place</t>
  </si>
  <si>
    <t>501 ORCHARD ROAD</t>
  </si>
  <si>
    <t>Wisma Atria</t>
  </si>
  <si>
    <t>435 ORCHARD ROAD</t>
  </si>
  <si>
    <t>Zhongshan Mall</t>
  </si>
  <si>
    <t>16 AH HOOD ROAD</t>
  </si>
  <si>
    <t>Bedok Mall</t>
  </si>
  <si>
    <t>445 BEDOK NORTH STREET</t>
  </si>
  <si>
    <t>Century Square</t>
  </si>
  <si>
    <t>2 TAMPINES CENTRAL 5</t>
  </si>
  <si>
    <t>Our Tampines Hub</t>
  </si>
  <si>
    <t xml:space="preserve">1 TAMPINES WALK </t>
  </si>
  <si>
    <t>Changi City Point</t>
  </si>
  <si>
    <t xml:space="preserve">5 CHANGI BUSINESS PARK CENTRAL 1 </t>
  </si>
  <si>
    <t>Downtown East</t>
  </si>
  <si>
    <t xml:space="preserve">1 PASIR RIS CLOSE </t>
  </si>
  <si>
    <t>Djitsun Mall Bedok</t>
  </si>
  <si>
    <t>Eastpoint Mall</t>
  </si>
  <si>
    <t>3 SIMEI STREET</t>
  </si>
  <si>
    <t>Jewel Changi Airport</t>
  </si>
  <si>
    <t>78 AIRPORT BOULEVARD</t>
  </si>
  <si>
    <t>Katong Shopping Centre</t>
  </si>
  <si>
    <t>865 MOUNTBATTEN ROAD</t>
  </si>
  <si>
    <t>Katong Square</t>
  </si>
  <si>
    <t>88 EAST COAST ROAD</t>
  </si>
  <si>
    <t>Kallang Wave Mall</t>
  </si>
  <si>
    <t>1 STADIUM PLACE</t>
  </si>
  <si>
    <t>Leisure Park Kallang</t>
  </si>
  <si>
    <t>5 STADIUM WALK</t>
  </si>
  <si>
    <t>i12 Katong</t>
  </si>
  <si>
    <t>112 EAST COAST ROAD</t>
  </si>
  <si>
    <t>Parkway Parade</t>
  </si>
  <si>
    <t>80 MARINE PARADE ROAD</t>
  </si>
  <si>
    <t>Paya Lebar Square</t>
  </si>
  <si>
    <t>60 PAYA LEBAR ROAD</t>
  </si>
  <si>
    <t>Roxy Square</t>
  </si>
  <si>
    <t>50 EAST COAST ROAD</t>
  </si>
  <si>
    <t>Singpost Centre</t>
  </si>
  <si>
    <t>10 EUNOS ROAD</t>
  </si>
  <si>
    <t>Tampines 1</t>
  </si>
  <si>
    <t>10 TAMPINES CENTRAL 1</t>
  </si>
  <si>
    <t>529536</t>
  </si>
  <si>
    <t>Tampines Mall</t>
  </si>
  <si>
    <t xml:space="preserve">4 TAMPINES CENTRAL 5 </t>
  </si>
  <si>
    <t>White Sands</t>
  </si>
  <si>
    <t>1 PASIR RIS CENTRAL STREET</t>
  </si>
  <si>
    <t>City Plaza</t>
  </si>
  <si>
    <t>810 GEYLANG ROAD</t>
  </si>
  <si>
    <t>Elias Mall</t>
  </si>
  <si>
    <t>623 ELIAS ROAD</t>
  </si>
  <si>
    <t>Loyang Point</t>
  </si>
  <si>
    <t>259 PASIR RIS STREET</t>
  </si>
  <si>
    <t>888 Plaza</t>
  </si>
  <si>
    <t xml:space="preserve">888 WOODLANDS DRIVE 50 </t>
  </si>
  <si>
    <t>Admiralty Place</t>
  </si>
  <si>
    <t>677 WOODLANDS AVENUE 6</t>
  </si>
  <si>
    <t>AMK Hub</t>
  </si>
  <si>
    <t>53 ANG MO KIO AVENUE 3</t>
  </si>
  <si>
    <t>Canberra Plaza</t>
  </si>
  <si>
    <t>133 CANBERRA VIEW</t>
  </si>
  <si>
    <t>Causeway Point</t>
  </si>
  <si>
    <t xml:space="preserve">1 WOODLANDS SQUARE </t>
  </si>
  <si>
    <t>Woodlands Civic Centre</t>
  </si>
  <si>
    <t>900 SOUTH WOODLANDS DRIVE</t>
  </si>
  <si>
    <t>Broadway Plaza</t>
  </si>
  <si>
    <t>4190 ANG MO KIO AVENUE 6 BROAD</t>
  </si>
  <si>
    <t>Djitsun Mall AMK</t>
  </si>
  <si>
    <t>5 ANG MO KIO CENTRAL 2</t>
  </si>
  <si>
    <t>569663</t>
  </si>
  <si>
    <t>Jubilee Square</t>
  </si>
  <si>
    <t>61 ANG MO KIO AVENUE 8</t>
  </si>
  <si>
    <t xml:space="preserve">9 BISHAN PLACE </t>
  </si>
  <si>
    <t>Junction Nine</t>
  </si>
  <si>
    <t xml:space="preserve">18 YISHUN AVENUE 9 </t>
  </si>
  <si>
    <t>Marsiling Mall</t>
  </si>
  <si>
    <t>4 WOODLANDS STREET</t>
  </si>
  <si>
    <t>Northpoint City</t>
  </si>
  <si>
    <t xml:space="preserve">1 NORTHPOINT DRIVE </t>
  </si>
  <si>
    <t>Sembawang Shopping Centre</t>
  </si>
  <si>
    <t>604 SEMBAWANG ROAD</t>
  </si>
  <si>
    <t>Sun Plaza</t>
  </si>
  <si>
    <t xml:space="preserve">30 SEMBAWANG DRIVE </t>
  </si>
  <si>
    <t>Vista Point</t>
  </si>
  <si>
    <t>548 WOODLANDS DRIVE 44</t>
  </si>
  <si>
    <t>Wisteria Mall</t>
  </si>
  <si>
    <t>598 YISHUN RING ROAD</t>
  </si>
  <si>
    <t>Woodlands Mart</t>
  </si>
  <si>
    <t xml:space="preserve">768 WOODLANDS AVENUE 6 </t>
  </si>
  <si>
    <t>Woodlands North Plaza</t>
  </si>
  <si>
    <t>883 WOODLANDS STREET</t>
  </si>
  <si>
    <t>Waterway Point</t>
  </si>
  <si>
    <t xml:space="preserve">83 PUNGGOL CENTRAL </t>
  </si>
  <si>
    <t>Compass One</t>
  </si>
  <si>
    <t xml:space="preserve">1 SENGKANG SQUARE </t>
  </si>
  <si>
    <t>Hougang Mall</t>
  </si>
  <si>
    <t xml:space="preserve">90 HOUGANG AVENUE 10 </t>
  </si>
  <si>
    <t>Heartland Mall</t>
  </si>
  <si>
    <t>205 HOUGANG STREET</t>
  </si>
  <si>
    <t>NEX</t>
  </si>
  <si>
    <t xml:space="preserve">23 SERANGOON CENTRAL NEX </t>
  </si>
  <si>
    <t>Buangkok Square</t>
  </si>
  <si>
    <t>991 BUANGKOK LINK</t>
  </si>
  <si>
    <t>Greenwich V</t>
  </si>
  <si>
    <t>1 SELETAR ROAD</t>
  </si>
  <si>
    <t>Hougang 1</t>
  </si>
  <si>
    <t>1 HOUGANG STREET 91</t>
  </si>
  <si>
    <t>538962</t>
  </si>
  <si>
    <t>Hougang Green Shopping Mall</t>
  </si>
  <si>
    <t>21 HOUGANG STREET</t>
  </si>
  <si>
    <t>Hougang Rivercourt</t>
  </si>
  <si>
    <t>377 HOUGANG STREET</t>
  </si>
  <si>
    <t>myVillage At Serangoon Garden</t>
  </si>
  <si>
    <t>1 MAJU AVENUE</t>
  </si>
  <si>
    <t>Northshore Plaza</t>
  </si>
  <si>
    <t>407 NORTHSHORE DRIV</t>
  </si>
  <si>
    <t>Oasis Terraces</t>
  </si>
  <si>
    <t>681 PUNGGOL DRIVE</t>
  </si>
  <si>
    <t>Punggol Plaza</t>
  </si>
  <si>
    <t xml:space="preserve">168 PUNGGOL FIELD </t>
  </si>
  <si>
    <t>Rivervale Mall</t>
  </si>
  <si>
    <t xml:space="preserve">11 RIVERVALE CRESCENT </t>
  </si>
  <si>
    <t>Rivervale Plaza</t>
  </si>
  <si>
    <t xml:space="preserve">118 RIVERVALE DRIVE </t>
  </si>
  <si>
    <t>The Seletar Mall</t>
  </si>
  <si>
    <t>33 SENGKANG WEST AVENUE</t>
  </si>
  <si>
    <t>Upper Serangoon Shopping Centre</t>
  </si>
  <si>
    <t>756 UPPER SERANGOON ROAD</t>
  </si>
  <si>
    <t>Beauty World Centre</t>
  </si>
  <si>
    <t>144 UPPER BUKIT TIMAH ROAD</t>
  </si>
  <si>
    <t>Beauty World Plaza</t>
  </si>
  <si>
    <t>140 UPPER BUKIT TIMAH ROAD</t>
  </si>
  <si>
    <t>Bukit Panjang Plaza</t>
  </si>
  <si>
    <t>1 JELEBU ROAD</t>
  </si>
  <si>
    <t>Bukit Timah Plaza</t>
  </si>
  <si>
    <t>1 JALAN ANAK BUKIT</t>
  </si>
  <si>
    <t>Fajar Shopping Centre</t>
  </si>
  <si>
    <t>445 FAJAR ROAD</t>
  </si>
  <si>
    <t>Greenridge Shopping Centre</t>
  </si>
  <si>
    <t>524A JELAPANG ROAD</t>
  </si>
  <si>
    <t>Hillion Mall</t>
  </si>
  <si>
    <t>17 PETIR ROAD</t>
  </si>
  <si>
    <t>HillV2</t>
  </si>
  <si>
    <t xml:space="preserve">4 HILLVIEW RISE HILLV2 </t>
  </si>
  <si>
    <t>Junction 10</t>
  </si>
  <si>
    <t>1 WOODLANDS ROAD</t>
  </si>
  <si>
    <t>Keat Hong Shopping Centre</t>
  </si>
  <si>
    <t>253 CHOA CHU KANG AVENUE 1</t>
  </si>
  <si>
    <t>Limbang Shopping Centre</t>
  </si>
  <si>
    <t>533 CHOA CHU KANG STREET</t>
  </si>
  <si>
    <t>Lot One</t>
  </si>
  <si>
    <t>21 CHOA CHU KANG AVENUE 4</t>
  </si>
  <si>
    <t>Rail Mall</t>
  </si>
  <si>
    <t>380 UPPER BUKIT TIMAH ROAD</t>
  </si>
  <si>
    <t>Sunshine Place</t>
  </si>
  <si>
    <t xml:space="preserve">475 CHOA CHU KANG AVENUE 3 </t>
  </si>
  <si>
    <t>Teck Whye Shopping Centre</t>
  </si>
  <si>
    <t>137 TECK WHYE LANE</t>
  </si>
  <si>
    <t>West Mall</t>
  </si>
  <si>
    <t xml:space="preserve">1 BUKIT BATOK CENTRAL LINK </t>
  </si>
  <si>
    <t>Yew Tee Point</t>
  </si>
  <si>
    <t xml:space="preserve">21 CHOA CHU KANG NORTH 6 </t>
  </si>
  <si>
    <t>Yew Tee Square</t>
  </si>
  <si>
    <t>624 CHOA CHU KANG STREET</t>
  </si>
  <si>
    <t>321 Clementi</t>
  </si>
  <si>
    <t>321 CLEMENTI AVENUE 3</t>
  </si>
  <si>
    <t>The Clementi Mall</t>
  </si>
  <si>
    <t xml:space="preserve">441B CLEMENTI AVENUE 3 </t>
  </si>
  <si>
    <t>IMM</t>
  </si>
  <si>
    <t>2 JURONG EAST STREET</t>
  </si>
  <si>
    <t>Jem</t>
  </si>
  <si>
    <t>50 JURONG GATEWAY ROAD</t>
  </si>
  <si>
    <t>Westgate</t>
  </si>
  <si>
    <t xml:space="preserve">3 GATEWAY DRIVE WESTGATE </t>
  </si>
  <si>
    <t>Jurong Point</t>
  </si>
  <si>
    <t xml:space="preserve">1 JURONG WEST CENTRAL 2 </t>
  </si>
  <si>
    <t>Pioneer Mall</t>
  </si>
  <si>
    <t>638 JURONG WEST STREET</t>
  </si>
  <si>
    <t>The Star Vista</t>
  </si>
  <si>
    <t xml:space="preserve">1 VISTA EXCHANGE GREEN </t>
  </si>
  <si>
    <t>Alexandra Central</t>
  </si>
  <si>
    <t>321 ALEXANDRA ROAD</t>
  </si>
  <si>
    <t>Anchorpoint</t>
  </si>
  <si>
    <t>368 ALEXANDRA ROAD</t>
  </si>
  <si>
    <t>Boon Lay Shopping Centre</t>
  </si>
  <si>
    <t xml:space="preserve">221 BOON LAY PLACE </t>
  </si>
  <si>
    <t>Grantral Mall</t>
  </si>
  <si>
    <t xml:space="preserve">3151 COMMONWEALTH AVENUE WEST </t>
  </si>
  <si>
    <t>Fairprice Hub</t>
  </si>
  <si>
    <t>1 JOO KOON CIRCLE</t>
  </si>
  <si>
    <t>Gek Poh Shopping Centre</t>
  </si>
  <si>
    <t>762 JURONG WEST STREET</t>
  </si>
  <si>
    <t>Rochester Mall</t>
  </si>
  <si>
    <t>35 ROCHESTER DRIVE</t>
  </si>
  <si>
    <t>Taman Jurong Shopping Centre</t>
  </si>
  <si>
    <t>399 YUNG SHENG ROAD</t>
  </si>
  <si>
    <t>West Coast Plaza</t>
  </si>
  <si>
    <t>154 WEST COAST ROAD</t>
  </si>
  <si>
    <t>Queensway Shopping Centre</t>
  </si>
  <si>
    <t xml:space="preserve">1 QUEENSWAY </t>
  </si>
  <si>
    <t>Guoco Tower</t>
  </si>
  <si>
    <t>1 WALLICH STREET</t>
  </si>
  <si>
    <t>078881</t>
  </si>
  <si>
    <t>Table 1 - EHG Grant Amount for Single applicant</t>
  </si>
  <si>
    <t>Table 2 - EHG Grant Amount for Couples</t>
  </si>
  <si>
    <t>Average Monthly Income</t>
  </si>
  <si>
    <t xml:space="preserve">EHG Amount </t>
  </si>
  <si>
    <t>Average Monthly Household Income</t>
  </si>
  <si>
    <t>Table 3 - Housing Grant for Single and Couple</t>
  </si>
  <si>
    <t>Room Type</t>
  </si>
  <si>
    <t>Single Grant Amount</t>
  </si>
  <si>
    <t>Couple Grant Amount</t>
  </si>
  <si>
    <t>Housing Grant Eligibility</t>
  </si>
  <si>
    <t>Enhanced Housing Grant Eligibility</t>
  </si>
  <si>
    <t>Criterias</t>
  </si>
  <si>
    <t>Comparators</t>
  </si>
  <si>
    <t>User Income</t>
  </si>
  <si>
    <t>&lt;=</t>
  </si>
  <si>
    <t>User's Income</t>
  </si>
  <si>
    <t>Remaining housing Lease</t>
  </si>
  <si>
    <t>&gt;</t>
  </si>
  <si>
    <t>Remaining housing lease</t>
  </si>
  <si>
    <t>User Age</t>
  </si>
  <si>
    <t>&gt;=</t>
  </si>
  <si>
    <t>User's Age</t>
  </si>
  <si>
    <t>Are you apply as a Single/Couple?</t>
  </si>
  <si>
    <t xml:space="preserve">Total monthly Salary: </t>
  </si>
  <si>
    <t>Age</t>
  </si>
  <si>
    <t>Remaining lease of flat &gt; 20yr?</t>
  </si>
  <si>
    <t>Are you applying as a couple?</t>
  </si>
  <si>
    <t>Room type</t>
  </si>
  <si>
    <t>(validation from dataset)</t>
  </si>
  <si>
    <t xml:space="preserve">Next Flat Purchase Type </t>
  </si>
  <si>
    <t>3 room flat from HDB or on open market:</t>
  </si>
  <si>
    <t>2 rooom, 2 room flexi, 3 room</t>
  </si>
  <si>
    <t>Employment</t>
  </si>
  <si>
    <t>You and/ or your core co-applicant(s) and/ or core occupier(s) must:</t>
  </si>
  <si>
    <t>Have worked continuously for at least 12 months, 2 months before the HFE letter application; and</t>
  </si>
  <si>
    <t>Be working at the time of the HFE letter application</t>
  </si>
  <si>
    <t>Monthly household Income ceiling</t>
  </si>
  <si>
    <t>The average gross monthly household income (including all applicants and occupiers) for the months worked during the 12-month period must not exceed $7,000.</t>
  </si>
  <si>
    <t>Remaining lease of next flat</t>
  </si>
  <si>
    <t>More than 20 years</t>
  </si>
  <si>
    <t>(applicable to resale flats)</t>
  </si>
  <si>
    <t>Flat must have sufficient remaining lease to cover the youngest core applicant and/ or core occupier to the age of 95</t>
  </si>
  <si>
    <t>Ownership/ interest in property in Singapore or overseas other than HDB flat</t>
  </si>
  <si>
    <t>Interest or ownership in a property</t>
  </si>
  <si>
    <t>You have acquired a property through purchase or when it is:</t>
  </si>
  <si>
    <t>Acquired by gift;</t>
  </si>
  <si>
    <t>Inherited as a beneficiary under a will or from the Intestate Succession Act; or</t>
  </si>
  <si>
    <t>Owned, acquired, or disposed of through nominees.</t>
  </si>
  <si>
    <t>Private residential property</t>
  </si>
  <si>
    <t>All applicants and occupiers listed in the HFE letter application:</t>
  </si>
  <si>
    <t>Must not own or have an interest in any local or overseas private property; and</t>
  </si>
  <si>
    <t>Must not have disposed of any private property in the last 30 months before the HFE letter application.</t>
  </si>
  <si>
    <t>Non-residential property</t>
  </si>
  <si>
    <t>All persons listed in the HFE letter application can, as a household, own up to 1 non-residential property at HFE letter application and up to 30 months before HFE letter application.</t>
  </si>
  <si>
    <t>PHG</t>
  </si>
  <si>
    <t>Are you applying as a Single or Couple?</t>
  </si>
  <si>
    <t>Single/Couple</t>
  </si>
  <si>
    <t>Answer Option</t>
  </si>
  <si>
    <t>Are you planning to live WITH/NEAR your Parents/Child?</t>
  </si>
  <si>
    <t>WITH/NEAR</t>
  </si>
  <si>
    <t>WITH</t>
  </si>
  <si>
    <t>NEAR</t>
  </si>
  <si>
    <t>Parent buying over your child's Flat</t>
  </si>
  <si>
    <t>Received the PHG before?</t>
  </si>
  <si>
    <t>Remaining lease of flat &gt;20 years</t>
  </si>
  <si>
    <t>SG Citizen?</t>
  </si>
  <si>
    <t>Are you above 35 years old?</t>
  </si>
  <si>
    <t>Above 35 years old?</t>
  </si>
  <si>
    <t xml:space="preserve">Your parents/child are going to live with you in the resale flat you intend to buy. </t>
  </si>
  <si>
    <t>Are your parents/ child are living in an HDB flat or private residential property which is within 4km^ of the resale flat you intend to buy.</t>
  </si>
  <si>
    <t>Do they own the private residential property? If Yes, fill Yes. If No, its it owner-occupied by immediate family members, i.e. child or adopted child, parent(s) or parent(s)-in-law, or siblings?</t>
  </si>
  <si>
    <t>Any flat</t>
  </si>
  <si>
    <t>Is your flat to be bought a 2-5 Room flat?</t>
  </si>
  <si>
    <t>Family  Includes 1 other SC / SPR</t>
  </si>
  <si>
    <t>Are you 21 yrs old &amp; above</t>
  </si>
  <si>
    <t>Parent/Child: At least an SPR</t>
  </si>
  <si>
    <t xml:space="preserve">Your parents/ child are living with you^ in the resale flat you intend to buy. </t>
  </si>
  <si>
    <t>Trade-off analysis 1</t>
  </si>
  <si>
    <t>Trade off Analysis Between the Average Distance from 3 Amenities Combined and Average Price of Flat</t>
  </si>
  <si>
    <t>Walking Time (bins)</t>
  </si>
  <si>
    <t>Average Price</t>
  </si>
  <si>
    <t>Correlation Coefficent:</t>
  </si>
  <si>
    <t>Trade-off analysis 2</t>
  </si>
  <si>
    <t>Trade off Analysis Between Loan Tenure and Monthly Mortgage Repayment Amount</t>
  </si>
  <si>
    <t xml:space="preserve">Loan Amount </t>
  </si>
  <si>
    <t>Interest Rate</t>
  </si>
  <si>
    <t>Monthly Mortgage Repayment Amount</t>
  </si>
  <si>
    <t>Total Interest Paid (y)</t>
  </si>
  <si>
    <t>Loan Tenure (controllable)</t>
  </si>
  <si>
    <t>(x)</t>
  </si>
  <si>
    <t>Interest Rate (uncontrollable)</t>
  </si>
  <si>
    <t>increase loan period</t>
  </si>
  <si>
    <t>increase interest paid</t>
  </si>
  <si>
    <t>compare by banks</t>
  </si>
  <si>
    <t>score1</t>
  </si>
  <si>
    <t>score2</t>
  </si>
  <si>
    <t>score3</t>
  </si>
  <si>
    <t>score4</t>
  </si>
  <si>
    <t>access user capacity to return</t>
  </si>
  <si>
    <t>mall</t>
  </si>
  <si>
    <t>school</t>
  </si>
  <si>
    <t>Rank (x)</t>
  </si>
  <si>
    <t>mrt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</si>
</sst>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44" formatCode="_(&quot;$&quot;* #,##0.00_);_(&quot;$&quot;* \(#,##0.00\);_(&quot;$&quot;* &quot;-&quot;??_);_(@_)"/>
    <numFmt numFmtId="164" formatCode="&quot;$&quot;#,##0.00"/>
    <numFmt numFmtId="165" formatCode="0.0000"/>
    <numFmt numFmtId="166" formatCode="&quot;$&quot;#,##0"/>
    <numFmt numFmtId="167" formatCode="0.00000%"/>
    <numFmt numFmtId="168" formatCode="0.0%"/>
    <numFmt numFmtId="169" formatCode="[$$-4809]#,##0.00"/>
    <numFmt numFmtId="170" formatCode="_([$$-409]* #,##0.00_);_([$$-409]* \(#,##0.00\);_([$$-409]* &quot;-&quot;??_);_(@_)"/>
  </numFmts>
  <fonts count="69">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rgb="FF0000FF"/>
      <name val="Calibri"/>
      <family val="2"/>
      <scheme val="minor"/>
    </font>
    <font>
      <sz val="10"/>
      <name val="Arial"/>
      <family val="2"/>
    </font>
    <font>
      <sz val="12"/>
      <color rgb="FFC00000"/>
      <name val="Calibri"/>
      <family val="2"/>
      <scheme val="minor"/>
    </font>
    <font>
      <b/>
      <sz val="18"/>
      <color theme="1"/>
      <name val="Calibri"/>
      <family val="2"/>
      <scheme val="minor"/>
    </font>
    <font>
      <sz val="12"/>
      <color rgb="FFFFFFFF"/>
      <name val="Calibri"/>
      <family val="2"/>
      <scheme val="minor"/>
    </font>
    <font>
      <i/>
      <sz val="10"/>
      <color indexed="16"/>
      <name val="Calibri"/>
      <family val="2"/>
      <scheme val="minor"/>
    </font>
    <font>
      <sz val="10"/>
      <color indexed="63"/>
      <name val="Calibri"/>
      <family val="2"/>
      <scheme val="minor"/>
    </font>
    <font>
      <sz val="12"/>
      <color rgb="FF00B050"/>
      <name val="Calibri"/>
      <family val="2"/>
      <scheme val="minor"/>
    </font>
    <font>
      <sz val="12"/>
      <color theme="0"/>
      <name val="Calibri"/>
      <family val="2"/>
      <scheme val="minor"/>
    </font>
    <font>
      <b/>
      <u/>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b/>
      <sz val="12"/>
      <name val="Calibri (Body)"/>
    </font>
    <font>
      <sz val="12"/>
      <color theme="1"/>
      <name val="Calibri (Body)"/>
    </font>
    <font>
      <sz val="8"/>
      <name val="Calibri"/>
      <family val="2"/>
      <scheme val="minor"/>
    </font>
    <font>
      <sz val="10"/>
      <color theme="0" tint="-0.499984740745262"/>
      <name val="Calibri"/>
      <family val="2"/>
      <scheme val="minor"/>
    </font>
    <font>
      <b/>
      <sz val="12"/>
      <color theme="1"/>
      <name val="Calibri (Body)"/>
    </font>
    <font>
      <b/>
      <sz val="12"/>
      <name val="Calibri"/>
      <family val="2"/>
    </font>
    <font>
      <b/>
      <sz val="12"/>
      <color rgb="FFFF0000"/>
      <name val="Calibri"/>
      <family val="2"/>
      <scheme val="minor"/>
    </font>
    <font>
      <b/>
      <sz val="16"/>
      <color theme="1"/>
      <name val="Calibri"/>
      <family val="2"/>
      <scheme val="minor"/>
    </font>
    <font>
      <u/>
      <sz val="12"/>
      <color theme="1"/>
      <name val="Calibri"/>
      <family val="2"/>
      <scheme val="minor"/>
    </font>
    <font>
      <u/>
      <sz val="16"/>
      <color theme="1"/>
      <name val="Calibri"/>
      <family val="2"/>
      <scheme val="minor"/>
    </font>
    <font>
      <sz val="12"/>
      <color theme="2" tint="-0.249977111117893"/>
      <name val="Calibri"/>
      <family val="2"/>
      <scheme val="minor"/>
    </font>
    <font>
      <u/>
      <sz val="12"/>
      <color theme="1"/>
      <name val="Calibri (Body)"/>
    </font>
    <font>
      <i/>
      <sz val="12"/>
      <color theme="1" tint="0.499984740745262"/>
      <name val="Calibri"/>
      <family val="2"/>
      <scheme val="minor"/>
    </font>
    <font>
      <b/>
      <i/>
      <sz val="12"/>
      <color rgb="FFC00000"/>
      <name val="Calibri"/>
      <family val="2"/>
      <scheme val="minor"/>
    </font>
    <font>
      <sz val="10"/>
      <color theme="1"/>
      <name val="Calibri"/>
      <family val="2"/>
      <scheme val="minor"/>
    </font>
    <font>
      <sz val="12"/>
      <color rgb="FF000000"/>
      <name val="Calibri"/>
      <family val="2"/>
      <scheme val="minor"/>
    </font>
    <font>
      <b/>
      <sz val="12"/>
      <color theme="0"/>
      <name val="Calibri"/>
      <family val="2"/>
      <scheme val="minor"/>
    </font>
    <font>
      <sz val="10"/>
      <color theme="2" tint="-0.249977111117893"/>
      <name val="Calibri"/>
      <family val="2"/>
      <scheme val="minor"/>
    </font>
    <font>
      <i/>
      <sz val="10"/>
      <color theme="2" tint="-0.249977111117893"/>
      <name val="Calibri"/>
      <family val="2"/>
      <scheme val="minor"/>
    </font>
    <font>
      <sz val="12"/>
      <color rgb="FF000000"/>
      <name val="Helvetica"/>
      <family val="2"/>
    </font>
    <font>
      <sz val="12"/>
      <color theme="0" tint="-0.249977111117893"/>
      <name val="Calibri"/>
      <family val="2"/>
      <scheme val="minor"/>
    </font>
    <font>
      <b/>
      <sz val="12"/>
      <color rgb="FF1515FF"/>
      <name val="Calibri"/>
      <family val="2"/>
      <scheme val="minor"/>
    </font>
    <font>
      <b/>
      <u/>
      <sz val="18"/>
      <color theme="1"/>
      <name val="Calibri"/>
      <family val="2"/>
      <scheme val="minor"/>
    </font>
    <font>
      <b/>
      <sz val="14"/>
      <color theme="1"/>
      <name val="Calibri"/>
      <family val="2"/>
      <scheme val="minor"/>
    </font>
    <font>
      <b/>
      <sz val="11"/>
      <color theme="4"/>
      <name val="Calibri"/>
      <family val="2"/>
      <scheme val="minor"/>
    </font>
    <font>
      <sz val="8"/>
      <color theme="1" tint="0.499984740745262"/>
      <name val="Calibri"/>
      <family val="2"/>
      <scheme val="minor"/>
    </font>
    <font>
      <sz val="8"/>
      <color rgb="FFFF0000"/>
      <name val="Calibri"/>
      <family val="2"/>
      <scheme val="minor"/>
    </font>
    <font>
      <b/>
      <sz val="11"/>
      <color theme="5"/>
      <name val="Calibri"/>
      <family val="2"/>
      <scheme val="minor"/>
    </font>
    <font>
      <b/>
      <sz val="11"/>
      <color theme="1"/>
      <name val="Calibri"/>
      <family val="2"/>
      <scheme val="minor"/>
    </font>
    <font>
      <sz val="11"/>
      <color rgb="FFFFFFFF"/>
      <name val="Courier New"/>
      <family val="3"/>
    </font>
    <font>
      <sz val="11"/>
      <color rgb="FF000000"/>
      <name val="Calibri"/>
      <family val="2"/>
    </font>
    <font>
      <i/>
      <sz val="12"/>
      <color rgb="FFC00000"/>
      <name val="Calibri"/>
      <family val="2"/>
      <scheme val="minor"/>
    </font>
    <font>
      <sz val="12"/>
      <color theme="5"/>
      <name val="Calibri"/>
      <family val="2"/>
      <scheme val="minor"/>
    </font>
    <font>
      <b/>
      <u/>
      <sz val="12"/>
      <color theme="1"/>
      <name val="Calibri (Body)"/>
    </font>
    <font>
      <sz val="9"/>
      <color rgb="FFFF0000"/>
      <name val="Calibri"/>
      <family val="2"/>
      <scheme val="minor"/>
    </font>
    <font>
      <sz val="12"/>
      <color theme="2" tint="-9.9978637043366805E-2"/>
      <name val="Calibri"/>
      <family val="2"/>
      <scheme val="minor"/>
    </font>
    <font>
      <sz val="12"/>
      <color theme="1" tint="0.34998626667073579"/>
      <name val="Calibri"/>
      <family val="2"/>
      <scheme val="minor"/>
    </font>
    <font>
      <sz val="9"/>
      <color theme="1" tint="0.499984740745262"/>
      <name val="Calibri"/>
      <family val="2"/>
      <scheme val="minor"/>
    </font>
    <font>
      <b/>
      <u/>
      <sz val="12"/>
      <color theme="0"/>
      <name val="Calibri"/>
      <family val="2"/>
      <scheme val="minor"/>
    </font>
    <font>
      <b/>
      <sz val="11"/>
      <color theme="0"/>
      <name val="Calibri"/>
      <family val="2"/>
      <scheme val="minor"/>
    </font>
    <font>
      <sz val="12"/>
      <color rgb="FF0070C0"/>
      <name val="Calibri"/>
      <family val="2"/>
      <scheme val="minor"/>
    </font>
    <font>
      <sz val="10"/>
      <color rgb="FFFF0000"/>
      <name val="Calibri"/>
      <family val="2"/>
      <scheme val="minor"/>
    </font>
    <font>
      <sz val="14"/>
      <color rgb="FF1515FF"/>
      <name val="Calibri"/>
      <family val="2"/>
      <scheme val="minor"/>
    </font>
    <font>
      <sz val="14"/>
      <color theme="1"/>
      <name val="Calibri"/>
      <family val="2"/>
      <scheme val="minor"/>
    </font>
    <font>
      <sz val="14"/>
      <color rgb="FFC00000"/>
      <name val="Calibri"/>
      <family val="2"/>
      <scheme val="minor"/>
    </font>
    <font>
      <sz val="14"/>
      <color rgb="FF00B050"/>
      <name val="Calibri"/>
      <family val="2"/>
      <scheme val="minor"/>
    </font>
    <font>
      <sz val="14"/>
      <color theme="5"/>
      <name val="Calibri"/>
      <family val="2"/>
      <scheme val="minor"/>
    </font>
    <font>
      <i/>
      <sz val="14"/>
      <color indexed="16"/>
      <name val="Calibri"/>
      <family val="2"/>
      <scheme val="minor"/>
    </font>
    <font>
      <sz val="14"/>
      <color indexed="63"/>
      <name val="Calibri"/>
      <family val="2"/>
      <scheme val="minor"/>
    </font>
    <font>
      <u/>
      <sz val="12"/>
      <color theme="0"/>
      <name val="Calibri"/>
      <family val="2"/>
      <scheme val="minor"/>
    </font>
    <font>
      <sz val="11"/>
      <color theme="0"/>
      <name val="Calibri"/>
      <family val="2"/>
      <scheme val="minor"/>
    </font>
    <font>
      <sz val="12"/>
      <color rgb="FF000000"/>
      <name val="Calibri"/>
      <family val="2"/>
    </font>
  </fonts>
  <fills count="21">
    <fill>
      <patternFill patternType="none"/>
    </fill>
    <fill>
      <patternFill patternType="gray125"/>
    </fill>
    <fill>
      <patternFill patternType="solid">
        <fgColor theme="1"/>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0"/>
        <bgColor indexed="64"/>
      </patternFill>
    </fill>
    <fill>
      <patternFill patternType="solid">
        <fgColor rgb="FFFFC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E9FF"/>
        <bgColor indexed="64"/>
      </patternFill>
    </fill>
    <fill>
      <patternFill patternType="solid">
        <fgColor theme="4" tint="0.79998168889431442"/>
        <bgColor indexed="64"/>
      </patternFill>
    </fill>
    <fill>
      <patternFill patternType="solid">
        <fgColor rgb="FFFFFFCC"/>
        <bgColor indexed="64"/>
      </patternFill>
    </fill>
    <fill>
      <patternFill patternType="solid">
        <fgColor rgb="FFFFFF99"/>
        <bgColor indexed="64"/>
      </patternFill>
    </fill>
    <fill>
      <patternFill patternType="solid">
        <fgColor theme="9" tint="0.39997558519241921"/>
        <bgColor indexed="64"/>
      </patternFill>
    </fill>
    <fill>
      <patternFill patternType="solid">
        <fgColor rgb="FF92D050"/>
        <bgColor indexed="64"/>
      </patternFill>
    </fill>
    <fill>
      <patternFill patternType="solid">
        <fgColor theme="8" tint="0.39997558519241921"/>
        <bgColor indexed="64"/>
      </patternFill>
    </fill>
    <fill>
      <patternFill patternType="solid">
        <fgColor rgb="FF9BC2E6"/>
        <bgColor rgb="FF000000"/>
      </patternFill>
    </fill>
    <fill>
      <patternFill patternType="solid">
        <fgColor theme="5" tint="0.59999389629810485"/>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theme="4"/>
      </left>
      <right style="thin">
        <color indexed="64"/>
      </right>
      <top style="medium">
        <color theme="4"/>
      </top>
      <bottom style="medium">
        <color theme="4"/>
      </bottom>
      <diagonal/>
    </border>
    <border>
      <left style="thin">
        <color indexed="64"/>
      </left>
      <right style="thin">
        <color indexed="64"/>
      </right>
      <top style="medium">
        <color theme="4"/>
      </top>
      <bottom style="medium">
        <color theme="4"/>
      </bottom>
      <diagonal/>
    </border>
    <border>
      <left style="thin">
        <color indexed="64"/>
      </left>
      <right style="medium">
        <color theme="4"/>
      </right>
      <top style="medium">
        <color theme="4"/>
      </top>
      <bottom style="medium">
        <color theme="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style="medium">
        <color theme="4"/>
      </left>
      <right style="thin">
        <color theme="4"/>
      </right>
      <top style="medium">
        <color theme="4"/>
      </top>
      <bottom style="medium">
        <color theme="4"/>
      </bottom>
      <diagonal/>
    </border>
    <border>
      <left style="thin">
        <color theme="4"/>
      </left>
      <right style="medium">
        <color theme="4"/>
      </right>
      <top style="medium">
        <color theme="4"/>
      </top>
      <bottom style="medium">
        <color theme="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000000"/>
      </left>
      <right/>
      <top style="thin">
        <color rgb="FF000000"/>
      </top>
      <bottom/>
      <diagonal/>
    </border>
  </borders>
  <cellStyleXfs count="9">
    <xf numFmtId="0" fontId="0" fillId="0" borderId="0"/>
    <xf numFmtId="0" fontId="5" fillId="0" borderId="0"/>
    <xf numFmtId="44" fontId="14" fillId="0" borderId="0" applyFont="0" applyFill="0" applyBorder="0" applyAlignment="0" applyProtection="0"/>
    <xf numFmtId="9" fontId="14" fillId="0" borderId="0" applyFont="0" applyFill="0" applyBorder="0" applyAlignment="0" applyProtection="0"/>
    <xf numFmtId="0" fontId="3" fillId="0" borderId="0"/>
    <xf numFmtId="9" fontId="3" fillId="0" borderId="0" applyFont="0" applyFill="0" applyBorder="0" applyAlignment="0" applyProtection="0"/>
    <xf numFmtId="0" fontId="2" fillId="0" borderId="0"/>
    <xf numFmtId="0" fontId="14" fillId="0" borderId="0"/>
    <xf numFmtId="9" fontId="2" fillId="0" borderId="0" applyFont="0" applyFill="0" applyBorder="0" applyAlignment="0" applyProtection="0"/>
  </cellStyleXfs>
  <cellXfs count="294">
    <xf numFmtId="0" fontId="0" fillId="0" borderId="0" xfId="0"/>
    <xf numFmtId="0" fontId="0" fillId="2" borderId="0" xfId="0" applyFill="1"/>
    <xf numFmtId="0" fontId="4" fillId="0" borderId="0" xfId="0" applyFont="1" applyAlignment="1">
      <alignment horizontal="left" vertical="center" readingOrder="1"/>
    </xf>
    <xf numFmtId="0" fontId="6" fillId="0" borderId="0" xfId="0" applyFont="1"/>
    <xf numFmtId="0" fontId="7" fillId="0" borderId="0" xfId="0" applyFont="1"/>
    <xf numFmtId="0" fontId="8" fillId="2" borderId="0" xfId="0" applyFont="1" applyFill="1" applyAlignment="1">
      <alignment horizontal="center"/>
    </xf>
    <xf numFmtId="0" fontId="9" fillId="0" borderId="0" xfId="1" applyFont="1"/>
    <xf numFmtId="0" fontId="10" fillId="0" borderId="0" xfId="1" applyFont="1"/>
    <xf numFmtId="0" fontId="10" fillId="0" borderId="0" xfId="1" quotePrefix="1" applyFont="1"/>
    <xf numFmtId="0" fontId="11" fillId="0" borderId="0" xfId="0" applyFont="1"/>
    <xf numFmtId="0" fontId="13" fillId="0" borderId="0" xfId="0" applyFont="1"/>
    <xf numFmtId="164" fontId="0" fillId="0" borderId="1" xfId="0" applyNumberFormat="1" applyBorder="1" applyAlignment="1">
      <alignment horizontal="center" vertical="center"/>
    </xf>
    <xf numFmtId="0" fontId="12" fillId="2" borderId="1" xfId="0" applyFont="1" applyFill="1" applyBorder="1" applyAlignment="1">
      <alignment horizontal="center" vertical="center"/>
    </xf>
    <xf numFmtId="0" fontId="0" fillId="0" borderId="0" xfId="0" applyAlignment="1">
      <alignment horizontal="center"/>
    </xf>
    <xf numFmtId="0" fontId="15" fillId="0" borderId="0" xfId="0" applyFont="1" applyAlignment="1">
      <alignment horizontal="center"/>
    </xf>
    <xf numFmtId="0" fontId="0" fillId="0" borderId="0" xfId="0" applyAlignment="1">
      <alignment horizontal="left"/>
    </xf>
    <xf numFmtId="0" fontId="0" fillId="0" borderId="0" xfId="0" applyAlignment="1">
      <alignment horizontal="center" vertical="center"/>
    </xf>
    <xf numFmtId="0" fontId="0" fillId="0" borderId="0" xfId="0" applyAlignment="1">
      <alignment vertical="center" wrapText="1"/>
    </xf>
    <xf numFmtId="0" fontId="16" fillId="0" borderId="0" xfId="0" applyFont="1"/>
    <xf numFmtId="0" fontId="16" fillId="0" borderId="1" xfId="0" applyFont="1" applyBorder="1" applyAlignment="1">
      <alignment horizontal="center"/>
    </xf>
    <xf numFmtId="0" fontId="0" fillId="0" borderId="1" xfId="0" applyBorder="1" applyAlignment="1">
      <alignment horizontal="center"/>
    </xf>
    <xf numFmtId="0" fontId="17" fillId="0" borderId="1" xfId="0" applyFont="1" applyBorder="1" applyAlignment="1">
      <alignment horizontal="center" vertical="center"/>
    </xf>
    <xf numFmtId="0" fontId="18" fillId="0" borderId="1" xfId="0" applyFont="1" applyBorder="1" applyAlignment="1">
      <alignment horizontal="center" vertical="center"/>
    </xf>
    <xf numFmtId="165" fontId="0" fillId="0" borderId="1" xfId="0" applyNumberFormat="1" applyBorder="1" applyAlignment="1">
      <alignment horizontal="center"/>
    </xf>
    <xf numFmtId="165" fontId="18" fillId="0" borderId="1" xfId="0" applyNumberFormat="1" applyFont="1" applyBorder="1" applyAlignment="1">
      <alignment horizontal="center" vertical="center"/>
    </xf>
    <xf numFmtId="49" fontId="0" fillId="0" borderId="0" xfId="0" applyNumberFormat="1"/>
    <xf numFmtId="49" fontId="16" fillId="0" borderId="1" xfId="0" applyNumberFormat="1" applyFont="1" applyBorder="1" applyAlignment="1">
      <alignment horizontal="center"/>
    </xf>
    <xf numFmtId="49" fontId="0" fillId="0" borderId="1" xfId="0" applyNumberFormat="1" applyBorder="1" applyAlignment="1">
      <alignment horizontal="center"/>
    </xf>
    <xf numFmtId="164" fontId="0" fillId="0" borderId="0" xfId="0" applyNumberFormat="1" applyAlignment="1">
      <alignment horizontal="center"/>
    </xf>
    <xf numFmtId="0" fontId="20" fillId="0" borderId="0" xfId="0" applyFont="1" applyAlignment="1">
      <alignment horizontal="center"/>
    </xf>
    <xf numFmtId="0" fontId="17" fillId="0" borderId="2" xfId="0" applyFont="1" applyBorder="1" applyAlignment="1">
      <alignment horizontal="center" vertical="center"/>
    </xf>
    <xf numFmtId="0" fontId="21" fillId="0" borderId="1" xfId="0" applyFont="1" applyBorder="1" applyAlignment="1">
      <alignment horizontal="center"/>
    </xf>
    <xf numFmtId="0" fontId="17" fillId="0" borderId="3" xfId="0" applyFont="1" applyBorder="1" applyAlignment="1">
      <alignment horizontal="center" vertical="center"/>
    </xf>
    <xf numFmtId="49" fontId="17" fillId="0" borderId="1" xfId="0" applyNumberFormat="1" applyFont="1" applyBorder="1" applyAlignment="1">
      <alignment horizontal="center" vertical="center"/>
    </xf>
    <xf numFmtId="0" fontId="22" fillId="0" borderId="1" xfId="0" applyFont="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165" fontId="0" fillId="0" borderId="1" xfId="0" applyNumberFormat="1" applyBorder="1" applyAlignment="1">
      <alignment horizontal="center" vertical="center"/>
    </xf>
    <xf numFmtId="1" fontId="0" fillId="0" borderId="1" xfId="0" applyNumberFormat="1" applyBorder="1" applyAlignment="1">
      <alignment horizontal="center"/>
    </xf>
    <xf numFmtId="0" fontId="23" fillId="0" borderId="0" xfId="0" applyFont="1"/>
    <xf numFmtId="0" fontId="24" fillId="0" borderId="0" xfId="0" applyFont="1" applyAlignment="1">
      <alignment horizontal="center"/>
    </xf>
    <xf numFmtId="0" fontId="25" fillId="0" borderId="0" xfId="0" applyFont="1"/>
    <xf numFmtId="44" fontId="0" fillId="4" borderId="0" xfId="2" applyFont="1" applyFill="1"/>
    <xf numFmtId="0" fontId="26" fillId="0" borderId="0" xfId="0" applyFont="1"/>
    <xf numFmtId="0" fontId="15" fillId="0" borderId="0" xfId="0" applyFont="1"/>
    <xf numFmtId="0" fontId="27" fillId="0" borderId="0" xfId="0" applyFont="1"/>
    <xf numFmtId="0" fontId="0" fillId="0" borderId="0" xfId="0" applyAlignment="1">
      <alignment vertical="center"/>
    </xf>
    <xf numFmtId="0" fontId="0" fillId="6" borderId="0" xfId="0" applyFill="1" applyAlignment="1">
      <alignment vertical="center" wrapText="1"/>
    </xf>
    <xf numFmtId="0" fontId="0" fillId="6" borderId="0" xfId="0" applyFill="1" applyAlignment="1">
      <alignment vertical="center"/>
    </xf>
    <xf numFmtId="3" fontId="0" fillId="0" borderId="0" xfId="0" applyNumberFormat="1"/>
    <xf numFmtId="164" fontId="0" fillId="0" borderId="1" xfId="0" applyNumberFormat="1" applyBorder="1" applyAlignment="1">
      <alignment horizontal="center"/>
    </xf>
    <xf numFmtId="6" fontId="0" fillId="0" borderId="0" xfId="0" applyNumberFormat="1"/>
    <xf numFmtId="6" fontId="0" fillId="0" borderId="1" xfId="0" applyNumberFormat="1" applyBorder="1" applyAlignment="1">
      <alignment horizontal="center" vertical="center"/>
    </xf>
    <xf numFmtId="44" fontId="0" fillId="0" borderId="0" xfId="2" applyFont="1"/>
    <xf numFmtId="0" fontId="0" fillId="0" borderId="0" xfId="0" applyAlignment="1">
      <alignment horizontal="center" vertical="center" wrapText="1"/>
    </xf>
    <xf numFmtId="0" fontId="29" fillId="0" borderId="0" xfId="0" applyFont="1" applyAlignment="1">
      <alignment horizontal="left"/>
    </xf>
    <xf numFmtId="0" fontId="30" fillId="0" borderId="0" xfId="0" applyFont="1"/>
    <xf numFmtId="166" fontId="0" fillId="0" borderId="1" xfId="0" applyNumberFormat="1" applyBorder="1" applyAlignment="1">
      <alignment horizontal="center"/>
    </xf>
    <xf numFmtId="0" fontId="12" fillId="0" borderId="0" xfId="0" applyFont="1"/>
    <xf numFmtId="165" fontId="0" fillId="0" borderId="0" xfId="0" applyNumberFormat="1"/>
    <xf numFmtId="1" fontId="0" fillId="0" borderId="0" xfId="0" applyNumberFormat="1"/>
    <xf numFmtId="165" fontId="0" fillId="0" borderId="0" xfId="0" applyNumberFormat="1" applyAlignment="1">
      <alignment horizontal="center"/>
    </xf>
    <xf numFmtId="0" fontId="31" fillId="0" borderId="0" xfId="0" applyFont="1" applyAlignment="1">
      <alignment horizontal="center"/>
    </xf>
    <xf numFmtId="2" fontId="0" fillId="0" borderId="0" xfId="0" applyNumberFormat="1" applyAlignment="1">
      <alignment horizontal="center"/>
    </xf>
    <xf numFmtId="0" fontId="16" fillId="0" borderId="4" xfId="0" applyFont="1" applyBorder="1" applyAlignment="1">
      <alignment horizontal="center"/>
    </xf>
    <xf numFmtId="0" fontId="16" fillId="0" borderId="0" xfId="0" applyFont="1" applyAlignment="1">
      <alignment horizontal="left"/>
    </xf>
    <xf numFmtId="167" fontId="0" fillId="0" borderId="1" xfId="3" applyNumberFormat="1" applyFont="1" applyBorder="1" applyAlignment="1">
      <alignment horizontal="center"/>
    </xf>
    <xf numFmtId="0" fontId="17" fillId="0" borderId="0" xfId="0" applyFont="1" applyAlignment="1">
      <alignment horizontal="center" vertical="center"/>
    </xf>
    <xf numFmtId="0" fontId="16" fillId="0" borderId="0" xfId="0" applyFont="1" applyAlignment="1">
      <alignment horizontal="right"/>
    </xf>
    <xf numFmtId="3" fontId="0" fillId="0" borderId="1" xfId="0" applyNumberFormat="1" applyBorder="1" applyAlignment="1">
      <alignment horizontal="center" vertical="center"/>
    </xf>
    <xf numFmtId="0" fontId="33" fillId="2" borderId="1" xfId="0" applyFont="1" applyFill="1" applyBorder="1" applyAlignment="1">
      <alignment horizontal="center" vertical="center"/>
    </xf>
    <xf numFmtId="0" fontId="36" fillId="0" borderId="0" xfId="0" applyFont="1"/>
    <xf numFmtId="0" fontId="37" fillId="7" borderId="0" xfId="0" applyFont="1" applyFill="1"/>
    <xf numFmtId="0" fontId="37" fillId="0" borderId="0" xfId="0" applyFont="1"/>
    <xf numFmtId="44" fontId="0" fillId="8" borderId="0" xfId="2" applyFont="1" applyFill="1"/>
    <xf numFmtId="0" fontId="38" fillId="0" borderId="0" xfId="0" applyFont="1" applyAlignment="1">
      <alignment horizontal="left" vertical="center"/>
    </xf>
    <xf numFmtId="0" fontId="38" fillId="0" borderId="0" xfId="0" applyFont="1" applyAlignment="1">
      <alignment horizontal="right" vertical="center"/>
    </xf>
    <xf numFmtId="0" fontId="39" fillId="0" borderId="0" xfId="0" applyFont="1"/>
    <xf numFmtId="1" fontId="0" fillId="0" borderId="1" xfId="0" applyNumberFormat="1" applyBorder="1" applyAlignment="1">
      <alignment horizontal="center" vertical="center"/>
    </xf>
    <xf numFmtId="164" fontId="0" fillId="0" borderId="1" xfId="2" applyNumberFormat="1" applyFont="1" applyBorder="1" applyAlignment="1">
      <alignment horizontal="center" vertical="center"/>
    </xf>
    <xf numFmtId="0" fontId="33" fillId="2" borderId="1" xfId="0" applyFont="1" applyFill="1" applyBorder="1" applyAlignment="1">
      <alignment horizontal="center"/>
    </xf>
    <xf numFmtId="0" fontId="33" fillId="2" borderId="3" xfId="0" applyFont="1" applyFill="1" applyBorder="1" applyAlignment="1">
      <alignment horizontal="center" vertical="center"/>
    </xf>
    <xf numFmtId="0" fontId="0" fillId="10" borderId="1" xfId="0" applyFill="1" applyBorder="1" applyAlignment="1">
      <alignment horizontal="center"/>
    </xf>
    <xf numFmtId="0" fontId="0" fillId="9" borderId="1" xfId="0" applyFill="1" applyBorder="1" applyAlignment="1">
      <alignment horizontal="center"/>
    </xf>
    <xf numFmtId="0" fontId="0" fillId="11" borderId="1" xfId="0" applyFill="1" applyBorder="1" applyAlignment="1">
      <alignment horizontal="center"/>
    </xf>
    <xf numFmtId="0" fontId="35" fillId="0" borderId="0" xfId="0" applyFont="1" applyAlignment="1">
      <alignment horizontal="center"/>
    </xf>
    <xf numFmtId="9" fontId="34" fillId="0" borderId="0" xfId="0" applyNumberFormat="1" applyFont="1" applyAlignment="1">
      <alignment horizontal="center"/>
    </xf>
    <xf numFmtId="164" fontId="0" fillId="0" borderId="0" xfId="0" applyNumberFormat="1"/>
    <xf numFmtId="0" fontId="40" fillId="0" borderId="0" xfId="0" applyFont="1"/>
    <xf numFmtId="0" fontId="0" fillId="9" borderId="1" xfId="0" applyFill="1" applyBorder="1" applyAlignment="1">
      <alignment horizontal="center" wrapText="1"/>
    </xf>
    <xf numFmtId="164" fontId="0" fillId="0" borderId="1" xfId="2" applyNumberFormat="1" applyFont="1" applyBorder="1" applyAlignment="1">
      <alignment horizontal="center"/>
    </xf>
    <xf numFmtId="0" fontId="33" fillId="2" borderId="1" xfId="0" applyFont="1" applyFill="1" applyBorder="1" applyAlignment="1">
      <alignment horizontal="center" vertical="center" wrapText="1"/>
    </xf>
    <xf numFmtId="0" fontId="33" fillId="2" borderId="3" xfId="0" applyFont="1" applyFill="1" applyBorder="1" applyAlignment="1">
      <alignment horizontal="center" vertical="center" wrapText="1"/>
    </xf>
    <xf numFmtId="0" fontId="16" fillId="0" borderId="0" xfId="6" applyFont="1"/>
    <xf numFmtId="0" fontId="2" fillId="0" borderId="0" xfId="6"/>
    <xf numFmtId="0" fontId="46" fillId="0" borderId="0" xfId="6" applyFont="1"/>
    <xf numFmtId="0" fontId="2" fillId="0" borderId="0" xfId="6" applyAlignment="1">
      <alignment horizontal="center"/>
    </xf>
    <xf numFmtId="0" fontId="40" fillId="0" borderId="0" xfId="6" applyFont="1"/>
    <xf numFmtId="0" fontId="2" fillId="5" borderId="1" xfId="6" applyFill="1" applyBorder="1" applyAlignment="1">
      <alignment horizontal="center" vertical="center" wrapText="1"/>
    </xf>
    <xf numFmtId="0" fontId="2" fillId="0" borderId="1" xfId="6" applyBorder="1" applyAlignment="1">
      <alignment horizontal="center" vertical="center"/>
    </xf>
    <xf numFmtId="9" fontId="2" fillId="0" borderId="1" xfId="6" applyNumberFormat="1" applyBorder="1" applyAlignment="1">
      <alignment horizontal="center" vertical="center"/>
    </xf>
    <xf numFmtId="0" fontId="2" fillId="0" borderId="0" xfId="6" applyAlignment="1">
      <alignment horizontal="center" vertical="center"/>
    </xf>
    <xf numFmtId="9" fontId="2" fillId="0" borderId="0" xfId="6" applyNumberFormat="1" applyAlignment="1">
      <alignment horizontal="center" vertical="center"/>
    </xf>
    <xf numFmtId="0" fontId="2" fillId="0" borderId="0" xfId="6" applyAlignment="1">
      <alignment vertical="center"/>
    </xf>
    <xf numFmtId="10" fontId="2" fillId="0" borderId="1" xfId="6" applyNumberFormat="1" applyBorder="1" applyAlignment="1">
      <alignment vertical="center"/>
    </xf>
    <xf numFmtId="0" fontId="2" fillId="15" borderId="1" xfId="6" applyFill="1" applyBorder="1" applyAlignment="1">
      <alignment horizontal="center" vertical="center"/>
    </xf>
    <xf numFmtId="10" fontId="2" fillId="0" borderId="1" xfId="6" applyNumberFormat="1" applyBorder="1" applyAlignment="1">
      <alignment horizontal="center"/>
    </xf>
    <xf numFmtId="0" fontId="2" fillId="16" borderId="1" xfId="6" applyFill="1" applyBorder="1"/>
    <xf numFmtId="0" fontId="2" fillId="0" borderId="1" xfId="6" applyBorder="1"/>
    <xf numFmtId="6" fontId="2" fillId="0" borderId="1" xfId="6" applyNumberFormat="1" applyBorder="1"/>
    <xf numFmtId="0" fontId="2" fillId="0" borderId="1" xfId="6" applyBorder="1" applyAlignment="1">
      <alignment horizontal="center"/>
    </xf>
    <xf numFmtId="9" fontId="0" fillId="0" borderId="1" xfId="8" applyFont="1" applyBorder="1" applyAlignment="1">
      <alignment horizontal="center"/>
    </xf>
    <xf numFmtId="0" fontId="41" fillId="0" borderId="0" xfId="6" applyFont="1"/>
    <xf numFmtId="9" fontId="2" fillId="0" borderId="1" xfId="6" applyNumberFormat="1" applyBorder="1" applyAlignment="1">
      <alignment horizontal="center"/>
    </xf>
    <xf numFmtId="0" fontId="42" fillId="0" borderId="0" xfId="6" applyFont="1"/>
    <xf numFmtId="0" fontId="43" fillId="0" borderId="0" xfId="6" applyFont="1" applyAlignment="1">
      <alignment horizontal="left"/>
    </xf>
    <xf numFmtId="0" fontId="44" fillId="0" borderId="0" xfId="6" applyFont="1"/>
    <xf numFmtId="0" fontId="2" fillId="0" borderId="0" xfId="6" applyAlignment="1">
      <alignment horizontal="center" vertical="center" wrapText="1"/>
    </xf>
    <xf numFmtId="168" fontId="2" fillId="0" borderId="1" xfId="6" applyNumberFormat="1" applyBorder="1" applyAlignment="1">
      <alignment horizontal="center" vertical="center"/>
    </xf>
    <xf numFmtId="0" fontId="43" fillId="0" borderId="0" xfId="6" applyFont="1"/>
    <xf numFmtId="8" fontId="2" fillId="0" borderId="0" xfId="6" applyNumberFormat="1"/>
    <xf numFmtId="8" fontId="2" fillId="0" borderId="0" xfId="6" applyNumberFormat="1" applyAlignment="1">
      <alignment horizontal="center"/>
    </xf>
    <xf numFmtId="0" fontId="2" fillId="0" borderId="0" xfId="6" applyAlignment="1">
      <alignment horizontal="left"/>
    </xf>
    <xf numFmtId="0" fontId="0" fillId="0" borderId="1" xfId="0" applyBorder="1" applyAlignment="1">
      <alignment horizontal="center" vertical="center" wrapText="1"/>
    </xf>
    <xf numFmtId="0" fontId="0" fillId="0" borderId="4" xfId="0" applyBorder="1" applyAlignment="1">
      <alignment horizontal="center" vertical="center" wrapText="1"/>
    </xf>
    <xf numFmtId="169" fontId="0" fillId="0" borderId="1" xfId="0" applyNumberFormat="1" applyBorder="1" applyAlignment="1">
      <alignment horizontal="center"/>
    </xf>
    <xf numFmtId="0" fontId="2" fillId="0" borderId="8" xfId="6" applyBorder="1"/>
    <xf numFmtId="8" fontId="0" fillId="0" borderId="1" xfId="0" applyNumberFormat="1" applyBorder="1" applyAlignment="1">
      <alignment horizontal="center"/>
    </xf>
    <xf numFmtId="8" fontId="47" fillId="0" borderId="14" xfId="0" applyNumberFormat="1" applyFont="1" applyBorder="1" applyAlignment="1">
      <alignment horizontal="center"/>
    </xf>
    <xf numFmtId="0" fontId="2" fillId="0" borderId="16" xfId="6" applyBorder="1" applyAlignment="1">
      <alignment horizontal="center"/>
    </xf>
    <xf numFmtId="0" fontId="2" fillId="0" borderId="14" xfId="6" applyBorder="1" applyAlignment="1">
      <alignment horizontal="center"/>
    </xf>
    <xf numFmtId="0" fontId="47" fillId="16" borderId="18" xfId="0" applyFont="1" applyFill="1" applyBorder="1" applyAlignment="1">
      <alignment horizontal="left"/>
    </xf>
    <xf numFmtId="1" fontId="2" fillId="0" borderId="18" xfId="6" applyNumberFormat="1" applyBorder="1" applyAlignment="1">
      <alignment horizontal="center"/>
    </xf>
    <xf numFmtId="0" fontId="1" fillId="0" borderId="0" xfId="6" applyFont="1"/>
    <xf numFmtId="1" fontId="42" fillId="0" borderId="0" xfId="6" applyNumberFormat="1" applyFont="1"/>
    <xf numFmtId="9" fontId="1" fillId="0" borderId="1" xfId="0" applyNumberFormat="1" applyFont="1" applyBorder="1" applyAlignment="1">
      <alignment horizontal="center"/>
    </xf>
    <xf numFmtId="0" fontId="48" fillId="0" borderId="0" xfId="0" applyFont="1"/>
    <xf numFmtId="0" fontId="49" fillId="0" borderId="0" xfId="0" applyFont="1"/>
    <xf numFmtId="0" fontId="38" fillId="0" borderId="1" xfId="0" applyFont="1" applyBorder="1" applyAlignment="1">
      <alignment horizontal="center" vertical="center"/>
    </xf>
    <xf numFmtId="0" fontId="0" fillId="12" borderId="1" xfId="0" applyFill="1" applyBorder="1" applyAlignment="1">
      <alignment horizontal="center" vertical="center" wrapText="1"/>
    </xf>
    <xf numFmtId="0" fontId="0" fillId="0" borderId="0" xfId="0" applyAlignment="1">
      <alignment horizontal="center" wrapText="1"/>
    </xf>
    <xf numFmtId="0" fontId="51" fillId="0" borderId="0" xfId="0" applyFont="1"/>
    <xf numFmtId="44" fontId="52" fillId="0" borderId="0" xfId="2" applyFont="1"/>
    <xf numFmtId="0" fontId="40" fillId="19" borderId="0" xfId="0" applyFont="1" applyFill="1"/>
    <xf numFmtId="0" fontId="0" fillId="19" borderId="0" xfId="0" applyFill="1"/>
    <xf numFmtId="0" fontId="16" fillId="19" borderId="0" xfId="0" applyFont="1" applyFill="1"/>
    <xf numFmtId="0" fontId="0" fillId="0" borderId="14" xfId="0" applyBorder="1" applyAlignment="1">
      <alignment horizontal="center" vertical="center"/>
    </xf>
    <xf numFmtId="0" fontId="0" fillId="9" borderId="4" xfId="0" applyFill="1" applyBorder="1" applyAlignment="1">
      <alignment horizontal="center" wrapText="1"/>
    </xf>
    <xf numFmtId="0" fontId="0" fillId="0" borderId="4" xfId="0" applyBorder="1" applyAlignment="1">
      <alignment horizontal="center" vertical="center"/>
    </xf>
    <xf numFmtId="0" fontId="0" fillId="9" borderId="15" xfId="0" applyFill="1" applyBorder="1" applyAlignment="1">
      <alignment horizontal="center" wrapText="1"/>
    </xf>
    <xf numFmtId="0" fontId="53" fillId="0" borderId="0" xfId="0" applyFont="1"/>
    <xf numFmtId="0" fontId="17" fillId="0" borderId="19" xfId="0" applyFont="1" applyBorder="1" applyAlignment="1">
      <alignment horizontal="center" vertical="center"/>
    </xf>
    <xf numFmtId="0" fontId="0" fillId="0" borderId="1" xfId="0" applyBorder="1" applyAlignment="1">
      <alignment horizontal="center" wrapText="1"/>
    </xf>
    <xf numFmtId="0" fontId="45" fillId="5" borderId="15" xfId="6" applyFont="1" applyFill="1" applyBorder="1" applyAlignment="1">
      <alignment horizontal="center"/>
    </xf>
    <xf numFmtId="164" fontId="2" fillId="0" borderId="14" xfId="6" applyNumberFormat="1" applyBorder="1" applyAlignment="1">
      <alignment horizontal="center"/>
    </xf>
    <xf numFmtId="0" fontId="16" fillId="0" borderId="1" xfId="0" applyFont="1" applyBorder="1" applyAlignment="1">
      <alignment horizontal="right"/>
    </xf>
    <xf numFmtId="0" fontId="32" fillId="0" borderId="1" xfId="0" applyFont="1" applyBorder="1" applyAlignment="1">
      <alignment horizontal="center"/>
    </xf>
    <xf numFmtId="0" fontId="2" fillId="0" borderId="2" xfId="6" applyBorder="1" applyAlignment="1">
      <alignment horizontal="center"/>
    </xf>
    <xf numFmtId="0" fontId="1" fillId="0" borderId="2" xfId="6" applyFont="1" applyBorder="1" applyAlignment="1">
      <alignment horizontal="center"/>
    </xf>
    <xf numFmtId="1" fontId="54" fillId="0" borderId="0" xfId="0" applyNumberFormat="1" applyFont="1"/>
    <xf numFmtId="0" fontId="54" fillId="0" borderId="0" xfId="0" applyFont="1"/>
    <xf numFmtId="0" fontId="2" fillId="20" borderId="14" xfId="6" applyFill="1" applyBorder="1"/>
    <xf numFmtId="44" fontId="0" fillId="0" borderId="1" xfId="2" applyFont="1" applyBorder="1" applyAlignment="1">
      <alignment horizontal="center" vertical="center"/>
    </xf>
    <xf numFmtId="44" fontId="0" fillId="8" borderId="1" xfId="2" applyFont="1" applyFill="1" applyBorder="1" applyAlignment="1">
      <alignment horizontal="center" vertical="center"/>
    </xf>
    <xf numFmtId="0" fontId="45" fillId="5" borderId="20" xfId="6" applyFont="1" applyFill="1" applyBorder="1" applyAlignment="1">
      <alignment horizontal="center"/>
    </xf>
    <xf numFmtId="0" fontId="45" fillId="5" borderId="1" xfId="6" applyFont="1" applyFill="1" applyBorder="1" applyAlignment="1">
      <alignment horizontal="center"/>
    </xf>
    <xf numFmtId="0" fontId="45" fillId="5" borderId="4" xfId="6" applyFont="1" applyFill="1" applyBorder="1" applyAlignment="1">
      <alignment horizontal="center"/>
    </xf>
    <xf numFmtId="0" fontId="0" fillId="8" borderId="0" xfId="0" applyFill="1" applyAlignment="1">
      <alignment horizontal="left" vertical="center" readingOrder="1"/>
    </xf>
    <xf numFmtId="0" fontId="45" fillId="8" borderId="1" xfId="6" applyFont="1" applyFill="1" applyBorder="1" applyAlignment="1">
      <alignment horizontal="center"/>
    </xf>
    <xf numFmtId="0" fontId="33" fillId="2" borderId="1" xfId="6" applyFont="1" applyFill="1" applyBorder="1" applyAlignment="1">
      <alignment horizontal="center"/>
    </xf>
    <xf numFmtId="0" fontId="33" fillId="2" borderId="2" xfId="6" applyFont="1" applyFill="1" applyBorder="1" applyAlignment="1">
      <alignment horizontal="center"/>
    </xf>
    <xf numFmtId="0" fontId="33" fillId="2" borderId="2" xfId="6" applyFont="1" applyFill="1" applyBorder="1" applyAlignment="1">
      <alignment horizontal="center" wrapText="1"/>
    </xf>
    <xf numFmtId="0" fontId="56" fillId="2" borderId="1" xfId="6" applyFont="1" applyFill="1" applyBorder="1" applyAlignment="1">
      <alignment horizontal="center" vertical="center" wrapText="1"/>
    </xf>
    <xf numFmtId="0" fontId="47" fillId="0" borderId="8" xfId="0" applyFont="1" applyBorder="1" applyAlignment="1">
      <alignment horizontal="center" vertical="center"/>
    </xf>
    <xf numFmtId="164" fontId="0" fillId="0" borderId="1" xfId="0" applyNumberFormat="1" applyBorder="1" applyAlignment="1">
      <alignment horizontal="center" vertical="center" wrapText="1"/>
    </xf>
    <xf numFmtId="9" fontId="0" fillId="0" borderId="0" xfId="0" applyNumberFormat="1"/>
    <xf numFmtId="170" fontId="2" fillId="0" borderId="14" xfId="6" applyNumberFormat="1" applyBorder="1" applyAlignment="1">
      <alignment horizontal="center"/>
    </xf>
    <xf numFmtId="170" fontId="2" fillId="0" borderId="18" xfId="6" applyNumberFormat="1" applyBorder="1" applyAlignment="1">
      <alignment horizontal="center"/>
    </xf>
    <xf numFmtId="170" fontId="1" fillId="0" borderId="1" xfId="0" applyNumberFormat="1" applyFont="1" applyBorder="1" applyAlignment="1">
      <alignment horizontal="center"/>
    </xf>
    <xf numFmtId="170" fontId="1" fillId="0" borderId="4" xfId="0" applyNumberFormat="1" applyFont="1" applyBorder="1" applyAlignment="1">
      <alignment horizontal="center"/>
    </xf>
    <xf numFmtId="0" fontId="16" fillId="0" borderId="1" xfId="0" applyFont="1" applyBorder="1"/>
    <xf numFmtId="9" fontId="0" fillId="0" borderId="0" xfId="0" applyNumberFormat="1" applyAlignment="1">
      <alignment horizontal="center"/>
    </xf>
    <xf numFmtId="0" fontId="32" fillId="0" borderId="0" xfId="0" applyFont="1" applyAlignment="1">
      <alignment horizontal="left" vertical="center" readingOrder="1"/>
    </xf>
    <xf numFmtId="0" fontId="32" fillId="0" borderId="0" xfId="0" applyFont="1"/>
    <xf numFmtId="0" fontId="57" fillId="0" borderId="0" xfId="0" applyFont="1"/>
    <xf numFmtId="0" fontId="0" fillId="10" borderId="1" xfId="0" applyFill="1" applyBorder="1" applyAlignment="1">
      <alignment horizontal="center" wrapText="1"/>
    </xf>
    <xf numFmtId="164" fontId="0" fillId="0" borderId="3" xfId="0" applyNumberFormat="1" applyBorder="1" applyAlignment="1">
      <alignment horizontal="center" vertical="center"/>
    </xf>
    <xf numFmtId="1" fontId="16" fillId="0" borderId="1" xfId="0" applyNumberFormat="1" applyFont="1" applyBorder="1" applyAlignment="1">
      <alignment horizontal="center"/>
    </xf>
    <xf numFmtId="164" fontId="16" fillId="0" borderId="1" xfId="0" applyNumberFormat="1" applyFont="1" applyBorder="1"/>
    <xf numFmtId="0" fontId="58" fillId="0" borderId="0" xfId="0" applyFont="1"/>
    <xf numFmtId="9" fontId="0" fillId="0" borderId="0" xfId="3" applyFont="1"/>
    <xf numFmtId="0" fontId="43" fillId="0" borderId="0" xfId="0" applyFont="1"/>
    <xf numFmtId="0" fontId="47" fillId="0" borderId="10" xfId="0" applyFont="1" applyBorder="1" applyAlignment="1">
      <alignment horizontal="center" vertical="center"/>
    </xf>
    <xf numFmtId="0" fontId="2" fillId="0" borderId="14" xfId="6" applyBorder="1" applyAlignment="1">
      <alignment horizontal="center" vertical="center" wrapText="1"/>
    </xf>
    <xf numFmtId="0" fontId="0" fillId="17" borderId="1" xfId="0" applyFill="1" applyBorder="1" applyAlignment="1">
      <alignment horizontal="center" vertical="center" wrapText="1"/>
    </xf>
    <xf numFmtId="0" fontId="47" fillId="18" borderId="1" xfId="0" applyFont="1" applyFill="1" applyBorder="1" applyAlignment="1">
      <alignment horizontal="center" vertical="center" wrapText="1"/>
    </xf>
    <xf numFmtId="0" fontId="47" fillId="18" borderId="9" xfId="0" applyFont="1" applyFill="1" applyBorder="1" applyAlignment="1">
      <alignment horizontal="center" vertical="center" wrapText="1"/>
    </xf>
    <xf numFmtId="0" fontId="2" fillId="19" borderId="14" xfId="6" applyFill="1" applyBorder="1" applyAlignment="1">
      <alignment horizontal="center" vertical="center"/>
    </xf>
    <xf numFmtId="0" fontId="2" fillId="19" borderId="14" xfId="6" applyFill="1" applyBorder="1" applyAlignment="1">
      <alignment horizontal="center" vertical="center" wrapText="1"/>
    </xf>
    <xf numFmtId="0" fontId="1" fillId="19" borderId="14" xfId="6" applyFont="1" applyFill="1" applyBorder="1" applyAlignment="1">
      <alignment horizontal="center" vertical="center" wrapText="1"/>
    </xf>
    <xf numFmtId="8" fontId="2" fillId="0" borderId="14" xfId="6" applyNumberFormat="1" applyBorder="1" applyAlignment="1">
      <alignment horizontal="center" vertical="center" wrapText="1"/>
    </xf>
    <xf numFmtId="8" fontId="1" fillId="0" borderId="14" xfId="6" applyNumberFormat="1" applyFont="1" applyBorder="1" applyAlignment="1">
      <alignment horizontal="center" vertical="center" wrapText="1"/>
    </xf>
    <xf numFmtId="0" fontId="16" fillId="0" borderId="14" xfId="0" applyFont="1" applyBorder="1"/>
    <xf numFmtId="0" fontId="0" fillId="0" borderId="14" xfId="0" applyBorder="1"/>
    <xf numFmtId="44" fontId="0" fillId="0" borderId="14" xfId="2" applyFont="1" applyBorder="1"/>
    <xf numFmtId="0" fontId="59" fillId="0" borderId="0" xfId="0" applyFont="1"/>
    <xf numFmtId="0" fontId="60" fillId="3" borderId="0" xfId="0" applyFont="1" applyFill="1"/>
    <xf numFmtId="0" fontId="61" fillId="0" borderId="0" xfId="0" applyFont="1"/>
    <xf numFmtId="0" fontId="60" fillId="0" borderId="0" xfId="0" applyFont="1" applyAlignment="1">
      <alignment horizontal="left" vertical="center" readingOrder="1"/>
    </xf>
    <xf numFmtId="0" fontId="62" fillId="0" borderId="0" xfId="0" applyFont="1"/>
    <xf numFmtId="0" fontId="60" fillId="0" borderId="0" xfId="0" applyFont="1"/>
    <xf numFmtId="0" fontId="63" fillId="0" borderId="0" xfId="0" applyFont="1"/>
    <xf numFmtId="0" fontId="64" fillId="0" borderId="0" xfId="1" applyFont="1"/>
    <xf numFmtId="0" fontId="65" fillId="0" borderId="0" xfId="1" applyFont="1"/>
    <xf numFmtId="0" fontId="65" fillId="0" borderId="0" xfId="1" quotePrefix="1" applyFont="1"/>
    <xf numFmtId="0" fontId="2" fillId="0" borderId="3" xfId="6" applyBorder="1" applyAlignment="1">
      <alignment horizontal="center"/>
    </xf>
    <xf numFmtId="0" fontId="55" fillId="2" borderId="1" xfId="0" applyFont="1" applyFill="1" applyBorder="1" applyAlignment="1">
      <alignment horizontal="center"/>
    </xf>
    <xf numFmtId="0" fontId="55" fillId="2" borderId="2" xfId="0" applyFont="1" applyFill="1" applyBorder="1" applyAlignment="1">
      <alignment horizontal="center"/>
    </xf>
    <xf numFmtId="0" fontId="67" fillId="2" borderId="3" xfId="6" applyFont="1" applyFill="1" applyBorder="1" applyAlignment="1">
      <alignment horizontal="center"/>
    </xf>
    <xf numFmtId="0" fontId="66" fillId="2" borderId="2" xfId="0" applyFont="1" applyFill="1" applyBorder="1" applyAlignment="1">
      <alignment horizontal="center"/>
    </xf>
    <xf numFmtId="0" fontId="66" fillId="2" borderId="1" xfId="0" applyFont="1" applyFill="1" applyBorder="1" applyAlignment="1">
      <alignment horizontal="center"/>
    </xf>
    <xf numFmtId="0" fontId="67" fillId="2" borderId="1" xfId="6" applyFont="1" applyFill="1" applyBorder="1" applyAlignment="1">
      <alignment horizontal="center"/>
    </xf>
    <xf numFmtId="0" fontId="67" fillId="2" borderId="1" xfId="6" applyFont="1" applyFill="1" applyBorder="1" applyAlignment="1">
      <alignment horizontal="center" vertical="center"/>
    </xf>
    <xf numFmtId="0" fontId="24" fillId="0" borderId="0" xfId="6" applyFont="1"/>
    <xf numFmtId="0" fontId="7" fillId="0" borderId="0" xfId="6" applyFont="1"/>
    <xf numFmtId="0" fontId="1" fillId="0" borderId="1" xfId="6" applyFont="1" applyBorder="1" applyAlignment="1">
      <alignment horizontal="center"/>
    </xf>
    <xf numFmtId="0" fontId="0" fillId="0" borderId="2" xfId="0" applyBorder="1" applyAlignment="1">
      <alignment horizontal="center"/>
    </xf>
    <xf numFmtId="0" fontId="14" fillId="0" borderId="1" xfId="6" applyFont="1" applyBorder="1" applyAlignment="1">
      <alignment horizontal="center"/>
    </xf>
    <xf numFmtId="0" fontId="40" fillId="0" borderId="1" xfId="6" applyFont="1" applyBorder="1"/>
    <xf numFmtId="10" fontId="0" fillId="0" borderId="0" xfId="0" applyNumberFormat="1"/>
    <xf numFmtId="0" fontId="16" fillId="0" borderId="0" xfId="0" applyFont="1" applyAlignment="1">
      <alignment horizontal="center" vertical="center"/>
    </xf>
    <xf numFmtId="0" fontId="0" fillId="0" borderId="15" xfId="0" applyBorder="1" applyAlignment="1">
      <alignment horizontal="center" vertical="center"/>
    </xf>
    <xf numFmtId="0" fontId="16" fillId="0" borderId="15" xfId="0" applyFont="1" applyBorder="1" applyAlignment="1">
      <alignment horizontal="center" vertical="center"/>
    </xf>
    <xf numFmtId="0" fontId="16" fillId="0" borderId="1" xfId="0" applyFont="1" applyBorder="1" applyAlignment="1">
      <alignment horizontal="center" vertical="center" wrapText="1"/>
    </xf>
    <xf numFmtId="164" fontId="0" fillId="2" borderId="1" xfId="0" applyNumberFormat="1" applyFill="1" applyBorder="1" applyAlignment="1">
      <alignment horizontal="center"/>
    </xf>
    <xf numFmtId="44" fontId="0" fillId="0" borderId="0" xfId="2" applyFont="1" applyBorder="1" applyAlignment="1">
      <alignment horizontal="center" vertical="center"/>
    </xf>
    <xf numFmtId="0" fontId="0" fillId="9" borderId="14" xfId="0" applyFill="1" applyBorder="1" applyAlignment="1">
      <alignment horizontal="center"/>
    </xf>
    <xf numFmtId="170" fontId="0" fillId="0" borderId="14" xfId="0" applyNumberFormat="1" applyBorder="1" applyAlignment="1">
      <alignment horizontal="center"/>
    </xf>
    <xf numFmtId="0" fontId="2" fillId="0" borderId="1" xfId="6" applyBorder="1" applyAlignment="1">
      <alignment horizontal="left"/>
    </xf>
    <xf numFmtId="164" fontId="2" fillId="0" borderId="1" xfId="6" applyNumberFormat="1" applyBorder="1" applyAlignment="1">
      <alignment horizontal="center"/>
    </xf>
    <xf numFmtId="0" fontId="2" fillId="0" borderId="2" xfId="6" applyBorder="1" applyAlignment="1">
      <alignment horizontal="left"/>
    </xf>
    <xf numFmtId="0" fontId="2" fillId="0" borderId="9" xfId="6" applyBorder="1" applyAlignment="1">
      <alignment horizontal="left"/>
    </xf>
    <xf numFmtId="0" fontId="2" fillId="0" borderId="3" xfId="6" applyBorder="1" applyAlignment="1">
      <alignment horizontal="left"/>
    </xf>
    <xf numFmtId="0" fontId="2" fillId="0" borderId="2" xfId="6" applyBorder="1" applyAlignment="1">
      <alignment horizontal="center"/>
    </xf>
    <xf numFmtId="0" fontId="2" fillId="0" borderId="9" xfId="6" applyBorder="1" applyAlignment="1">
      <alignment horizontal="center"/>
    </xf>
    <xf numFmtId="0" fontId="2" fillId="0" borderId="3" xfId="6" applyBorder="1" applyAlignment="1">
      <alignment horizontal="center"/>
    </xf>
    <xf numFmtId="8" fontId="2" fillId="0" borderId="2" xfId="6" applyNumberFormat="1" applyBorder="1" applyAlignment="1">
      <alignment horizontal="center"/>
    </xf>
    <xf numFmtId="8" fontId="2" fillId="0" borderId="9" xfId="6" applyNumberFormat="1" applyBorder="1" applyAlignment="1">
      <alignment horizontal="center"/>
    </xf>
    <xf numFmtId="8" fontId="2" fillId="0" borderId="3" xfId="6" applyNumberFormat="1" applyBorder="1" applyAlignment="1">
      <alignment horizontal="center"/>
    </xf>
    <xf numFmtId="8" fontId="2" fillId="0" borderId="1" xfId="6" applyNumberFormat="1" applyBorder="1" applyAlignment="1">
      <alignment horizontal="center"/>
    </xf>
    <xf numFmtId="8" fontId="2" fillId="13" borderId="1" xfId="6" applyNumberFormat="1" applyFill="1" applyBorder="1" applyAlignment="1">
      <alignment horizontal="center"/>
    </xf>
    <xf numFmtId="8" fontId="2" fillId="0" borderId="13" xfId="6" applyNumberFormat="1" applyBorder="1" applyAlignment="1">
      <alignment horizontal="center"/>
    </xf>
    <xf numFmtId="8" fontId="2" fillId="0" borderId="10" xfId="6" applyNumberFormat="1" applyBorder="1" applyAlignment="1">
      <alignment horizontal="center"/>
    </xf>
    <xf numFmtId="8" fontId="2" fillId="13" borderId="2" xfId="6" applyNumberFormat="1" applyFill="1" applyBorder="1" applyAlignment="1">
      <alignment horizontal="center"/>
    </xf>
    <xf numFmtId="8" fontId="2" fillId="13" borderId="9" xfId="6" applyNumberFormat="1" applyFill="1" applyBorder="1" applyAlignment="1">
      <alignment horizontal="center"/>
    </xf>
    <xf numFmtId="8" fontId="2" fillId="13" borderId="3" xfId="6" applyNumberFormat="1" applyFill="1" applyBorder="1" applyAlignment="1">
      <alignment horizontal="center"/>
    </xf>
    <xf numFmtId="0" fontId="2" fillId="0" borderId="10" xfId="6" applyBorder="1" applyAlignment="1">
      <alignment horizontal="center"/>
    </xf>
    <xf numFmtId="0" fontId="2" fillId="0" borderId="0" xfId="6" applyAlignment="1">
      <alignment horizontal="center"/>
    </xf>
    <xf numFmtId="164" fontId="2" fillId="0" borderId="2" xfId="6" applyNumberFormat="1" applyBorder="1" applyAlignment="1">
      <alignment horizontal="center"/>
    </xf>
    <xf numFmtId="164" fontId="2" fillId="0" borderId="9" xfId="6" applyNumberFormat="1" applyBorder="1" applyAlignment="1">
      <alignment horizontal="center"/>
    </xf>
    <xf numFmtId="164" fontId="2" fillId="0" borderId="3" xfId="6" applyNumberFormat="1" applyBorder="1" applyAlignment="1">
      <alignment horizontal="center"/>
    </xf>
    <xf numFmtId="8" fontId="2" fillId="14" borderId="1" xfId="6" applyNumberFormat="1" applyFill="1" applyBorder="1" applyAlignment="1">
      <alignment horizontal="center"/>
    </xf>
    <xf numFmtId="0" fontId="2" fillId="14" borderId="1" xfId="6" applyFill="1" applyBorder="1" applyAlignment="1">
      <alignment horizontal="center"/>
    </xf>
    <xf numFmtId="8" fontId="2" fillId="0" borderId="0" xfId="6" applyNumberFormat="1" applyAlignment="1">
      <alignment horizontal="center"/>
    </xf>
    <xf numFmtId="0" fontId="2" fillId="0" borderId="1" xfId="6" applyBorder="1" applyAlignment="1">
      <alignment horizontal="center"/>
    </xf>
    <xf numFmtId="0" fontId="2" fillId="0" borderId="1" xfId="6" applyBorder="1"/>
    <xf numFmtId="164" fontId="2" fillId="0" borderId="1" xfId="6" applyNumberFormat="1" applyBorder="1"/>
    <xf numFmtId="0" fontId="2" fillId="0" borderId="2" xfId="6" applyBorder="1"/>
    <xf numFmtId="9" fontId="0" fillId="0" borderId="5" xfId="8" applyFont="1" applyBorder="1" applyAlignment="1"/>
    <xf numFmtId="9" fontId="0" fillId="0" borderId="7" xfId="8" applyFont="1" applyBorder="1" applyAlignment="1"/>
    <xf numFmtId="9" fontId="0" fillId="0" borderId="8" xfId="8" applyFont="1" applyBorder="1" applyAlignment="1"/>
    <xf numFmtId="0" fontId="2" fillId="13" borderId="1" xfId="6" applyFill="1" applyBorder="1" applyAlignment="1">
      <alignment horizontal="center"/>
    </xf>
    <xf numFmtId="0" fontId="2" fillId="0" borderId="13" xfId="6" applyBorder="1" applyAlignment="1">
      <alignment horizontal="left"/>
    </xf>
    <xf numFmtId="0" fontId="2" fillId="0" borderId="10" xfId="6" applyBorder="1" applyAlignment="1">
      <alignment horizontal="left"/>
    </xf>
    <xf numFmtId="0" fontId="2" fillId="0" borderId="11" xfId="6" applyBorder="1" applyAlignment="1">
      <alignment horizontal="left"/>
    </xf>
    <xf numFmtId="0" fontId="2" fillId="0" borderId="12" xfId="6" applyBorder="1" applyAlignment="1">
      <alignment horizontal="left"/>
    </xf>
    <xf numFmtId="0" fontId="2" fillId="0" borderId="1" xfId="6" applyBorder="1" applyAlignment="1">
      <alignment vertical="center"/>
    </xf>
    <xf numFmtId="164" fontId="2" fillId="0" borderId="8" xfId="6" applyNumberFormat="1" applyBorder="1" applyAlignment="1">
      <alignment horizontal="center"/>
    </xf>
    <xf numFmtId="0" fontId="2" fillId="0" borderId="5" xfId="6" applyBorder="1" applyAlignment="1">
      <alignment horizontal="center"/>
    </xf>
    <xf numFmtId="0" fontId="2" fillId="0" borderId="6" xfId="6" applyBorder="1" applyAlignment="1">
      <alignment horizontal="center"/>
    </xf>
    <xf numFmtId="0" fontId="2" fillId="0" borderId="7" xfId="6" applyBorder="1" applyAlignment="1">
      <alignment horizontal="center"/>
    </xf>
    <xf numFmtId="0" fontId="2" fillId="0" borderId="4" xfId="6" applyBorder="1"/>
    <xf numFmtId="0" fontId="2" fillId="0" borderId="4" xfId="6" applyBorder="1" applyAlignment="1">
      <alignment horizontal="center"/>
    </xf>
    <xf numFmtId="0" fontId="2" fillId="0" borderId="14" xfId="6" applyBorder="1" applyAlignment="1">
      <alignment horizontal="left"/>
    </xf>
    <xf numFmtId="8" fontId="2" fillId="0" borderId="14" xfId="6" applyNumberFormat="1" applyBorder="1" applyAlignment="1">
      <alignment horizontal="center"/>
    </xf>
    <xf numFmtId="169" fontId="2" fillId="0" borderId="1" xfId="6" applyNumberFormat="1" applyBorder="1" applyAlignment="1">
      <alignment horizontal="center"/>
    </xf>
    <xf numFmtId="0" fontId="47" fillId="16" borderId="15" xfId="0" applyFont="1" applyFill="1" applyBorder="1" applyAlignment="1">
      <alignment horizontal="left" wrapText="1"/>
    </xf>
    <xf numFmtId="0" fontId="47" fillId="16" borderId="17" xfId="0" applyFont="1" applyFill="1" applyBorder="1" applyAlignment="1">
      <alignment horizontal="left" wrapText="1"/>
    </xf>
    <xf numFmtId="0" fontId="2" fillId="15" borderId="1" xfId="6" applyFill="1" applyBorder="1" applyAlignment="1">
      <alignment horizontal="center" vertical="center" wrapText="1"/>
    </xf>
    <xf numFmtId="0" fontId="2" fillId="16" borderId="14" xfId="6" applyFill="1" applyBorder="1" applyAlignment="1">
      <alignment horizontal="left"/>
    </xf>
    <xf numFmtId="0" fontId="16" fillId="0" borderId="1" xfId="6" applyFont="1" applyBorder="1"/>
    <xf numFmtId="0" fontId="2" fillId="15" borderId="1" xfId="6" applyFill="1" applyBorder="1" applyAlignment="1">
      <alignment horizontal="center"/>
    </xf>
    <xf numFmtId="0" fontId="16" fillId="0" borderId="0" xfId="0" applyFont="1" applyAlignment="1">
      <alignment horizontal="center" vertical="center"/>
    </xf>
  </cellXfs>
  <cellStyles count="9">
    <cellStyle name="Currency" xfId="2" builtinId="4"/>
    <cellStyle name="Normal" xfId="0" builtinId="0"/>
    <cellStyle name="Normal 2" xfId="4" xr:uid="{B9864D58-5A90-455D-996F-23B9C1039C39}"/>
    <cellStyle name="Normal 2 2" xfId="7" xr:uid="{D38FF502-2A1F-48ED-B39C-FAD664344350}"/>
    <cellStyle name="Normal 3" xfId="6" xr:uid="{17D9F1B2-FECF-44D6-97B7-EA7278B09AD3}"/>
    <cellStyle name="Normal_SimonPie" xfId="1" xr:uid="{53336003-D901-A043-8679-4AAFE2B4CCC6}"/>
    <cellStyle name="Percent" xfId="3" builtinId="5"/>
    <cellStyle name="Percent 2" xfId="5" xr:uid="{8D12812F-FCBB-445F-92E3-FDCC15E4597F}"/>
    <cellStyle name="Percent 3" xfId="8" xr:uid="{4C72B63B-8483-4166-BD40-44787257B6AC}"/>
  </cellStyles>
  <dxfs count="30">
    <dxf>
      <font>
        <color rgb="FFFF0000"/>
      </font>
    </dxf>
    <dxf>
      <font>
        <color theme="1" tint="0.499984740745262"/>
      </font>
    </dxf>
    <dxf>
      <font>
        <color rgb="FFFF0000"/>
      </font>
    </dxf>
    <dxf>
      <font>
        <color rgb="FF00B050"/>
      </font>
    </dxf>
    <dxf>
      <font>
        <color rgb="FFFF0000"/>
      </font>
    </dxf>
    <dxf>
      <font>
        <color rgb="FF00B050"/>
      </font>
    </dxf>
    <dxf>
      <font>
        <color rgb="FF00B050"/>
      </font>
    </dxf>
    <dxf>
      <font>
        <color rgb="FFFF0000"/>
      </font>
    </dxf>
    <dxf>
      <font>
        <color rgb="FFFF0000"/>
      </font>
    </dxf>
    <dxf>
      <font>
        <color rgb="FF00B050"/>
      </font>
    </dxf>
    <dxf>
      <font>
        <color rgb="FFFF0000"/>
      </font>
    </dxf>
    <dxf>
      <font>
        <color rgb="FF00B050"/>
      </font>
    </dxf>
    <dxf>
      <font>
        <color rgb="FFFF0000"/>
      </font>
    </dxf>
    <dxf>
      <font>
        <color rgb="FF00B050"/>
      </font>
    </dxf>
    <dxf>
      <font>
        <color rgb="FF00B050"/>
      </font>
    </dxf>
    <dxf>
      <font>
        <color rgb="FFFF000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00B050"/>
      </font>
    </dxf>
    <dxf>
      <font>
        <color rgb="FFFF0000"/>
      </font>
    </dxf>
    <dxf>
      <border>
        <left style="thin">
          <color auto="1"/>
        </left>
        <right style="thin">
          <color auto="1"/>
        </right>
        <top style="thin">
          <color auto="1"/>
        </top>
        <bottom style="thin">
          <color auto="1"/>
        </bottom>
        <vertical/>
        <horizontal/>
      </border>
    </dxf>
    <dxf>
      <font>
        <color rgb="FF9C0006"/>
      </font>
      <fill>
        <patternFill>
          <bgColor rgb="FFFFC7CE"/>
        </patternFill>
      </fill>
    </dxf>
    <dxf>
      <font>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none">
          <bgColor auto="1"/>
        </patternFill>
      </fill>
      <border>
        <vertical/>
        <horizontal/>
      </border>
    </dxf>
  </dxfs>
  <tableStyles count="0" defaultTableStyle="TableStyleMedium2" defaultPivotStyle="PivotStyleLight16"/>
  <colors>
    <mruColors>
      <color rgb="FFFFE9FF"/>
      <color rgb="FFFFC6D3"/>
      <color rgb="FFFFBCC7"/>
      <color rgb="FF1515FF"/>
      <color rgb="FF05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 Price of Flat vs Average Walking</a:t>
            </a:r>
            <a:r>
              <a:rPr lang="en-GB" baseline="0"/>
              <a:t> Duration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'Trade-off Analysis'!$B$6</c:f>
              <c:strCache>
                <c:ptCount val="1"/>
                <c:pt idx="0">
                  <c:v>Average Price</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1"/>
            <c:dispEq val="1"/>
            <c:trendlineLbl>
              <c:layout>
                <c:manualLayout>
                  <c:x val="-0.11775724150641764"/>
                  <c:y val="4.9166519859140008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numRef>
              <c:f>'Trade-off Analysis'!$C$5:$G$5</c:f>
              <c:numCache>
                <c:formatCode>General</c:formatCode>
                <c:ptCount val="5"/>
                <c:pt idx="0">
                  <c:v>5</c:v>
                </c:pt>
                <c:pt idx="1">
                  <c:v>10</c:v>
                </c:pt>
                <c:pt idx="2">
                  <c:v>15</c:v>
                </c:pt>
                <c:pt idx="3">
                  <c:v>20</c:v>
                </c:pt>
                <c:pt idx="4">
                  <c:v>25</c:v>
                </c:pt>
              </c:numCache>
            </c:numRef>
          </c:cat>
          <c:val>
            <c:numRef>
              <c:f>'Trade-off Analysis'!$C$6:$G$6</c:f>
              <c:numCache>
                <c:formatCode>_("$"* #,##0.00_);_("$"* \(#,##0.00\);_("$"* "-"??_);_(@_)</c:formatCode>
                <c:ptCount val="5"/>
                <c:pt idx="0">
                  <c:v>599436.31999999995</c:v>
                </c:pt>
                <c:pt idx="1">
                  <c:v>563202.05524861882</c:v>
                </c:pt>
                <c:pt idx="2">
                  <c:v>552548.24691358022</c:v>
                </c:pt>
                <c:pt idx="3">
                  <c:v>487857.14285714284</c:v>
                </c:pt>
                <c:pt idx="4">
                  <c:v>348000</c:v>
                </c:pt>
              </c:numCache>
            </c:numRef>
          </c:val>
          <c:smooth val="0"/>
          <c:extLst>
            <c:ext xmlns:c16="http://schemas.microsoft.com/office/drawing/2014/chart" uri="{C3380CC4-5D6E-409C-BE32-E72D297353CC}">
              <c16:uniqueId val="{00000000-0166-D845-AB97-885215E6F693}"/>
            </c:ext>
          </c:extLst>
        </c:ser>
        <c:dLbls>
          <c:showLegendKey val="0"/>
          <c:showVal val="0"/>
          <c:showCatName val="0"/>
          <c:showSerName val="0"/>
          <c:showPercent val="0"/>
          <c:showBubbleSize val="0"/>
        </c:dLbls>
        <c:smooth val="0"/>
        <c:axId val="567389264"/>
        <c:axId val="1802956095"/>
      </c:lineChart>
      <c:catAx>
        <c:axId val="5673892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Average</a:t>
                </a:r>
                <a:r>
                  <a:rPr lang="en-GB" baseline="0"/>
                  <a:t> Walking duration from the 3 Amenities (Mins)</a:t>
                </a:r>
                <a:endParaRPr lang="en-GB"/>
              </a:p>
            </c:rich>
          </c:tx>
          <c:layout>
            <c:manualLayout>
              <c:xMode val="edge"/>
              <c:yMode val="edge"/>
              <c:x val="0.27024462842792424"/>
              <c:y val="0.8866644852213365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2956095"/>
        <c:crosses val="autoZero"/>
        <c:auto val="1"/>
        <c:lblAlgn val="ctr"/>
        <c:lblOffset val="100"/>
        <c:noMultiLvlLbl val="0"/>
      </c:catAx>
      <c:valAx>
        <c:axId val="1802956095"/>
        <c:scaling>
          <c:orientation val="minMax"/>
          <c:max val="600000"/>
          <c:min val="30000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389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tx>
            <c:strRef>
              <c:f>'Trade-off Analysis'!$C$38</c:f>
              <c:strCache>
                <c:ptCount val="1"/>
                <c:pt idx="0">
                  <c:v>Monthly Mortgage Repayment Amount</c:v>
                </c:pt>
              </c:strCache>
            </c:strRef>
          </c:tx>
          <c:spPr>
            <a:ln w="28575" cap="rnd">
              <a:solidFill>
                <a:schemeClr val="accent1"/>
              </a:solidFill>
              <a:round/>
            </a:ln>
            <a:effectLst/>
          </c:spPr>
          <c:marker>
            <c:symbol val="none"/>
          </c:marker>
          <c:cat>
            <c:numRef>
              <c:f>'Trade-off Analysis'!$B$40:$B$44</c:f>
              <c:numCache>
                <c:formatCode>General</c:formatCode>
                <c:ptCount val="5"/>
                <c:pt idx="0">
                  <c:v>5</c:v>
                </c:pt>
                <c:pt idx="1">
                  <c:v>10</c:v>
                </c:pt>
                <c:pt idx="2">
                  <c:v>15</c:v>
                </c:pt>
                <c:pt idx="3">
                  <c:v>20</c:v>
                </c:pt>
                <c:pt idx="4">
                  <c:v>25</c:v>
                </c:pt>
              </c:numCache>
            </c:numRef>
          </c:cat>
          <c:val>
            <c:numRef>
              <c:f>'Trade-off Analysis'!$C$40:$C$44</c:f>
              <c:numCache>
                <c:formatCode>"$"#,##0.00</c:formatCode>
                <c:ptCount val="5"/>
                <c:pt idx="0">
                  <c:v>5337.4467857802047</c:v>
                </c:pt>
                <c:pt idx="1">
                  <c:v>2841.7596643473521</c:v>
                </c:pt>
                <c:pt idx="2">
                  <c:v>2014.5205323960329</c:v>
                </c:pt>
                <c:pt idx="3">
                  <c:v>1604.364156083562</c:v>
                </c:pt>
                <c:pt idx="4">
                  <c:v>1361.0085215899026</c:v>
                </c:pt>
              </c:numCache>
            </c:numRef>
          </c:val>
          <c:smooth val="0"/>
          <c:extLst>
            <c:ext xmlns:c16="http://schemas.microsoft.com/office/drawing/2014/chart" uri="{C3380CC4-5D6E-409C-BE32-E72D297353CC}">
              <c16:uniqueId val="{00000000-1752-4490-8D8A-4F4C7C48CE52}"/>
            </c:ext>
          </c:extLst>
        </c:ser>
        <c:dLbls>
          <c:showLegendKey val="0"/>
          <c:showVal val="0"/>
          <c:showCatName val="0"/>
          <c:showSerName val="0"/>
          <c:showPercent val="0"/>
          <c:showBubbleSize val="0"/>
        </c:dLbls>
        <c:smooth val="0"/>
        <c:axId val="856115711"/>
        <c:axId val="2052601343"/>
      </c:lineChart>
      <c:catAx>
        <c:axId val="85611571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Loan Tenure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2601343"/>
        <c:crosses val="autoZero"/>
        <c:auto val="1"/>
        <c:lblAlgn val="ctr"/>
        <c:lblOffset val="100"/>
        <c:noMultiLvlLbl val="0"/>
      </c:catAx>
      <c:valAx>
        <c:axId val="20526013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Monthly</a:t>
                </a:r>
                <a:r>
                  <a:rPr lang="en-US" baseline="0"/>
                  <a:t> Loan Repayment Amount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115711"/>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'Sensitivity Analysis'!$K$19</c:f>
              <c:strCache>
                <c:ptCount val="1"/>
                <c:pt idx="0">
                  <c:v>score1</c:v>
                </c:pt>
              </c:strCache>
            </c:strRef>
          </c:tx>
          <c:spPr>
            <a:ln w="28575" cap="rnd">
              <a:solidFill>
                <a:schemeClr val="accent1"/>
              </a:solidFill>
              <a:round/>
            </a:ln>
            <a:effectLst/>
          </c:spPr>
          <c:marker>
            <c:symbol val="none"/>
          </c:marker>
          <c:val>
            <c:numRef>
              <c:f>'Sensitivity Analysis'!$K$20:$K$23</c:f>
              <c:numCache>
                <c:formatCode>General</c:formatCode>
                <c:ptCount val="4"/>
                <c:pt idx="0">
                  <c:v>3.3</c:v>
                </c:pt>
                <c:pt idx="1">
                  <c:v>2.9699999999999998</c:v>
                </c:pt>
                <c:pt idx="2">
                  <c:v>16.5</c:v>
                </c:pt>
                <c:pt idx="3">
                  <c:v>19.8</c:v>
                </c:pt>
              </c:numCache>
            </c:numRef>
          </c:val>
          <c:smooth val="0"/>
          <c:extLst>
            <c:ext xmlns:c16="http://schemas.microsoft.com/office/drawing/2014/chart" uri="{C3380CC4-5D6E-409C-BE32-E72D297353CC}">
              <c16:uniqueId val="{00000000-4D43-4B14-AD8B-7FD17D373517}"/>
            </c:ext>
          </c:extLst>
        </c:ser>
        <c:ser>
          <c:idx val="1"/>
          <c:order val="1"/>
          <c:tx>
            <c:strRef>
              <c:f>'Sensitivity Analysis'!$L$19</c:f>
              <c:strCache>
                <c:ptCount val="1"/>
                <c:pt idx="0">
                  <c:v>score2</c:v>
                </c:pt>
              </c:strCache>
            </c:strRef>
          </c:tx>
          <c:spPr>
            <a:ln w="28575" cap="rnd">
              <a:solidFill>
                <a:schemeClr val="accent2"/>
              </a:solidFill>
              <a:round/>
            </a:ln>
            <a:effectLst/>
          </c:spPr>
          <c:marker>
            <c:symbol val="none"/>
          </c:marker>
          <c:val>
            <c:numRef>
              <c:f>'Sensitivity Analysis'!$L$20:$L$23</c:f>
              <c:numCache>
                <c:formatCode>General</c:formatCode>
                <c:ptCount val="4"/>
                <c:pt idx="0">
                  <c:v>2.9</c:v>
                </c:pt>
                <c:pt idx="1">
                  <c:v>2.7</c:v>
                </c:pt>
                <c:pt idx="2">
                  <c:v>13</c:v>
                </c:pt>
                <c:pt idx="3">
                  <c:v>17</c:v>
                </c:pt>
              </c:numCache>
            </c:numRef>
          </c:val>
          <c:smooth val="0"/>
          <c:extLst>
            <c:ext xmlns:c16="http://schemas.microsoft.com/office/drawing/2014/chart" uri="{C3380CC4-5D6E-409C-BE32-E72D297353CC}">
              <c16:uniqueId val="{00000001-4D43-4B14-AD8B-7FD17D373517}"/>
            </c:ext>
          </c:extLst>
        </c:ser>
        <c:ser>
          <c:idx val="2"/>
          <c:order val="2"/>
          <c:tx>
            <c:strRef>
              <c:f>'Sensitivity Analysis'!$M$19</c:f>
              <c:strCache>
                <c:ptCount val="1"/>
                <c:pt idx="0">
                  <c:v>score3</c:v>
                </c:pt>
              </c:strCache>
            </c:strRef>
          </c:tx>
          <c:spPr>
            <a:ln w="28575" cap="rnd">
              <a:solidFill>
                <a:schemeClr val="accent3"/>
              </a:solidFill>
              <a:round/>
            </a:ln>
            <a:effectLst/>
          </c:spPr>
          <c:marker>
            <c:symbol val="none"/>
          </c:marker>
          <c:val>
            <c:numRef>
              <c:f>'Sensitivity Analysis'!$M$20:$M$23</c:f>
              <c:numCache>
                <c:formatCode>General</c:formatCode>
                <c:ptCount val="4"/>
                <c:pt idx="0">
                  <c:v>2.7</c:v>
                </c:pt>
                <c:pt idx="1">
                  <c:v>2.4999999999999996</c:v>
                </c:pt>
                <c:pt idx="2">
                  <c:v>10.5</c:v>
                </c:pt>
                <c:pt idx="3">
                  <c:v>15</c:v>
                </c:pt>
              </c:numCache>
            </c:numRef>
          </c:val>
          <c:smooth val="0"/>
          <c:extLst>
            <c:ext xmlns:c16="http://schemas.microsoft.com/office/drawing/2014/chart" uri="{C3380CC4-5D6E-409C-BE32-E72D297353CC}">
              <c16:uniqueId val="{00000002-4D43-4B14-AD8B-7FD17D373517}"/>
            </c:ext>
          </c:extLst>
        </c:ser>
        <c:ser>
          <c:idx val="3"/>
          <c:order val="3"/>
          <c:tx>
            <c:strRef>
              <c:f>'Sensitivity Analysis'!$N$19</c:f>
              <c:strCache>
                <c:ptCount val="1"/>
                <c:pt idx="0">
                  <c:v>score4</c:v>
                </c:pt>
              </c:strCache>
            </c:strRef>
          </c:tx>
          <c:spPr>
            <a:ln w="28575" cap="rnd">
              <a:solidFill>
                <a:schemeClr val="accent4"/>
              </a:solidFill>
              <a:round/>
            </a:ln>
            <a:effectLst/>
          </c:spPr>
          <c:marker>
            <c:symbol val="none"/>
          </c:marker>
          <c:val>
            <c:numRef>
              <c:f>'Sensitivity Analysis'!$N$20:$N$23</c:f>
              <c:numCache>
                <c:formatCode>General</c:formatCode>
                <c:ptCount val="4"/>
                <c:pt idx="0">
                  <c:v>2.35</c:v>
                </c:pt>
                <c:pt idx="1">
                  <c:v>2.35</c:v>
                </c:pt>
                <c:pt idx="2">
                  <c:v>8.75</c:v>
                </c:pt>
                <c:pt idx="3">
                  <c:v>13.5</c:v>
                </c:pt>
              </c:numCache>
            </c:numRef>
          </c:val>
          <c:smooth val="0"/>
          <c:extLst>
            <c:ext xmlns:c16="http://schemas.microsoft.com/office/drawing/2014/chart" uri="{C3380CC4-5D6E-409C-BE32-E72D297353CC}">
              <c16:uniqueId val="{00000003-4D43-4B14-AD8B-7FD17D373517}"/>
            </c:ext>
          </c:extLst>
        </c:ser>
        <c:dLbls>
          <c:showLegendKey val="0"/>
          <c:showVal val="0"/>
          <c:showCatName val="0"/>
          <c:showSerName val="0"/>
          <c:showPercent val="0"/>
          <c:showBubbleSize val="0"/>
        </c:dLbls>
        <c:smooth val="0"/>
        <c:axId val="371545487"/>
        <c:axId val="422024351"/>
      </c:lineChart>
      <c:catAx>
        <c:axId val="371545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24351"/>
        <c:crosses val="autoZero"/>
        <c:auto val="1"/>
        <c:lblAlgn val="ctr"/>
        <c:lblOffset val="100"/>
        <c:noMultiLvlLbl val="0"/>
      </c:catAx>
      <c:valAx>
        <c:axId val="4220243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454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600075</xdr:colOff>
          <xdr:row>30</xdr:row>
          <xdr:rowOff>47625</xdr:rowOff>
        </xdr:from>
        <xdr:to>
          <xdr:col>4</xdr:col>
          <xdr:colOff>1133475</xdr:colOff>
          <xdr:row>32</xdr:row>
          <xdr:rowOff>28575</xdr:rowOff>
        </xdr:to>
        <xdr:sp macro="" textlink="">
          <xdr:nvSpPr>
            <xdr:cNvPr id="9224" name="Button 8" descr="Get Recommendation"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Get Recommendations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692573</xdr:colOff>
      <xdr:row>47</xdr:row>
      <xdr:rowOff>128089</xdr:rowOff>
    </xdr:from>
    <xdr:to>
      <xdr:col>3</xdr:col>
      <xdr:colOff>734907</xdr:colOff>
      <xdr:row>47</xdr:row>
      <xdr:rowOff>136556</xdr:rowOff>
    </xdr:to>
    <xdr:sp macro="" textlink="">
      <xdr:nvSpPr>
        <xdr:cNvPr id="14" name="Line 4">
          <a:extLst>
            <a:ext uri="{FF2B5EF4-FFF2-40B4-BE49-F238E27FC236}">
              <a16:creationId xmlns:a16="http://schemas.microsoft.com/office/drawing/2014/main" id="{00000000-0008-0000-0100-00000E000000}"/>
            </a:ext>
          </a:extLst>
        </xdr:cNvPr>
        <xdr:cNvSpPr>
          <a:spLocks noChangeShapeType="1"/>
        </xdr:cNvSpPr>
      </xdr:nvSpPr>
      <xdr:spPr bwMode="auto">
        <a:xfrm>
          <a:off x="2846493" y="9942649"/>
          <a:ext cx="885614" cy="8467"/>
        </a:xfrm>
        <a:prstGeom prst="line">
          <a:avLst/>
        </a:prstGeom>
        <a:noFill/>
        <a:ln w="9525">
          <a:solidFill>
            <a:srgbClr val="000000"/>
          </a:solidFill>
          <a:round/>
          <a:headEnd/>
          <a:tailEnd type="triangle" w="med" len="med"/>
        </a:ln>
      </xdr:spPr>
    </xdr:sp>
    <xdr:clientData/>
  </xdr:twoCellAnchor>
  <xdr:twoCellAnchor>
    <xdr:from>
      <xdr:col>2</xdr:col>
      <xdr:colOff>690880</xdr:colOff>
      <xdr:row>54</xdr:row>
      <xdr:rowOff>91441</xdr:rowOff>
    </xdr:from>
    <xdr:to>
      <xdr:col>3</xdr:col>
      <xdr:colOff>728980</xdr:colOff>
      <xdr:row>54</xdr:row>
      <xdr:rowOff>99908</xdr:rowOff>
    </xdr:to>
    <xdr:sp macro="" textlink="">
      <xdr:nvSpPr>
        <xdr:cNvPr id="12" name="Line 4">
          <a:extLst>
            <a:ext uri="{FF2B5EF4-FFF2-40B4-BE49-F238E27FC236}">
              <a16:creationId xmlns:a16="http://schemas.microsoft.com/office/drawing/2014/main" id="{00000000-0008-0000-0100-00000C000000}"/>
            </a:ext>
          </a:extLst>
        </xdr:cNvPr>
        <xdr:cNvSpPr>
          <a:spLocks noChangeShapeType="1"/>
        </xdr:cNvSpPr>
      </xdr:nvSpPr>
      <xdr:spPr bwMode="auto">
        <a:xfrm>
          <a:off x="2844800" y="11328401"/>
          <a:ext cx="881380" cy="8467"/>
        </a:xfrm>
        <a:prstGeom prst="line">
          <a:avLst/>
        </a:prstGeom>
        <a:noFill/>
        <a:ln w="9525">
          <a:solidFill>
            <a:srgbClr val="000000"/>
          </a:solidFill>
          <a:round/>
          <a:headEnd/>
          <a:tailEnd type="triangle" w="med" len="med"/>
        </a:ln>
      </xdr:spPr>
    </xdr:sp>
    <xdr:clientData/>
  </xdr:twoCellAnchor>
  <xdr:twoCellAnchor>
    <xdr:from>
      <xdr:col>8</xdr:col>
      <xdr:colOff>690880</xdr:colOff>
      <xdr:row>47</xdr:row>
      <xdr:rowOff>121920</xdr:rowOff>
    </xdr:from>
    <xdr:to>
      <xdr:col>9</xdr:col>
      <xdr:colOff>715433</xdr:colOff>
      <xdr:row>47</xdr:row>
      <xdr:rowOff>130387</xdr:rowOff>
    </xdr:to>
    <xdr:sp macro="" textlink="">
      <xdr:nvSpPr>
        <xdr:cNvPr id="16" name="Line 4">
          <a:extLst>
            <a:ext uri="{FF2B5EF4-FFF2-40B4-BE49-F238E27FC236}">
              <a16:creationId xmlns:a16="http://schemas.microsoft.com/office/drawing/2014/main" id="{00000000-0008-0000-0100-000010000000}"/>
            </a:ext>
          </a:extLst>
        </xdr:cNvPr>
        <xdr:cNvSpPr>
          <a:spLocks noChangeShapeType="1"/>
        </xdr:cNvSpPr>
      </xdr:nvSpPr>
      <xdr:spPr bwMode="auto">
        <a:xfrm>
          <a:off x="7904480" y="9936480"/>
          <a:ext cx="867833" cy="8467"/>
        </a:xfrm>
        <a:prstGeom prst="line">
          <a:avLst/>
        </a:prstGeom>
        <a:noFill/>
        <a:ln w="9525">
          <a:solidFill>
            <a:srgbClr val="000000"/>
          </a:solidFill>
          <a:round/>
          <a:headEnd/>
          <a:tailEnd type="triangle" w="med" len="med"/>
        </a:ln>
      </xdr:spPr>
    </xdr:sp>
    <xdr:clientData/>
  </xdr:twoCellAnchor>
  <xdr:twoCellAnchor>
    <xdr:from>
      <xdr:col>8</xdr:col>
      <xdr:colOff>690880</xdr:colOff>
      <xdr:row>54</xdr:row>
      <xdr:rowOff>172720</xdr:rowOff>
    </xdr:from>
    <xdr:to>
      <xdr:col>9</xdr:col>
      <xdr:colOff>715433</xdr:colOff>
      <xdr:row>54</xdr:row>
      <xdr:rowOff>181187</xdr:rowOff>
    </xdr:to>
    <xdr:sp macro="" textlink="">
      <xdr:nvSpPr>
        <xdr:cNvPr id="27" name="Line 4">
          <a:extLst>
            <a:ext uri="{FF2B5EF4-FFF2-40B4-BE49-F238E27FC236}">
              <a16:creationId xmlns:a16="http://schemas.microsoft.com/office/drawing/2014/main" id="{00000000-0008-0000-0100-00001B000000}"/>
            </a:ext>
          </a:extLst>
        </xdr:cNvPr>
        <xdr:cNvSpPr>
          <a:spLocks noChangeShapeType="1"/>
        </xdr:cNvSpPr>
      </xdr:nvSpPr>
      <xdr:spPr bwMode="auto">
        <a:xfrm>
          <a:off x="7904480" y="11409680"/>
          <a:ext cx="867833" cy="8467"/>
        </a:xfrm>
        <a:prstGeom prst="line">
          <a:avLst/>
        </a:prstGeom>
        <a:noFill/>
        <a:ln w="9525">
          <a:solidFill>
            <a:srgbClr val="000000"/>
          </a:solidFill>
          <a:round/>
          <a:headEnd/>
          <a:tailEnd type="triangle" w="med" len="med"/>
        </a:ln>
      </xdr:spPr>
    </xdr:sp>
    <xdr:clientData/>
  </xdr:twoCellAnchor>
  <xdr:twoCellAnchor>
    <xdr:from>
      <xdr:col>9</xdr:col>
      <xdr:colOff>60024</xdr:colOff>
      <xdr:row>24</xdr:row>
      <xdr:rowOff>37723</xdr:rowOff>
    </xdr:from>
    <xdr:to>
      <xdr:col>10</xdr:col>
      <xdr:colOff>414866</xdr:colOff>
      <xdr:row>26</xdr:row>
      <xdr:rowOff>169569</xdr:rowOff>
    </xdr:to>
    <xdr:sp macro="" textlink="">
      <xdr:nvSpPr>
        <xdr:cNvPr id="40" name="AutoShape 7">
          <a:extLst>
            <a:ext uri="{FF2B5EF4-FFF2-40B4-BE49-F238E27FC236}">
              <a16:creationId xmlns:a16="http://schemas.microsoft.com/office/drawing/2014/main" id="{00000000-0008-0000-0100-000028000000}"/>
            </a:ext>
          </a:extLst>
        </xdr:cNvPr>
        <xdr:cNvSpPr>
          <a:spLocks noChangeAspect="1" noChangeArrowheads="1"/>
        </xdr:cNvSpPr>
      </xdr:nvSpPr>
      <xdr:spPr bwMode="auto">
        <a:xfrm>
          <a:off x="8116904" y="5016123"/>
          <a:ext cx="1198122" cy="538246"/>
        </a:xfrm>
        <a:prstGeom prst="roundRect">
          <a:avLst>
            <a:gd name="adj" fmla="val 16667"/>
          </a:avLst>
        </a:prstGeom>
        <a:solidFill>
          <a:schemeClr val="accent4">
            <a:lumMod val="60000"/>
            <a:lumOff val="40000"/>
          </a:schemeClr>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100" b="0" i="0" strike="noStrike">
              <a:solidFill>
                <a:srgbClr val="1515FF"/>
              </a:solidFill>
              <a:latin typeface="Calibri"/>
              <a:ea typeface="+mn-ea"/>
              <a:cs typeface="Calibri"/>
            </a:rPr>
            <a:t>Top 5 Optimal Resale Flats</a:t>
          </a:r>
        </a:p>
      </xdr:txBody>
    </xdr:sp>
    <xdr:clientData/>
  </xdr:twoCellAnchor>
  <xdr:twoCellAnchor>
    <xdr:from>
      <xdr:col>8</xdr:col>
      <xdr:colOff>152400</xdr:colOff>
      <xdr:row>25</xdr:row>
      <xdr:rowOff>71120</xdr:rowOff>
    </xdr:from>
    <xdr:to>
      <xdr:col>9</xdr:col>
      <xdr:colOff>60960</xdr:colOff>
      <xdr:row>25</xdr:row>
      <xdr:rowOff>71120</xdr:rowOff>
    </xdr:to>
    <xdr:sp macro="" textlink="">
      <xdr:nvSpPr>
        <xdr:cNvPr id="205" name="Line 4">
          <a:extLst>
            <a:ext uri="{FF2B5EF4-FFF2-40B4-BE49-F238E27FC236}">
              <a16:creationId xmlns:a16="http://schemas.microsoft.com/office/drawing/2014/main" id="{00000000-0008-0000-0100-0000CD000000}"/>
            </a:ext>
          </a:extLst>
        </xdr:cNvPr>
        <xdr:cNvSpPr>
          <a:spLocks noChangeShapeType="1"/>
        </xdr:cNvSpPr>
      </xdr:nvSpPr>
      <xdr:spPr bwMode="auto">
        <a:xfrm>
          <a:off x="7366000" y="5252720"/>
          <a:ext cx="751840" cy="0"/>
        </a:xfrm>
        <a:prstGeom prst="line">
          <a:avLst/>
        </a:prstGeom>
        <a:noFill/>
        <a:ln w="9525">
          <a:solidFill>
            <a:srgbClr val="000000"/>
          </a:solidFill>
          <a:round/>
          <a:headEnd/>
          <a:tailEnd type="triangle" w="med" len="med"/>
        </a:ln>
      </xdr:spPr>
    </xdr:sp>
    <xdr:clientData/>
  </xdr:twoCellAnchor>
  <xdr:twoCellAnchor>
    <xdr:from>
      <xdr:col>9</xdr:col>
      <xdr:colOff>690218</xdr:colOff>
      <xdr:row>3</xdr:row>
      <xdr:rowOff>88328</xdr:rowOff>
    </xdr:from>
    <xdr:to>
      <xdr:col>10</xdr:col>
      <xdr:colOff>1452880</xdr:colOff>
      <xdr:row>5</xdr:row>
      <xdr:rowOff>141411</xdr:rowOff>
    </xdr:to>
    <xdr:sp macro="" textlink="">
      <xdr:nvSpPr>
        <xdr:cNvPr id="48" name="AutoShape 7">
          <a:extLst>
            <a:ext uri="{FF2B5EF4-FFF2-40B4-BE49-F238E27FC236}">
              <a16:creationId xmlns:a16="http://schemas.microsoft.com/office/drawing/2014/main" id="{00000000-0008-0000-0100-000030000000}"/>
            </a:ext>
          </a:extLst>
        </xdr:cNvPr>
        <xdr:cNvSpPr>
          <a:spLocks noChangeAspect="1" noChangeArrowheads="1"/>
        </xdr:cNvSpPr>
      </xdr:nvSpPr>
      <xdr:spPr bwMode="auto">
        <a:xfrm>
          <a:off x="8747098" y="799528"/>
          <a:ext cx="1605942" cy="459483"/>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100" b="0" i="0" strike="noStrike">
              <a:solidFill>
                <a:srgbClr val="FF0000"/>
              </a:solidFill>
              <a:latin typeface="Calibri"/>
              <a:cs typeface="Calibri"/>
            </a:rPr>
            <a:t>MRT Station Data</a:t>
          </a:r>
          <a:r>
            <a:rPr lang="en-US" sz="1100" b="0" i="0" strike="noStrike" baseline="0">
              <a:solidFill>
                <a:srgbClr val="FF0000"/>
              </a:solidFill>
              <a:latin typeface="Calibri"/>
              <a:cs typeface="Calibri"/>
            </a:rPr>
            <a:t>set</a:t>
          </a:r>
          <a:endParaRPr lang="en-US" sz="1100" b="0" i="0" strike="noStrike">
            <a:solidFill>
              <a:srgbClr val="FF0000"/>
            </a:solidFill>
            <a:latin typeface="Calibri"/>
            <a:cs typeface="Calibri"/>
          </a:endParaRPr>
        </a:p>
      </xdr:txBody>
    </xdr:sp>
    <xdr:clientData/>
  </xdr:twoCellAnchor>
  <xdr:twoCellAnchor>
    <xdr:from>
      <xdr:col>6</xdr:col>
      <xdr:colOff>538480</xdr:colOff>
      <xdr:row>23</xdr:row>
      <xdr:rowOff>177525</xdr:rowOff>
    </xdr:from>
    <xdr:to>
      <xdr:col>8</xdr:col>
      <xdr:colOff>152400</xdr:colOff>
      <xdr:row>27</xdr:row>
      <xdr:rowOff>5958</xdr:rowOff>
    </xdr:to>
    <xdr:sp macro="" textlink="">
      <xdr:nvSpPr>
        <xdr:cNvPr id="38" name="AutoShape 26">
          <a:extLst>
            <a:ext uri="{FF2B5EF4-FFF2-40B4-BE49-F238E27FC236}">
              <a16:creationId xmlns:a16="http://schemas.microsoft.com/office/drawing/2014/main" id="{00000000-0008-0000-0100-000026000000}"/>
            </a:ext>
          </a:extLst>
        </xdr:cNvPr>
        <xdr:cNvSpPr>
          <a:spLocks noChangeAspect="1" noChangeArrowheads="1"/>
        </xdr:cNvSpPr>
      </xdr:nvSpPr>
      <xdr:spPr bwMode="auto">
        <a:xfrm>
          <a:off x="6065520" y="4952725"/>
          <a:ext cx="1300480" cy="641233"/>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100" b="0" i="0" strike="noStrike">
              <a:solidFill>
                <a:srgbClr val="00B050"/>
              </a:solidFill>
              <a:latin typeface="Calibri"/>
              <a:cs typeface="Calibri"/>
            </a:rPr>
            <a:t>Calculation</a:t>
          </a:r>
          <a:r>
            <a:rPr lang="en-US" sz="1100" b="0" i="0" strike="noStrike" baseline="0">
              <a:solidFill>
                <a:srgbClr val="00B050"/>
              </a:solidFill>
              <a:latin typeface="Calibri"/>
              <a:cs typeface="Calibri"/>
            </a:rPr>
            <a:t> of Final "Value" of Flat</a:t>
          </a:r>
          <a:endParaRPr lang="en-US" sz="1100" b="0" i="0" strike="noStrike">
            <a:solidFill>
              <a:srgbClr val="00B050"/>
            </a:solidFill>
            <a:latin typeface="Calibri"/>
            <a:cs typeface="Calibri"/>
          </a:endParaRPr>
        </a:p>
      </xdr:txBody>
    </xdr:sp>
    <xdr:clientData/>
  </xdr:twoCellAnchor>
  <xdr:twoCellAnchor>
    <xdr:from>
      <xdr:col>7</xdr:col>
      <xdr:colOff>250960</xdr:colOff>
      <xdr:row>2</xdr:row>
      <xdr:rowOff>80916</xdr:rowOff>
    </xdr:from>
    <xdr:to>
      <xdr:col>8</xdr:col>
      <xdr:colOff>602174</xdr:colOff>
      <xdr:row>5</xdr:row>
      <xdr:rowOff>15912</xdr:rowOff>
    </xdr:to>
    <xdr:sp macro="" textlink="">
      <xdr:nvSpPr>
        <xdr:cNvPr id="44" name="AutoShape 7">
          <a:extLst>
            <a:ext uri="{FF2B5EF4-FFF2-40B4-BE49-F238E27FC236}">
              <a16:creationId xmlns:a16="http://schemas.microsoft.com/office/drawing/2014/main" id="{00000000-0008-0000-0100-00002C000000}"/>
            </a:ext>
          </a:extLst>
        </xdr:cNvPr>
        <xdr:cNvSpPr>
          <a:spLocks noChangeAspect="1" noChangeArrowheads="1"/>
        </xdr:cNvSpPr>
      </xdr:nvSpPr>
      <xdr:spPr bwMode="auto">
        <a:xfrm>
          <a:off x="6621280" y="588916"/>
          <a:ext cx="1194494" cy="544596"/>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marL="0" indent="0" algn="ctr" rtl="0">
            <a:defRPr sz="1000"/>
          </a:pPr>
          <a:r>
            <a:rPr lang="en-US" sz="1100" b="0" i="0" strike="noStrike">
              <a:solidFill>
                <a:srgbClr val="FF0000"/>
              </a:solidFill>
              <a:latin typeface="Calibri"/>
              <a:ea typeface="+mn-ea"/>
              <a:cs typeface="Calibri"/>
            </a:rPr>
            <a:t>Available Flats in Time Period</a:t>
          </a:r>
        </a:p>
      </xdr:txBody>
    </xdr:sp>
    <xdr:clientData/>
  </xdr:twoCellAnchor>
  <xdr:twoCellAnchor>
    <xdr:from>
      <xdr:col>10</xdr:col>
      <xdr:colOff>1798320</xdr:colOff>
      <xdr:row>11</xdr:row>
      <xdr:rowOff>111760</xdr:rowOff>
    </xdr:from>
    <xdr:to>
      <xdr:col>12</xdr:col>
      <xdr:colOff>71120</xdr:colOff>
      <xdr:row>11</xdr:row>
      <xdr:rowOff>121919</xdr:rowOff>
    </xdr:to>
    <xdr:sp macro="" textlink="">
      <xdr:nvSpPr>
        <xdr:cNvPr id="211" name="Line 4">
          <a:extLst>
            <a:ext uri="{FF2B5EF4-FFF2-40B4-BE49-F238E27FC236}">
              <a16:creationId xmlns:a16="http://schemas.microsoft.com/office/drawing/2014/main" id="{00000000-0008-0000-0100-0000D3000000}"/>
            </a:ext>
          </a:extLst>
        </xdr:cNvPr>
        <xdr:cNvSpPr>
          <a:spLocks noChangeShapeType="1"/>
        </xdr:cNvSpPr>
      </xdr:nvSpPr>
      <xdr:spPr bwMode="auto">
        <a:xfrm flipH="1">
          <a:off x="10698480" y="2448560"/>
          <a:ext cx="1280160" cy="10159"/>
        </a:xfrm>
        <a:prstGeom prst="line">
          <a:avLst/>
        </a:prstGeom>
        <a:noFill/>
        <a:ln w="9525">
          <a:solidFill>
            <a:srgbClr val="000000"/>
          </a:solidFill>
          <a:round/>
          <a:headEnd/>
          <a:tailEnd type="triangle" w="med" len="med"/>
        </a:ln>
      </xdr:spPr>
    </xdr:sp>
    <xdr:clientData/>
  </xdr:twoCellAnchor>
  <xdr:twoCellAnchor>
    <xdr:from>
      <xdr:col>6</xdr:col>
      <xdr:colOff>172719</xdr:colOff>
      <xdr:row>7</xdr:row>
      <xdr:rowOff>161120</xdr:rowOff>
    </xdr:from>
    <xdr:to>
      <xdr:col>8</xdr:col>
      <xdr:colOff>383108</xdr:colOff>
      <xdr:row>13</xdr:row>
      <xdr:rowOff>91441</xdr:rowOff>
    </xdr:to>
    <xdr:sp macro="" textlink="">
      <xdr:nvSpPr>
        <xdr:cNvPr id="34" name="AutoShape 7">
          <a:extLst>
            <a:ext uri="{FF2B5EF4-FFF2-40B4-BE49-F238E27FC236}">
              <a16:creationId xmlns:a16="http://schemas.microsoft.com/office/drawing/2014/main" id="{00000000-0008-0000-0100-000022000000}"/>
            </a:ext>
            <a:ext uri="{147F2762-F138-4A5C-976F-8EAC2B608ADB}">
              <a16:predDERef xmlns:a16="http://schemas.microsoft.com/office/drawing/2014/main" pred="{77EE01AB-5E41-C648-AAC7-1575E5819CFC}"/>
            </a:ext>
          </a:extLst>
        </xdr:cNvPr>
        <xdr:cNvSpPr>
          <a:spLocks noChangeAspect="1" noChangeArrowheads="1"/>
        </xdr:cNvSpPr>
      </xdr:nvSpPr>
      <xdr:spPr bwMode="auto">
        <a:xfrm>
          <a:off x="5650779" y="1658583"/>
          <a:ext cx="1878448" cy="1124500"/>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100" b="1" i="0" strike="noStrike">
              <a:solidFill>
                <a:srgbClr val="FF0000"/>
              </a:solidFill>
              <a:latin typeface="Calibri"/>
              <a:ea typeface="+mn-ea"/>
              <a:cs typeface="Calibri"/>
            </a:rPr>
            <a:t>User's Basic Information</a:t>
          </a:r>
        </a:p>
        <a:p>
          <a:pPr algn="ctr" rtl="0">
            <a:defRPr sz="1000"/>
          </a:pPr>
          <a:r>
            <a:rPr lang="en-US" sz="1100" b="0" i="0" strike="noStrike">
              <a:solidFill>
                <a:srgbClr val="FF0000"/>
              </a:solidFill>
              <a:latin typeface="Calibri"/>
              <a:ea typeface="+mn-ea"/>
              <a:cs typeface="Calibri"/>
            </a:rPr>
            <a:t>-</a:t>
          </a:r>
          <a:r>
            <a:rPr lang="en-US" sz="1100" b="0" i="0" strike="noStrike" baseline="0">
              <a:solidFill>
                <a:srgbClr val="FF0000"/>
              </a:solidFill>
              <a:latin typeface="Calibri"/>
              <a:ea typeface="+mn-ea"/>
              <a:cs typeface="Calibri"/>
            </a:rPr>
            <a:t> Single or Couple?</a:t>
          </a:r>
        </a:p>
        <a:p>
          <a:pPr algn="ctr" rtl="0">
            <a:defRPr sz="1000"/>
          </a:pPr>
          <a:r>
            <a:rPr lang="en-US" sz="1100" b="0" i="0" strike="noStrike" baseline="0">
              <a:solidFill>
                <a:srgbClr val="FF0000"/>
              </a:solidFill>
              <a:latin typeface="Calibri"/>
              <a:ea typeface="+mn-ea"/>
              <a:cs typeface="Calibri"/>
            </a:rPr>
            <a:t>- Max budget</a:t>
          </a:r>
        </a:p>
        <a:p>
          <a:pPr algn="ctr" rtl="0">
            <a:defRPr sz="1000"/>
          </a:pPr>
          <a:r>
            <a:rPr lang="en-US" sz="1100" b="0" i="0" strike="noStrike" baseline="0">
              <a:solidFill>
                <a:srgbClr val="FF0000"/>
              </a:solidFill>
              <a:latin typeface="Calibri"/>
              <a:ea typeface="+mn-ea"/>
              <a:cs typeface="Calibri"/>
            </a:rPr>
            <a:t>- Monthly income</a:t>
          </a:r>
        </a:p>
      </xdr:txBody>
    </xdr:sp>
    <xdr:clientData/>
  </xdr:twoCellAnchor>
  <xdr:twoCellAnchor>
    <xdr:from>
      <xdr:col>7</xdr:col>
      <xdr:colOff>406399</xdr:colOff>
      <xdr:row>20</xdr:row>
      <xdr:rowOff>40641</xdr:rowOff>
    </xdr:from>
    <xdr:to>
      <xdr:col>7</xdr:col>
      <xdr:colOff>406400</xdr:colOff>
      <xdr:row>23</xdr:row>
      <xdr:rowOff>172720</xdr:rowOff>
    </xdr:to>
    <xdr:sp macro="" textlink="">
      <xdr:nvSpPr>
        <xdr:cNvPr id="213" name="Line 4">
          <a:extLst>
            <a:ext uri="{FF2B5EF4-FFF2-40B4-BE49-F238E27FC236}">
              <a16:creationId xmlns:a16="http://schemas.microsoft.com/office/drawing/2014/main" id="{00000000-0008-0000-0100-0000D5000000}"/>
            </a:ext>
          </a:extLst>
        </xdr:cNvPr>
        <xdr:cNvSpPr>
          <a:spLocks noChangeShapeType="1"/>
        </xdr:cNvSpPr>
      </xdr:nvSpPr>
      <xdr:spPr bwMode="auto">
        <a:xfrm>
          <a:off x="6776719" y="4206241"/>
          <a:ext cx="1" cy="741679"/>
        </a:xfrm>
        <a:prstGeom prst="line">
          <a:avLst/>
        </a:prstGeom>
        <a:noFill/>
        <a:ln w="9525">
          <a:solidFill>
            <a:srgbClr val="000000"/>
          </a:solidFill>
          <a:round/>
          <a:headEnd/>
          <a:tailEnd type="triangle" w="med" len="med"/>
        </a:ln>
      </xdr:spPr>
    </xdr:sp>
    <xdr:clientData/>
  </xdr:twoCellAnchor>
  <xdr:twoCellAnchor>
    <xdr:from>
      <xdr:col>3</xdr:col>
      <xdr:colOff>91439</xdr:colOff>
      <xdr:row>16</xdr:row>
      <xdr:rowOff>187114</xdr:rowOff>
    </xdr:from>
    <xdr:to>
      <xdr:col>5</xdr:col>
      <xdr:colOff>406400</xdr:colOff>
      <xdr:row>23</xdr:row>
      <xdr:rowOff>123209</xdr:rowOff>
    </xdr:to>
    <xdr:sp macro="" textlink="">
      <xdr:nvSpPr>
        <xdr:cNvPr id="199" name="AutoShape 7">
          <a:extLst>
            <a:ext uri="{FF2B5EF4-FFF2-40B4-BE49-F238E27FC236}">
              <a16:creationId xmlns:a16="http://schemas.microsoft.com/office/drawing/2014/main" id="{00000000-0008-0000-0100-0000C7000000}"/>
            </a:ext>
          </a:extLst>
        </xdr:cNvPr>
        <xdr:cNvSpPr>
          <a:spLocks noChangeAspect="1" noChangeArrowheads="1"/>
        </xdr:cNvSpPr>
      </xdr:nvSpPr>
      <xdr:spPr bwMode="auto">
        <a:xfrm>
          <a:off x="3067409" y="3475845"/>
          <a:ext cx="1983021" cy="1329304"/>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100" b="1" i="0" strike="noStrike">
              <a:solidFill>
                <a:srgbClr val="FF0000"/>
              </a:solidFill>
              <a:latin typeface="Calibri"/>
              <a:ea typeface="+mn-ea"/>
              <a:cs typeface="Calibri"/>
            </a:rPr>
            <a:t>User's</a:t>
          </a:r>
          <a:r>
            <a:rPr lang="en-US" sz="1100" b="1" i="0" strike="noStrike" baseline="0">
              <a:solidFill>
                <a:srgbClr val="FF0000"/>
              </a:solidFill>
              <a:latin typeface="Calibri"/>
              <a:ea typeface="+mn-ea"/>
              <a:cs typeface="Calibri"/>
            </a:rPr>
            <a:t>  Preferences Priority</a:t>
          </a:r>
        </a:p>
        <a:p>
          <a:pPr algn="ctr" rtl="0">
            <a:defRPr sz="1000"/>
          </a:pPr>
          <a:r>
            <a:rPr lang="en-US" sz="1100" b="0" i="0" strike="noStrike" baseline="0">
              <a:solidFill>
                <a:srgbClr val="FF0000"/>
              </a:solidFill>
              <a:latin typeface="Calibri"/>
              <a:ea typeface="+mn-ea"/>
              <a:cs typeface="Calibri"/>
            </a:rPr>
            <a:t>- Walking Time to near Amenities   </a:t>
          </a:r>
        </a:p>
        <a:p>
          <a:pPr algn="ctr" rtl="0">
            <a:defRPr sz="1000"/>
          </a:pPr>
          <a:r>
            <a:rPr lang="en-US" sz="1100" b="0" i="0" strike="noStrike" baseline="0">
              <a:solidFill>
                <a:srgbClr val="FF0000"/>
              </a:solidFill>
              <a:latin typeface="Calibri"/>
              <a:ea typeface="+mn-ea"/>
              <a:cs typeface="Calibri"/>
            </a:rPr>
            <a:t>- House Remaining Lease</a:t>
          </a:r>
        </a:p>
        <a:p>
          <a:pPr algn="ctr" rtl="0">
            <a:defRPr sz="1000"/>
          </a:pPr>
          <a:r>
            <a:rPr lang="en-US" sz="1100" b="0" i="0" strike="noStrike" baseline="0">
              <a:solidFill>
                <a:srgbClr val="FF0000"/>
              </a:solidFill>
              <a:latin typeface="Calibri"/>
              <a:ea typeface="+mn-ea"/>
              <a:cs typeface="Calibri"/>
            </a:rPr>
            <a:t>- Floor Area (sq m)</a:t>
          </a:r>
        </a:p>
        <a:p>
          <a:pPr algn="ctr" rtl="0">
            <a:defRPr sz="1000"/>
          </a:pPr>
          <a:r>
            <a:rPr lang="en-US" sz="1100" b="0" i="0" strike="noStrike" baseline="0">
              <a:solidFill>
                <a:srgbClr val="FF0000"/>
              </a:solidFill>
              <a:latin typeface="Calibri"/>
              <a:ea typeface="+mn-ea"/>
              <a:cs typeface="Calibri"/>
            </a:rPr>
            <a:t>- Price of Flat</a:t>
          </a:r>
        </a:p>
      </xdr:txBody>
    </xdr:sp>
    <xdr:clientData/>
  </xdr:twoCellAnchor>
  <xdr:twoCellAnchor>
    <xdr:from>
      <xdr:col>2</xdr:col>
      <xdr:colOff>658913</xdr:colOff>
      <xdr:row>6</xdr:row>
      <xdr:rowOff>94777</xdr:rowOff>
    </xdr:from>
    <xdr:to>
      <xdr:col>5</xdr:col>
      <xdr:colOff>428931</xdr:colOff>
      <xdr:row>16</xdr:row>
      <xdr:rowOff>47389</xdr:rowOff>
    </xdr:to>
    <xdr:sp macro="" textlink="">
      <xdr:nvSpPr>
        <xdr:cNvPr id="23" name="AutoShape 7">
          <a:extLst>
            <a:ext uri="{FF2B5EF4-FFF2-40B4-BE49-F238E27FC236}">
              <a16:creationId xmlns:a16="http://schemas.microsoft.com/office/drawing/2014/main" id="{00000000-0008-0000-0100-000017000000}"/>
            </a:ext>
            <a:ext uri="{147F2762-F138-4A5C-976F-8EAC2B608ADB}">
              <a16:predDERef xmlns:a16="http://schemas.microsoft.com/office/drawing/2014/main" pred="{77EE01AB-5E41-C648-AAC7-1575E5819CFC}"/>
            </a:ext>
          </a:extLst>
        </xdr:cNvPr>
        <xdr:cNvSpPr>
          <a:spLocks noChangeAspect="1" noChangeArrowheads="1"/>
        </xdr:cNvSpPr>
      </xdr:nvSpPr>
      <xdr:spPr bwMode="auto">
        <a:xfrm>
          <a:off x="2800853" y="1393210"/>
          <a:ext cx="2272108" cy="1942910"/>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200" b="1" i="0" strike="noStrike">
              <a:solidFill>
                <a:srgbClr val="FF0000"/>
              </a:solidFill>
              <a:latin typeface="Calibri"/>
              <a:ea typeface="+mn-ea"/>
              <a:cs typeface="Calibri"/>
            </a:rPr>
            <a:t>User's HDB</a:t>
          </a:r>
          <a:r>
            <a:rPr lang="en-US" sz="1200" b="1" i="0" strike="noStrike" baseline="0">
              <a:solidFill>
                <a:srgbClr val="FF0000"/>
              </a:solidFill>
              <a:latin typeface="Calibri"/>
              <a:ea typeface="+mn-ea"/>
              <a:cs typeface="Calibri"/>
            </a:rPr>
            <a:t> Preferences</a:t>
          </a:r>
        </a:p>
        <a:p>
          <a:pPr marL="0" marR="0" lvl="0" indent="0" algn="ctr" defTabSz="914400" rtl="0" eaLnBrk="1" fontAlgn="auto" latinLnBrk="0" hangingPunct="1">
            <a:lnSpc>
              <a:spcPct val="100000"/>
            </a:lnSpc>
            <a:spcBef>
              <a:spcPts val="0"/>
            </a:spcBef>
            <a:spcAft>
              <a:spcPts val="0"/>
            </a:spcAft>
            <a:buClrTx/>
            <a:buSzTx/>
            <a:buFontTx/>
            <a:buNone/>
            <a:tabLst/>
            <a:defRPr sz="1000"/>
          </a:pPr>
          <a:r>
            <a:rPr lang="en-US" sz="1200" b="0" i="0" strike="noStrike" baseline="0">
              <a:solidFill>
                <a:srgbClr val="FF0000"/>
              </a:solidFill>
              <a:latin typeface="+mn-lt"/>
              <a:ea typeface="+mn-ea"/>
              <a:cs typeface="Calibri"/>
            </a:rPr>
            <a:t>- Budget for Housing</a:t>
          </a:r>
        </a:p>
        <a:p>
          <a:pPr marL="0" marR="0" lvl="0" indent="0" algn="ctr" defTabSz="914400" rtl="0" eaLnBrk="1" fontAlgn="auto" latinLnBrk="0" hangingPunct="1">
            <a:lnSpc>
              <a:spcPct val="100000"/>
            </a:lnSpc>
            <a:spcBef>
              <a:spcPts val="0"/>
            </a:spcBef>
            <a:spcAft>
              <a:spcPts val="0"/>
            </a:spcAft>
            <a:buClrTx/>
            <a:buSzTx/>
            <a:buFontTx/>
            <a:buNone/>
            <a:tabLst/>
            <a:defRPr sz="1000"/>
          </a:pPr>
          <a:r>
            <a:rPr lang="en-US" sz="1200" b="0" i="0" strike="noStrike" baseline="0">
              <a:solidFill>
                <a:srgbClr val="FF0000"/>
              </a:solidFill>
              <a:latin typeface="+mn-lt"/>
              <a:ea typeface="+mn-ea"/>
              <a:cs typeface="Calibri"/>
            </a:rPr>
            <a:t>- Flat type</a:t>
          </a:r>
          <a:endParaRPr lang="en-US" sz="1200" b="0" i="0" strike="noStrike">
            <a:solidFill>
              <a:srgbClr val="FF0000"/>
            </a:solidFill>
            <a:latin typeface="Calibri"/>
            <a:ea typeface="+mn-ea"/>
            <a:cs typeface="Calibri"/>
          </a:endParaRPr>
        </a:p>
        <a:p>
          <a:pPr algn="ctr" rtl="0">
            <a:defRPr sz="1000"/>
          </a:pPr>
          <a:r>
            <a:rPr lang="en-US" sz="1200" b="0" i="0" strike="noStrike">
              <a:solidFill>
                <a:srgbClr val="FF0000"/>
              </a:solidFill>
              <a:latin typeface="Calibri"/>
              <a:ea typeface="+mn-ea"/>
              <a:cs typeface="Calibri"/>
            </a:rPr>
            <a:t>- Location (Town)</a:t>
          </a:r>
        </a:p>
        <a:p>
          <a:pPr algn="ctr" rtl="0">
            <a:defRPr sz="1000"/>
          </a:pPr>
          <a:r>
            <a:rPr lang="en-US" sz="1200" b="0" i="0" strike="noStrike" baseline="0">
              <a:solidFill>
                <a:srgbClr val="FF0000"/>
              </a:solidFill>
              <a:latin typeface="Calibri"/>
              <a:ea typeface="+mn-ea"/>
              <a:cs typeface="Calibri"/>
            </a:rPr>
            <a:t>- Unit floor</a:t>
          </a:r>
        </a:p>
        <a:p>
          <a:pPr algn="ctr" rtl="0">
            <a:defRPr sz="1000"/>
          </a:pPr>
          <a:r>
            <a:rPr lang="en-US" sz="1200" b="0" i="0" strike="noStrike" baseline="0">
              <a:solidFill>
                <a:srgbClr val="FF0000"/>
              </a:solidFill>
              <a:latin typeface="Calibri"/>
              <a:ea typeface="+mn-ea"/>
              <a:cs typeface="Calibri"/>
            </a:rPr>
            <a:t>- Max. Average Walking Time to nearest Amenities</a:t>
          </a:r>
        </a:p>
        <a:p>
          <a:pPr algn="ctr" rtl="0">
            <a:defRPr sz="1000"/>
          </a:pPr>
          <a:r>
            <a:rPr lang="en-US" sz="1200" b="0" i="0" strike="noStrike" baseline="0">
              <a:solidFill>
                <a:srgbClr val="FF0000"/>
              </a:solidFill>
              <a:latin typeface="Calibri"/>
              <a:ea typeface="+mn-ea"/>
              <a:cs typeface="Calibri"/>
            </a:rPr>
            <a:t>- Min. House Remaining Lease</a:t>
          </a:r>
        </a:p>
        <a:p>
          <a:pPr algn="ctr" rtl="0">
            <a:defRPr sz="1000"/>
          </a:pPr>
          <a:r>
            <a:rPr lang="en-US" sz="1200" b="0" i="0" strike="noStrike" baseline="0">
              <a:solidFill>
                <a:srgbClr val="FF0000"/>
              </a:solidFill>
              <a:latin typeface="Calibri"/>
              <a:ea typeface="+mn-ea"/>
              <a:cs typeface="Calibri"/>
            </a:rPr>
            <a:t>-Min. Floor Area</a:t>
          </a:r>
        </a:p>
      </xdr:txBody>
    </xdr:sp>
    <xdr:clientData/>
  </xdr:twoCellAnchor>
  <xdr:twoCellAnchor>
    <xdr:from>
      <xdr:col>6</xdr:col>
      <xdr:colOff>667614</xdr:colOff>
      <xdr:row>17</xdr:row>
      <xdr:rowOff>71572</xdr:rowOff>
    </xdr:from>
    <xdr:to>
      <xdr:col>8</xdr:col>
      <xdr:colOff>152994</xdr:colOff>
      <xdr:row>20</xdr:row>
      <xdr:rowOff>160019</xdr:rowOff>
    </xdr:to>
    <xdr:sp macro="" textlink="">
      <xdr:nvSpPr>
        <xdr:cNvPr id="36" name="AutoShape 26">
          <a:extLst>
            <a:ext uri="{FF2B5EF4-FFF2-40B4-BE49-F238E27FC236}">
              <a16:creationId xmlns:a16="http://schemas.microsoft.com/office/drawing/2014/main" id="{00000000-0008-0000-0100-000024000000}"/>
            </a:ext>
          </a:extLst>
        </xdr:cNvPr>
        <xdr:cNvSpPr>
          <a:spLocks noChangeAspect="1" noChangeArrowheads="1"/>
        </xdr:cNvSpPr>
      </xdr:nvSpPr>
      <xdr:spPr bwMode="auto">
        <a:xfrm>
          <a:off x="5351374" y="3627572"/>
          <a:ext cx="1171940" cy="698047"/>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100" b="0" i="0" strike="noStrike">
              <a:solidFill>
                <a:srgbClr val="05B050"/>
              </a:solidFill>
              <a:latin typeface="Calibri"/>
              <a:cs typeface="Calibri"/>
            </a:rPr>
            <a:t>Filtering of housing options</a:t>
          </a:r>
        </a:p>
      </xdr:txBody>
    </xdr:sp>
    <xdr:clientData/>
  </xdr:twoCellAnchor>
  <xdr:twoCellAnchor>
    <xdr:from>
      <xdr:col>5</xdr:col>
      <xdr:colOff>426719</xdr:colOff>
      <xdr:row>14</xdr:row>
      <xdr:rowOff>20320</xdr:rowOff>
    </xdr:from>
    <xdr:to>
      <xdr:col>6</xdr:col>
      <xdr:colOff>680720</xdr:colOff>
      <xdr:row>18</xdr:row>
      <xdr:rowOff>132079</xdr:rowOff>
    </xdr:to>
    <xdr:sp macro="" textlink="">
      <xdr:nvSpPr>
        <xdr:cNvPr id="217" name="Line 4">
          <a:extLst>
            <a:ext uri="{FF2B5EF4-FFF2-40B4-BE49-F238E27FC236}">
              <a16:creationId xmlns:a16="http://schemas.microsoft.com/office/drawing/2014/main" id="{00000000-0008-0000-0100-0000D9000000}"/>
            </a:ext>
          </a:extLst>
        </xdr:cNvPr>
        <xdr:cNvSpPr>
          <a:spLocks noChangeShapeType="1"/>
        </xdr:cNvSpPr>
      </xdr:nvSpPr>
      <xdr:spPr bwMode="auto">
        <a:xfrm>
          <a:off x="5110479" y="2966720"/>
          <a:ext cx="1097281" cy="924559"/>
        </a:xfrm>
        <a:prstGeom prst="line">
          <a:avLst/>
        </a:prstGeom>
        <a:noFill/>
        <a:ln w="9525">
          <a:solidFill>
            <a:srgbClr val="000000"/>
          </a:solidFill>
          <a:round/>
          <a:headEnd/>
          <a:tailEnd type="triangle" w="med" len="med"/>
        </a:ln>
      </xdr:spPr>
    </xdr:sp>
    <xdr:clientData/>
  </xdr:twoCellAnchor>
  <xdr:twoCellAnchor>
    <xdr:from>
      <xdr:col>5</xdr:col>
      <xdr:colOff>406400</xdr:colOff>
      <xdr:row>19</xdr:row>
      <xdr:rowOff>81278</xdr:rowOff>
    </xdr:from>
    <xdr:to>
      <xdr:col>6</xdr:col>
      <xdr:colOff>660399</xdr:colOff>
      <xdr:row>19</xdr:row>
      <xdr:rowOff>81280</xdr:rowOff>
    </xdr:to>
    <xdr:sp macro="" textlink="">
      <xdr:nvSpPr>
        <xdr:cNvPr id="218" name="Line 4">
          <a:extLst>
            <a:ext uri="{FF2B5EF4-FFF2-40B4-BE49-F238E27FC236}">
              <a16:creationId xmlns:a16="http://schemas.microsoft.com/office/drawing/2014/main" id="{00000000-0008-0000-0100-0000DA000000}"/>
            </a:ext>
          </a:extLst>
        </xdr:cNvPr>
        <xdr:cNvSpPr>
          <a:spLocks noChangeShapeType="1"/>
        </xdr:cNvSpPr>
      </xdr:nvSpPr>
      <xdr:spPr bwMode="auto">
        <a:xfrm flipV="1">
          <a:off x="5090160" y="4043678"/>
          <a:ext cx="1097279" cy="2"/>
        </a:xfrm>
        <a:prstGeom prst="line">
          <a:avLst/>
        </a:prstGeom>
        <a:noFill/>
        <a:ln w="9525">
          <a:solidFill>
            <a:srgbClr val="000000"/>
          </a:solidFill>
          <a:round/>
          <a:headEnd/>
          <a:tailEnd type="triangle" w="med" len="med"/>
        </a:ln>
      </xdr:spPr>
    </xdr:sp>
    <xdr:clientData/>
  </xdr:twoCellAnchor>
  <xdr:twoCellAnchor>
    <xdr:from>
      <xdr:col>8</xdr:col>
      <xdr:colOff>152400</xdr:colOff>
      <xdr:row>18</xdr:row>
      <xdr:rowOff>203199</xdr:rowOff>
    </xdr:from>
    <xdr:to>
      <xdr:col>9</xdr:col>
      <xdr:colOff>436880</xdr:colOff>
      <xdr:row>19</xdr:row>
      <xdr:rowOff>0</xdr:rowOff>
    </xdr:to>
    <xdr:sp macro="" textlink="">
      <xdr:nvSpPr>
        <xdr:cNvPr id="219" name="Line 4">
          <a:extLst>
            <a:ext uri="{FF2B5EF4-FFF2-40B4-BE49-F238E27FC236}">
              <a16:creationId xmlns:a16="http://schemas.microsoft.com/office/drawing/2014/main" id="{00000000-0008-0000-0100-0000DB000000}"/>
            </a:ext>
          </a:extLst>
        </xdr:cNvPr>
        <xdr:cNvSpPr>
          <a:spLocks noChangeShapeType="1"/>
        </xdr:cNvSpPr>
      </xdr:nvSpPr>
      <xdr:spPr bwMode="auto">
        <a:xfrm flipH="1">
          <a:off x="7366000" y="3962399"/>
          <a:ext cx="1127760" cy="1"/>
        </a:xfrm>
        <a:prstGeom prst="line">
          <a:avLst/>
        </a:prstGeom>
        <a:noFill/>
        <a:ln w="9525">
          <a:solidFill>
            <a:srgbClr val="000000"/>
          </a:solidFill>
          <a:round/>
          <a:headEnd/>
          <a:tailEnd type="triangle" w="med" len="med"/>
        </a:ln>
      </xdr:spPr>
    </xdr:sp>
    <xdr:clientData/>
  </xdr:twoCellAnchor>
  <xdr:twoCellAnchor>
    <xdr:from>
      <xdr:col>8</xdr:col>
      <xdr:colOff>76200</xdr:colOff>
      <xdr:row>5</xdr:row>
      <xdr:rowOff>17780</xdr:rowOff>
    </xdr:from>
    <xdr:to>
      <xdr:col>9</xdr:col>
      <xdr:colOff>345440</xdr:colOff>
      <xdr:row>10</xdr:row>
      <xdr:rowOff>40640</xdr:rowOff>
    </xdr:to>
    <xdr:sp macro="" textlink="">
      <xdr:nvSpPr>
        <xdr:cNvPr id="220" name="Line 4">
          <a:extLst>
            <a:ext uri="{FF2B5EF4-FFF2-40B4-BE49-F238E27FC236}">
              <a16:creationId xmlns:a16="http://schemas.microsoft.com/office/drawing/2014/main" id="{00000000-0008-0000-0100-0000DC000000}"/>
            </a:ext>
          </a:extLst>
        </xdr:cNvPr>
        <xdr:cNvSpPr>
          <a:spLocks noChangeShapeType="1"/>
        </xdr:cNvSpPr>
      </xdr:nvSpPr>
      <xdr:spPr bwMode="auto">
        <a:xfrm>
          <a:off x="7289800" y="1135380"/>
          <a:ext cx="1112520" cy="1038860"/>
        </a:xfrm>
        <a:prstGeom prst="line">
          <a:avLst/>
        </a:prstGeom>
        <a:noFill/>
        <a:ln w="9525">
          <a:solidFill>
            <a:srgbClr val="000000"/>
          </a:solidFill>
          <a:round/>
          <a:headEnd/>
          <a:tailEnd type="triangle" w="med" len="med"/>
        </a:ln>
      </xdr:spPr>
    </xdr:sp>
    <xdr:clientData/>
  </xdr:twoCellAnchor>
  <xdr:twoCellAnchor>
    <xdr:from>
      <xdr:col>9</xdr:col>
      <xdr:colOff>338667</xdr:colOff>
      <xdr:row>10</xdr:row>
      <xdr:rowOff>6773</xdr:rowOff>
    </xdr:from>
    <xdr:to>
      <xdr:col>10</xdr:col>
      <xdr:colOff>1778000</xdr:colOff>
      <xdr:row>13</xdr:row>
      <xdr:rowOff>22778</xdr:rowOff>
    </xdr:to>
    <xdr:sp macro="" textlink="">
      <xdr:nvSpPr>
        <xdr:cNvPr id="46" name="AutoShape 26">
          <a:extLst>
            <a:ext uri="{FF2B5EF4-FFF2-40B4-BE49-F238E27FC236}">
              <a16:creationId xmlns:a16="http://schemas.microsoft.com/office/drawing/2014/main" id="{00000000-0008-0000-0100-00002E000000}"/>
            </a:ext>
          </a:extLst>
        </xdr:cNvPr>
        <xdr:cNvSpPr>
          <a:spLocks noChangeAspect="1" noChangeArrowheads="1"/>
        </xdr:cNvSpPr>
      </xdr:nvSpPr>
      <xdr:spPr bwMode="auto">
        <a:xfrm>
          <a:off x="8395547" y="2140373"/>
          <a:ext cx="2282613" cy="625605"/>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100" b="0" i="0" strike="noStrike">
              <a:solidFill>
                <a:srgbClr val="00B050"/>
              </a:solidFill>
              <a:latin typeface="Calibri"/>
              <a:cs typeface="Calibri"/>
            </a:rPr>
            <a:t>Calculation</a:t>
          </a:r>
          <a:r>
            <a:rPr lang="en-US" sz="1100" b="0" i="0" strike="noStrike" baseline="0">
              <a:solidFill>
                <a:srgbClr val="00B050"/>
              </a:solidFill>
              <a:latin typeface="Calibri"/>
              <a:cs typeface="Calibri"/>
            </a:rPr>
            <a:t> of D</a:t>
          </a:r>
          <a:r>
            <a:rPr lang="en-US" sz="1100" b="0" i="0" strike="noStrike">
              <a:solidFill>
                <a:srgbClr val="00B050"/>
              </a:solidFill>
              <a:latin typeface="Calibri"/>
              <a:cs typeface="Calibri"/>
            </a:rPr>
            <a:t>istance between Amenities and Flat</a:t>
          </a:r>
        </a:p>
      </xdr:txBody>
    </xdr:sp>
    <xdr:clientData/>
  </xdr:twoCellAnchor>
  <xdr:twoCellAnchor>
    <xdr:from>
      <xdr:col>9</xdr:col>
      <xdr:colOff>372532</xdr:colOff>
      <xdr:row>17</xdr:row>
      <xdr:rowOff>67734</xdr:rowOff>
    </xdr:from>
    <xdr:to>
      <xdr:col>10</xdr:col>
      <xdr:colOff>2076180</xdr:colOff>
      <xdr:row>20</xdr:row>
      <xdr:rowOff>156181</xdr:rowOff>
    </xdr:to>
    <xdr:sp macro="" textlink="">
      <xdr:nvSpPr>
        <xdr:cNvPr id="42" name="AutoShape 26">
          <a:extLst>
            <a:ext uri="{FF2B5EF4-FFF2-40B4-BE49-F238E27FC236}">
              <a16:creationId xmlns:a16="http://schemas.microsoft.com/office/drawing/2014/main" id="{00000000-0008-0000-0100-00002A000000}"/>
            </a:ext>
          </a:extLst>
        </xdr:cNvPr>
        <xdr:cNvSpPr>
          <a:spLocks noChangeAspect="1" noChangeArrowheads="1"/>
        </xdr:cNvSpPr>
      </xdr:nvSpPr>
      <xdr:spPr bwMode="auto">
        <a:xfrm>
          <a:off x="8429412" y="3623734"/>
          <a:ext cx="2546928" cy="698047"/>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100" b="0" i="0" strike="noStrike">
              <a:solidFill>
                <a:srgbClr val="00B050"/>
              </a:solidFill>
              <a:latin typeface="Calibri"/>
              <a:cs typeface="Calibri"/>
            </a:rPr>
            <a:t>Calculation</a:t>
          </a:r>
          <a:r>
            <a:rPr lang="en-US" sz="1100" b="0" i="0" strike="noStrike" baseline="0">
              <a:solidFill>
                <a:srgbClr val="00B050"/>
              </a:solidFill>
              <a:latin typeface="Calibri"/>
              <a:cs typeface="Calibri"/>
            </a:rPr>
            <a:t> w</a:t>
          </a:r>
          <a:r>
            <a:rPr lang="en-US" sz="1100" b="0" i="0" strike="noStrike">
              <a:solidFill>
                <a:srgbClr val="00B050"/>
              </a:solidFill>
              <a:latin typeface="Calibri"/>
              <a:cs typeface="Calibri"/>
            </a:rPr>
            <a:t>alking time</a:t>
          </a:r>
          <a:r>
            <a:rPr lang="en-US" sz="1100" b="0" i="0" strike="noStrike" baseline="0">
              <a:solidFill>
                <a:srgbClr val="00B050"/>
              </a:solidFill>
              <a:latin typeface="Calibri"/>
              <a:cs typeface="Calibri"/>
            </a:rPr>
            <a:t> between amenities and flat</a:t>
          </a:r>
          <a:endParaRPr lang="en-US" sz="1100" b="0" i="0" strike="noStrike">
            <a:solidFill>
              <a:srgbClr val="00B050"/>
            </a:solidFill>
            <a:latin typeface="Calibri"/>
            <a:cs typeface="Calibri"/>
          </a:endParaRPr>
        </a:p>
      </xdr:txBody>
    </xdr:sp>
    <xdr:clientData/>
  </xdr:twoCellAnchor>
  <xdr:twoCellAnchor>
    <xdr:from>
      <xdr:col>10</xdr:col>
      <xdr:colOff>714586</xdr:colOff>
      <xdr:row>5</xdr:row>
      <xdr:rowOff>145624</xdr:rowOff>
    </xdr:from>
    <xdr:to>
      <xdr:col>10</xdr:col>
      <xdr:colOff>721360</xdr:colOff>
      <xdr:row>10</xdr:row>
      <xdr:rowOff>20320</xdr:rowOff>
    </xdr:to>
    <xdr:sp macro="" textlink="">
      <xdr:nvSpPr>
        <xdr:cNvPr id="223" name="Line 4">
          <a:extLst>
            <a:ext uri="{FF2B5EF4-FFF2-40B4-BE49-F238E27FC236}">
              <a16:creationId xmlns:a16="http://schemas.microsoft.com/office/drawing/2014/main" id="{00000000-0008-0000-0100-0000DF000000}"/>
            </a:ext>
          </a:extLst>
        </xdr:cNvPr>
        <xdr:cNvSpPr>
          <a:spLocks noChangeShapeType="1"/>
        </xdr:cNvSpPr>
      </xdr:nvSpPr>
      <xdr:spPr bwMode="auto">
        <a:xfrm>
          <a:off x="9614746" y="1263224"/>
          <a:ext cx="6774" cy="890696"/>
        </a:xfrm>
        <a:prstGeom prst="line">
          <a:avLst/>
        </a:prstGeom>
        <a:noFill/>
        <a:ln w="9525">
          <a:solidFill>
            <a:srgbClr val="000000"/>
          </a:solidFill>
          <a:round/>
          <a:headEnd/>
          <a:tailEnd type="triangle" w="med" len="med"/>
        </a:ln>
      </xdr:spPr>
    </xdr:sp>
    <xdr:clientData/>
  </xdr:twoCellAnchor>
  <xdr:twoCellAnchor>
    <xdr:from>
      <xdr:col>7</xdr:col>
      <xdr:colOff>447040</xdr:colOff>
      <xdr:row>13</xdr:row>
      <xdr:rowOff>111760</xdr:rowOff>
    </xdr:from>
    <xdr:to>
      <xdr:col>7</xdr:col>
      <xdr:colOff>447041</xdr:colOff>
      <xdr:row>17</xdr:row>
      <xdr:rowOff>71120</xdr:rowOff>
    </xdr:to>
    <xdr:sp macro="" textlink="">
      <xdr:nvSpPr>
        <xdr:cNvPr id="224" name="Line 4">
          <a:extLst>
            <a:ext uri="{FF2B5EF4-FFF2-40B4-BE49-F238E27FC236}">
              <a16:creationId xmlns:a16="http://schemas.microsoft.com/office/drawing/2014/main" id="{00000000-0008-0000-0100-0000E0000000}"/>
            </a:ext>
          </a:extLst>
        </xdr:cNvPr>
        <xdr:cNvSpPr>
          <a:spLocks noChangeShapeType="1"/>
        </xdr:cNvSpPr>
      </xdr:nvSpPr>
      <xdr:spPr bwMode="auto">
        <a:xfrm flipH="1">
          <a:off x="6817360" y="2854960"/>
          <a:ext cx="1" cy="772160"/>
        </a:xfrm>
        <a:prstGeom prst="line">
          <a:avLst/>
        </a:prstGeom>
        <a:noFill/>
        <a:ln w="9525">
          <a:solidFill>
            <a:srgbClr val="000000"/>
          </a:solidFill>
          <a:round/>
          <a:headEnd/>
          <a:tailEnd type="triangle" w="med" len="med"/>
        </a:ln>
      </xdr:spPr>
    </xdr:sp>
    <xdr:clientData/>
  </xdr:twoCellAnchor>
  <xdr:twoCellAnchor>
    <xdr:from>
      <xdr:col>10</xdr:col>
      <xdr:colOff>1838298</xdr:colOff>
      <xdr:row>3</xdr:row>
      <xdr:rowOff>108648</xdr:rowOff>
    </xdr:from>
    <xdr:to>
      <xdr:col>12</xdr:col>
      <xdr:colOff>368758</xdr:colOff>
      <xdr:row>5</xdr:row>
      <xdr:rowOff>142240</xdr:rowOff>
    </xdr:to>
    <xdr:sp macro="" textlink="">
      <xdr:nvSpPr>
        <xdr:cNvPr id="50" name="AutoShape 7">
          <a:extLst>
            <a:ext uri="{FF2B5EF4-FFF2-40B4-BE49-F238E27FC236}">
              <a16:creationId xmlns:a16="http://schemas.microsoft.com/office/drawing/2014/main" id="{00000000-0008-0000-0100-000032000000}"/>
            </a:ext>
          </a:extLst>
        </xdr:cNvPr>
        <xdr:cNvSpPr>
          <a:spLocks noChangeAspect="1" noChangeArrowheads="1"/>
        </xdr:cNvSpPr>
      </xdr:nvSpPr>
      <xdr:spPr bwMode="auto">
        <a:xfrm>
          <a:off x="10738458" y="819848"/>
          <a:ext cx="1537820" cy="439992"/>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100" b="0" i="0" strike="noStrike" baseline="0">
              <a:solidFill>
                <a:srgbClr val="FF0000"/>
              </a:solidFill>
              <a:latin typeface="Calibri"/>
              <a:cs typeface="Calibri"/>
            </a:rPr>
            <a:t>Shopping Malls Dataset</a:t>
          </a:r>
        </a:p>
      </xdr:txBody>
    </xdr:sp>
    <xdr:clientData/>
  </xdr:twoCellAnchor>
  <xdr:twoCellAnchor>
    <xdr:from>
      <xdr:col>12</xdr:col>
      <xdr:colOff>70458</xdr:colOff>
      <xdr:row>10</xdr:row>
      <xdr:rowOff>57848</xdr:rowOff>
    </xdr:from>
    <xdr:to>
      <xdr:col>14</xdr:col>
      <xdr:colOff>12959</xdr:colOff>
      <xdr:row>12</xdr:row>
      <xdr:rowOff>132080</xdr:rowOff>
    </xdr:to>
    <xdr:sp macro="" textlink="">
      <xdr:nvSpPr>
        <xdr:cNvPr id="52" name="AutoShape 7">
          <a:extLst>
            <a:ext uri="{FF2B5EF4-FFF2-40B4-BE49-F238E27FC236}">
              <a16:creationId xmlns:a16="http://schemas.microsoft.com/office/drawing/2014/main" id="{00000000-0008-0000-0100-000034000000}"/>
            </a:ext>
          </a:extLst>
        </xdr:cNvPr>
        <xdr:cNvSpPr>
          <a:spLocks noChangeAspect="1" noChangeArrowheads="1"/>
        </xdr:cNvSpPr>
      </xdr:nvSpPr>
      <xdr:spPr bwMode="auto">
        <a:xfrm>
          <a:off x="11977978" y="2191448"/>
          <a:ext cx="1679861" cy="480632"/>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100" b="0" i="0" strike="noStrike">
              <a:solidFill>
                <a:srgbClr val="FF0000"/>
              </a:solidFill>
              <a:latin typeface="Calibri"/>
              <a:cs typeface="Calibri"/>
            </a:rPr>
            <a:t>Schools Dataset</a:t>
          </a:r>
        </a:p>
      </xdr:txBody>
    </xdr:sp>
    <xdr:clientData/>
  </xdr:twoCellAnchor>
  <xdr:twoCellAnchor>
    <xdr:from>
      <xdr:col>10</xdr:col>
      <xdr:colOff>1412240</xdr:colOff>
      <xdr:row>5</xdr:row>
      <xdr:rowOff>145624</xdr:rowOff>
    </xdr:from>
    <xdr:to>
      <xdr:col>11</xdr:col>
      <xdr:colOff>338666</xdr:colOff>
      <xdr:row>10</xdr:row>
      <xdr:rowOff>0</xdr:rowOff>
    </xdr:to>
    <xdr:sp macro="" textlink="">
      <xdr:nvSpPr>
        <xdr:cNvPr id="5" name="Line 4">
          <a:extLst>
            <a:ext uri="{FF2B5EF4-FFF2-40B4-BE49-F238E27FC236}">
              <a16:creationId xmlns:a16="http://schemas.microsoft.com/office/drawing/2014/main" id="{00000000-0008-0000-0100-000005000000}"/>
            </a:ext>
          </a:extLst>
        </xdr:cNvPr>
        <xdr:cNvSpPr>
          <a:spLocks noChangeShapeType="1"/>
        </xdr:cNvSpPr>
      </xdr:nvSpPr>
      <xdr:spPr bwMode="auto">
        <a:xfrm flipH="1">
          <a:off x="10312400" y="1263224"/>
          <a:ext cx="1141306" cy="870376"/>
        </a:xfrm>
        <a:prstGeom prst="line">
          <a:avLst/>
        </a:prstGeom>
        <a:noFill/>
        <a:ln w="9525">
          <a:solidFill>
            <a:srgbClr val="000000"/>
          </a:solidFill>
          <a:round/>
          <a:headEnd/>
          <a:tailEnd type="triangle" w="med" len="med"/>
        </a:ln>
      </xdr:spPr>
    </xdr:sp>
    <xdr:clientData/>
  </xdr:twoCellAnchor>
  <xdr:twoCellAnchor>
    <xdr:from>
      <xdr:col>10</xdr:col>
      <xdr:colOff>795866</xdr:colOff>
      <xdr:row>13</xdr:row>
      <xdr:rowOff>23704</xdr:rowOff>
    </xdr:from>
    <xdr:to>
      <xdr:col>10</xdr:col>
      <xdr:colOff>802640</xdr:colOff>
      <xdr:row>17</xdr:row>
      <xdr:rowOff>50800</xdr:rowOff>
    </xdr:to>
    <xdr:sp macro="" textlink="">
      <xdr:nvSpPr>
        <xdr:cNvPr id="6" name="Line 4">
          <a:extLst>
            <a:ext uri="{FF2B5EF4-FFF2-40B4-BE49-F238E27FC236}">
              <a16:creationId xmlns:a16="http://schemas.microsoft.com/office/drawing/2014/main" id="{00000000-0008-0000-0100-000006000000}"/>
            </a:ext>
          </a:extLst>
        </xdr:cNvPr>
        <xdr:cNvSpPr>
          <a:spLocks noChangeShapeType="1"/>
        </xdr:cNvSpPr>
      </xdr:nvSpPr>
      <xdr:spPr bwMode="auto">
        <a:xfrm>
          <a:off x="9696026" y="2766904"/>
          <a:ext cx="6774" cy="839896"/>
        </a:xfrm>
        <a:prstGeom prst="line">
          <a:avLst/>
        </a:prstGeom>
        <a:noFill/>
        <a:ln w="9525">
          <a:solidFill>
            <a:srgbClr val="000000"/>
          </a:solidFill>
          <a:round/>
          <a:headEnd/>
          <a:tailEnd type="triangle" w="med" len="me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312778</xdr:colOff>
      <xdr:row>37</xdr:row>
      <xdr:rowOff>80278</xdr:rowOff>
    </xdr:from>
    <xdr:to>
      <xdr:col>9</xdr:col>
      <xdr:colOff>337331</xdr:colOff>
      <xdr:row>37</xdr:row>
      <xdr:rowOff>88745</xdr:rowOff>
    </xdr:to>
    <xdr:sp macro="" textlink="">
      <xdr:nvSpPr>
        <xdr:cNvPr id="24" name="Line 4">
          <a:extLst>
            <a:ext uri="{FF2B5EF4-FFF2-40B4-BE49-F238E27FC236}">
              <a16:creationId xmlns:a16="http://schemas.microsoft.com/office/drawing/2014/main" id="{00000000-0008-0000-0200-000018000000}"/>
            </a:ext>
            <a:ext uri="{147F2762-F138-4A5C-976F-8EAC2B608ADB}">
              <a16:predDERef xmlns:a16="http://schemas.microsoft.com/office/drawing/2014/main" pred="{2BA59B44-8111-4EBD-8C6D-FF7A7239017E}"/>
            </a:ext>
          </a:extLst>
        </xdr:cNvPr>
        <xdr:cNvSpPr>
          <a:spLocks noChangeShapeType="1"/>
        </xdr:cNvSpPr>
      </xdr:nvSpPr>
      <xdr:spPr bwMode="auto">
        <a:xfrm>
          <a:off x="7353341" y="8001903"/>
          <a:ext cx="865928" cy="8467"/>
        </a:xfrm>
        <a:prstGeom prst="line">
          <a:avLst/>
        </a:prstGeom>
        <a:noFill/>
        <a:ln w="9525">
          <a:solidFill>
            <a:srgbClr val="000000"/>
          </a:solidFill>
          <a:round/>
          <a:headEnd/>
          <a:tailEnd type="triangle" w="med" len="med"/>
        </a:ln>
      </xdr:spPr>
    </xdr:sp>
    <xdr:clientData/>
  </xdr:twoCellAnchor>
  <xdr:twoCellAnchor>
    <xdr:from>
      <xdr:col>8</xdr:col>
      <xdr:colOff>319911</xdr:colOff>
      <xdr:row>43</xdr:row>
      <xdr:rowOff>15875</xdr:rowOff>
    </xdr:from>
    <xdr:to>
      <xdr:col>9</xdr:col>
      <xdr:colOff>317499</xdr:colOff>
      <xdr:row>43</xdr:row>
      <xdr:rowOff>25722</xdr:rowOff>
    </xdr:to>
    <xdr:sp macro="" textlink="">
      <xdr:nvSpPr>
        <xdr:cNvPr id="25" name="Line 4">
          <a:extLst>
            <a:ext uri="{FF2B5EF4-FFF2-40B4-BE49-F238E27FC236}">
              <a16:creationId xmlns:a16="http://schemas.microsoft.com/office/drawing/2014/main" id="{00000000-0008-0000-0200-000019000000}"/>
            </a:ext>
            <a:ext uri="{147F2762-F138-4A5C-976F-8EAC2B608ADB}">
              <a16:predDERef xmlns:a16="http://schemas.microsoft.com/office/drawing/2014/main" pred="{D89A496C-D26F-43A0-8050-74020135E3B2}"/>
            </a:ext>
          </a:extLst>
        </xdr:cNvPr>
        <xdr:cNvSpPr>
          <a:spLocks noChangeShapeType="1"/>
        </xdr:cNvSpPr>
      </xdr:nvSpPr>
      <xdr:spPr bwMode="auto">
        <a:xfrm flipV="1">
          <a:off x="7360474" y="9159875"/>
          <a:ext cx="838963" cy="9847"/>
        </a:xfrm>
        <a:prstGeom prst="line">
          <a:avLst/>
        </a:prstGeom>
        <a:noFill/>
        <a:ln w="9525">
          <a:solidFill>
            <a:srgbClr val="000000"/>
          </a:solidFill>
          <a:round/>
          <a:headEnd/>
          <a:tailEnd type="triangle" w="med" len="med"/>
        </a:ln>
      </xdr:spPr>
    </xdr:sp>
    <xdr:clientData/>
  </xdr:twoCellAnchor>
  <xdr:twoCellAnchor>
    <xdr:from>
      <xdr:col>7</xdr:col>
      <xdr:colOff>505322</xdr:colOff>
      <xdr:row>11</xdr:row>
      <xdr:rowOff>131079</xdr:rowOff>
    </xdr:from>
    <xdr:to>
      <xdr:col>9</xdr:col>
      <xdr:colOff>200942</xdr:colOff>
      <xdr:row>15</xdr:row>
      <xdr:rowOff>174471</xdr:rowOff>
    </xdr:to>
    <xdr:sp macro="" textlink="">
      <xdr:nvSpPr>
        <xdr:cNvPr id="347" name="Rectangle: Rounded Corners 94">
          <a:extLst>
            <a:ext uri="{FF2B5EF4-FFF2-40B4-BE49-F238E27FC236}">
              <a16:creationId xmlns:a16="http://schemas.microsoft.com/office/drawing/2014/main" id="{00000000-0008-0000-0200-00005B010000}"/>
            </a:ext>
          </a:extLst>
        </xdr:cNvPr>
        <xdr:cNvSpPr/>
      </xdr:nvSpPr>
      <xdr:spPr>
        <a:xfrm>
          <a:off x="6687047" y="2426604"/>
          <a:ext cx="1372020" cy="843492"/>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00B050"/>
              </a:solidFill>
            </a:rPr>
            <a:t>Final Price of Selected HDB Flat</a:t>
          </a:r>
        </a:p>
      </xdr:txBody>
    </xdr:sp>
    <xdr:clientData/>
  </xdr:twoCellAnchor>
  <xdr:twoCellAnchor>
    <xdr:from>
      <xdr:col>2</xdr:col>
      <xdr:colOff>135696</xdr:colOff>
      <xdr:row>21</xdr:row>
      <xdr:rowOff>154612</xdr:rowOff>
    </xdr:from>
    <xdr:to>
      <xdr:col>3</xdr:col>
      <xdr:colOff>498426</xdr:colOff>
      <xdr:row>25</xdr:row>
      <xdr:rowOff>98475</xdr:rowOff>
    </xdr:to>
    <xdr:sp macro="" textlink="">
      <xdr:nvSpPr>
        <xdr:cNvPr id="348" name="Rectangle: Rounded Corners 95">
          <a:extLst>
            <a:ext uri="{FF2B5EF4-FFF2-40B4-BE49-F238E27FC236}">
              <a16:creationId xmlns:a16="http://schemas.microsoft.com/office/drawing/2014/main" id="{00000000-0008-0000-0200-00005C010000}"/>
            </a:ext>
          </a:extLst>
        </xdr:cNvPr>
        <xdr:cNvSpPr/>
      </xdr:nvSpPr>
      <xdr:spPr>
        <a:xfrm>
          <a:off x="2126421" y="4450387"/>
          <a:ext cx="1200930" cy="743963"/>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00B050"/>
              </a:solidFill>
            </a:rPr>
            <a:t>MSR &amp; TDSR value</a:t>
          </a:r>
        </a:p>
      </xdr:txBody>
    </xdr:sp>
    <xdr:clientData/>
  </xdr:twoCellAnchor>
  <xdr:twoCellAnchor>
    <xdr:from>
      <xdr:col>9</xdr:col>
      <xdr:colOff>135446</xdr:colOff>
      <xdr:row>20</xdr:row>
      <xdr:rowOff>71156</xdr:rowOff>
    </xdr:from>
    <xdr:to>
      <xdr:col>10</xdr:col>
      <xdr:colOff>599513</xdr:colOff>
      <xdr:row>24</xdr:row>
      <xdr:rowOff>169006</xdr:rowOff>
    </xdr:to>
    <xdr:sp macro="" textlink="">
      <xdr:nvSpPr>
        <xdr:cNvPr id="349" name="Rectangle: Rounded Corners 96">
          <a:extLst>
            <a:ext uri="{FF2B5EF4-FFF2-40B4-BE49-F238E27FC236}">
              <a16:creationId xmlns:a16="http://schemas.microsoft.com/office/drawing/2014/main" id="{00000000-0008-0000-0200-00005D010000}"/>
            </a:ext>
          </a:extLst>
        </xdr:cNvPr>
        <xdr:cNvSpPr/>
      </xdr:nvSpPr>
      <xdr:spPr>
        <a:xfrm>
          <a:off x="7993571" y="4166906"/>
          <a:ext cx="1302267" cy="897950"/>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00B050"/>
              </a:solidFill>
            </a:rPr>
            <a:t>Total Loan Amount</a:t>
          </a:r>
        </a:p>
      </xdr:txBody>
    </xdr:sp>
    <xdr:clientData/>
  </xdr:twoCellAnchor>
  <xdr:twoCellAnchor>
    <xdr:from>
      <xdr:col>10</xdr:col>
      <xdr:colOff>625825</xdr:colOff>
      <xdr:row>14</xdr:row>
      <xdr:rowOff>174894</xdr:rowOff>
    </xdr:from>
    <xdr:to>
      <xdr:col>12</xdr:col>
      <xdr:colOff>387129</xdr:colOff>
      <xdr:row>18</xdr:row>
      <xdr:rowOff>21066</xdr:rowOff>
    </xdr:to>
    <xdr:sp macro="" textlink="">
      <xdr:nvSpPr>
        <xdr:cNvPr id="16" name="Rectangle: Rounded Corners 97">
          <a:extLst>
            <a:ext uri="{FF2B5EF4-FFF2-40B4-BE49-F238E27FC236}">
              <a16:creationId xmlns:a16="http://schemas.microsoft.com/office/drawing/2014/main" id="{00000000-0008-0000-0200-000010000000}"/>
            </a:ext>
          </a:extLst>
        </xdr:cNvPr>
        <xdr:cNvSpPr/>
      </xdr:nvSpPr>
      <xdr:spPr>
        <a:xfrm>
          <a:off x="9322150" y="3070494"/>
          <a:ext cx="1437704" cy="646272"/>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00B050"/>
              </a:solidFill>
            </a:rPr>
            <a:t>Validated Downpayment</a:t>
          </a:r>
        </a:p>
      </xdr:txBody>
    </xdr:sp>
    <xdr:clientData/>
  </xdr:twoCellAnchor>
  <xdr:twoCellAnchor>
    <xdr:from>
      <xdr:col>7</xdr:col>
      <xdr:colOff>360687</xdr:colOff>
      <xdr:row>26</xdr:row>
      <xdr:rowOff>238743</xdr:rowOff>
    </xdr:from>
    <xdr:to>
      <xdr:col>10</xdr:col>
      <xdr:colOff>50330</xdr:colOff>
      <xdr:row>30</xdr:row>
      <xdr:rowOff>53785</xdr:rowOff>
    </xdr:to>
    <xdr:sp macro="" textlink="">
      <xdr:nvSpPr>
        <xdr:cNvPr id="351" name="Rectangle: Rounded Corners 98">
          <a:extLst>
            <a:ext uri="{FF2B5EF4-FFF2-40B4-BE49-F238E27FC236}">
              <a16:creationId xmlns:a16="http://schemas.microsoft.com/office/drawing/2014/main" id="{00000000-0008-0000-0200-00005F010000}"/>
            </a:ext>
          </a:extLst>
        </xdr:cNvPr>
        <xdr:cNvSpPr/>
      </xdr:nvSpPr>
      <xdr:spPr>
        <a:xfrm>
          <a:off x="6542412" y="5534643"/>
          <a:ext cx="2204243" cy="710392"/>
        </a:xfrm>
        <a:prstGeom prst="roundRect">
          <a:avLst/>
        </a:prstGeom>
        <a:solidFill>
          <a:srgbClr val="FFC000"/>
        </a:solidFill>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t>Recommended loan scheme</a:t>
          </a:r>
        </a:p>
      </xdr:txBody>
    </xdr:sp>
    <xdr:clientData/>
  </xdr:twoCellAnchor>
  <xdr:twoCellAnchor>
    <xdr:from>
      <xdr:col>12</xdr:col>
      <xdr:colOff>464011</xdr:colOff>
      <xdr:row>21</xdr:row>
      <xdr:rowOff>154612</xdr:rowOff>
    </xdr:from>
    <xdr:to>
      <xdr:col>14</xdr:col>
      <xdr:colOff>186130</xdr:colOff>
      <xdr:row>25</xdr:row>
      <xdr:rowOff>98475</xdr:rowOff>
    </xdr:to>
    <xdr:sp macro="" textlink="">
      <xdr:nvSpPr>
        <xdr:cNvPr id="352" name="Rectangle: Rounded Corners 99">
          <a:extLst>
            <a:ext uri="{FF2B5EF4-FFF2-40B4-BE49-F238E27FC236}">
              <a16:creationId xmlns:a16="http://schemas.microsoft.com/office/drawing/2014/main" id="{00000000-0008-0000-0200-000060010000}"/>
            </a:ext>
          </a:extLst>
        </xdr:cNvPr>
        <xdr:cNvSpPr/>
      </xdr:nvSpPr>
      <xdr:spPr>
        <a:xfrm>
          <a:off x="10836736" y="4450387"/>
          <a:ext cx="1398519" cy="743963"/>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FF0000"/>
              </a:solidFill>
            </a:rPr>
            <a:t>Bank Loan Eligibility</a:t>
          </a:r>
        </a:p>
      </xdr:txBody>
    </xdr:sp>
    <xdr:clientData/>
  </xdr:twoCellAnchor>
  <xdr:twoCellAnchor>
    <xdr:from>
      <xdr:col>3</xdr:col>
      <xdr:colOff>363477</xdr:colOff>
      <xdr:row>16</xdr:row>
      <xdr:rowOff>191460</xdr:rowOff>
    </xdr:from>
    <xdr:to>
      <xdr:col>5</xdr:col>
      <xdr:colOff>59097</xdr:colOff>
      <xdr:row>20</xdr:row>
      <xdr:rowOff>27663</xdr:rowOff>
    </xdr:to>
    <xdr:sp macro="" textlink="">
      <xdr:nvSpPr>
        <xdr:cNvPr id="353" name="Rectangle: Rounded Corners 100">
          <a:extLst>
            <a:ext uri="{FF2B5EF4-FFF2-40B4-BE49-F238E27FC236}">
              <a16:creationId xmlns:a16="http://schemas.microsoft.com/office/drawing/2014/main" id="{00000000-0008-0000-0200-000061010000}"/>
            </a:ext>
          </a:extLst>
        </xdr:cNvPr>
        <xdr:cNvSpPr/>
      </xdr:nvSpPr>
      <xdr:spPr>
        <a:xfrm>
          <a:off x="3192402" y="3487110"/>
          <a:ext cx="1372020" cy="636303"/>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FF0000"/>
              </a:solidFill>
            </a:rPr>
            <a:t>User’s Total Household Gross Income</a:t>
          </a:r>
        </a:p>
      </xdr:txBody>
    </xdr:sp>
    <xdr:clientData/>
  </xdr:twoCellAnchor>
  <xdr:twoCellAnchor>
    <xdr:from>
      <xdr:col>4</xdr:col>
      <xdr:colOff>253881</xdr:colOff>
      <xdr:row>21</xdr:row>
      <xdr:rowOff>149264</xdr:rowOff>
    </xdr:from>
    <xdr:to>
      <xdr:col>6</xdr:col>
      <xdr:colOff>359145</xdr:colOff>
      <xdr:row>25</xdr:row>
      <xdr:rowOff>93127</xdr:rowOff>
    </xdr:to>
    <xdr:sp macro="" textlink="">
      <xdr:nvSpPr>
        <xdr:cNvPr id="354" name="Rectangle: Rounded Corners 101">
          <a:extLst>
            <a:ext uri="{FF2B5EF4-FFF2-40B4-BE49-F238E27FC236}">
              <a16:creationId xmlns:a16="http://schemas.microsoft.com/office/drawing/2014/main" id="{00000000-0008-0000-0200-000062010000}"/>
            </a:ext>
          </a:extLst>
        </xdr:cNvPr>
        <xdr:cNvSpPr/>
      </xdr:nvSpPr>
      <xdr:spPr>
        <a:xfrm>
          <a:off x="3921006" y="4445039"/>
          <a:ext cx="1781664" cy="743963"/>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00B050"/>
              </a:solidFill>
            </a:rPr>
            <a:t>Max Monthly Mortgage Repayment Amount</a:t>
          </a:r>
        </a:p>
      </xdr:txBody>
    </xdr:sp>
    <xdr:clientData/>
  </xdr:twoCellAnchor>
  <xdr:twoCellAnchor>
    <xdr:from>
      <xdr:col>6</xdr:col>
      <xdr:colOff>359145</xdr:colOff>
      <xdr:row>28</xdr:row>
      <xdr:rowOff>77090</xdr:rowOff>
    </xdr:from>
    <xdr:to>
      <xdr:col>7</xdr:col>
      <xdr:colOff>360687</xdr:colOff>
      <xdr:row>28</xdr:row>
      <xdr:rowOff>98639</xdr:rowOff>
    </xdr:to>
    <xdr:cxnSp macro="">
      <xdr:nvCxnSpPr>
        <xdr:cNvPr id="368" name="Straight Arrow Connector 102">
          <a:extLst>
            <a:ext uri="{FF2B5EF4-FFF2-40B4-BE49-F238E27FC236}">
              <a16:creationId xmlns:a16="http://schemas.microsoft.com/office/drawing/2014/main" id="{00000000-0008-0000-0200-000070010000}"/>
            </a:ext>
          </a:extLst>
        </xdr:cNvPr>
        <xdr:cNvCxnSpPr>
          <a:cxnSpLocks/>
          <a:stCxn id="361" idx="3"/>
          <a:endCxn id="351" idx="1"/>
        </xdr:cNvCxnSpPr>
      </xdr:nvCxnSpPr>
      <xdr:spPr>
        <a:xfrm>
          <a:off x="5702670" y="5868290"/>
          <a:ext cx="839742" cy="2154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624609</xdr:colOff>
      <xdr:row>24</xdr:row>
      <xdr:rowOff>169006</xdr:rowOff>
    </xdr:from>
    <xdr:to>
      <xdr:col>9</xdr:col>
      <xdr:colOff>786580</xdr:colOff>
      <xdr:row>26</xdr:row>
      <xdr:rowOff>238743</xdr:rowOff>
    </xdr:to>
    <xdr:cxnSp macro="">
      <xdr:nvCxnSpPr>
        <xdr:cNvPr id="369" name="Straight Arrow Connector 103">
          <a:extLst>
            <a:ext uri="{FF2B5EF4-FFF2-40B4-BE49-F238E27FC236}">
              <a16:creationId xmlns:a16="http://schemas.microsoft.com/office/drawing/2014/main" id="{00000000-0008-0000-0200-000071010000}"/>
            </a:ext>
          </a:extLst>
        </xdr:cNvPr>
        <xdr:cNvCxnSpPr>
          <a:cxnSpLocks/>
          <a:stCxn id="349" idx="2"/>
          <a:endCxn id="351" idx="0"/>
        </xdr:cNvCxnSpPr>
      </xdr:nvCxnSpPr>
      <xdr:spPr>
        <a:xfrm flipH="1">
          <a:off x="7644534" y="5064856"/>
          <a:ext cx="1000171" cy="469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387129</xdr:colOff>
      <xdr:row>26</xdr:row>
      <xdr:rowOff>205172</xdr:rowOff>
    </xdr:from>
    <xdr:to>
      <xdr:col>14</xdr:col>
      <xdr:colOff>263013</xdr:colOff>
      <xdr:row>30</xdr:row>
      <xdr:rowOff>53785</xdr:rowOff>
    </xdr:to>
    <xdr:sp macro="" textlink="">
      <xdr:nvSpPr>
        <xdr:cNvPr id="404" name="Rectangle: Rounded Corners 104">
          <a:extLst>
            <a:ext uri="{FF2B5EF4-FFF2-40B4-BE49-F238E27FC236}">
              <a16:creationId xmlns:a16="http://schemas.microsoft.com/office/drawing/2014/main" id="{00000000-0008-0000-0200-000094010000}"/>
            </a:ext>
          </a:extLst>
        </xdr:cNvPr>
        <xdr:cNvSpPr/>
      </xdr:nvSpPr>
      <xdr:spPr>
        <a:xfrm>
          <a:off x="10759854" y="5501072"/>
          <a:ext cx="1552284" cy="743963"/>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00B050"/>
              </a:solidFill>
            </a:rPr>
            <a:t>Eligible Bank and HDB Loan </a:t>
          </a:r>
        </a:p>
        <a:p>
          <a:pPr algn="ctr"/>
          <a:r>
            <a:rPr lang="en-SG" sz="1200">
              <a:solidFill>
                <a:srgbClr val="00B050"/>
              </a:solidFill>
            </a:rPr>
            <a:t>(Interest Rates)</a:t>
          </a:r>
        </a:p>
      </xdr:txBody>
    </xdr:sp>
    <xdr:clientData/>
  </xdr:twoCellAnchor>
  <xdr:twoCellAnchor>
    <xdr:from>
      <xdr:col>13</xdr:col>
      <xdr:colOff>60945</xdr:colOff>
      <xdr:row>8</xdr:row>
      <xdr:rowOff>131809</xdr:rowOff>
    </xdr:from>
    <xdr:to>
      <xdr:col>14</xdr:col>
      <xdr:colOff>621264</xdr:colOff>
      <xdr:row>11</xdr:row>
      <xdr:rowOff>158067</xdr:rowOff>
    </xdr:to>
    <xdr:sp macro="" textlink="">
      <xdr:nvSpPr>
        <xdr:cNvPr id="356" name="Rectangle: Rounded Corners 105">
          <a:extLst>
            <a:ext uri="{FF2B5EF4-FFF2-40B4-BE49-F238E27FC236}">
              <a16:creationId xmlns:a16="http://schemas.microsoft.com/office/drawing/2014/main" id="{00000000-0008-0000-0200-000064010000}"/>
            </a:ext>
          </a:extLst>
        </xdr:cNvPr>
        <xdr:cNvSpPr/>
      </xdr:nvSpPr>
      <xdr:spPr>
        <a:xfrm>
          <a:off x="11271870" y="1827259"/>
          <a:ext cx="1398519" cy="626333"/>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FF0000"/>
              </a:solidFill>
            </a:rPr>
            <a:t>LTV Eligibility </a:t>
          </a:r>
        </a:p>
        <a:p>
          <a:pPr algn="ctr"/>
          <a:r>
            <a:rPr lang="en-SG" sz="1200">
              <a:solidFill>
                <a:srgbClr val="FF0000"/>
              </a:solidFill>
            </a:rPr>
            <a:t>(for bank loan)</a:t>
          </a:r>
        </a:p>
      </xdr:txBody>
    </xdr:sp>
    <xdr:clientData/>
  </xdr:twoCellAnchor>
  <xdr:twoCellAnchor>
    <xdr:from>
      <xdr:col>13</xdr:col>
      <xdr:colOff>303093</xdr:colOff>
      <xdr:row>14</xdr:row>
      <xdr:rowOff>184491</xdr:rowOff>
    </xdr:from>
    <xdr:to>
      <xdr:col>14</xdr:col>
      <xdr:colOff>379115</xdr:colOff>
      <xdr:row>18</xdr:row>
      <xdr:rowOff>10724</xdr:rowOff>
    </xdr:to>
    <xdr:sp macro="" textlink="">
      <xdr:nvSpPr>
        <xdr:cNvPr id="357" name="Rectangle: Rounded Corners 106">
          <a:extLst>
            <a:ext uri="{FF2B5EF4-FFF2-40B4-BE49-F238E27FC236}">
              <a16:creationId xmlns:a16="http://schemas.microsoft.com/office/drawing/2014/main" id="{00000000-0008-0000-0200-000065010000}"/>
            </a:ext>
          </a:extLst>
        </xdr:cNvPr>
        <xdr:cNvSpPr/>
      </xdr:nvSpPr>
      <xdr:spPr>
        <a:xfrm>
          <a:off x="11514018" y="3080091"/>
          <a:ext cx="914222" cy="626333"/>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00B050"/>
              </a:solidFill>
            </a:rPr>
            <a:t>LTV</a:t>
          </a:r>
        </a:p>
      </xdr:txBody>
    </xdr:sp>
    <xdr:clientData/>
  </xdr:twoCellAnchor>
  <xdr:twoCellAnchor>
    <xdr:from>
      <xdr:col>13</xdr:col>
      <xdr:colOff>760204</xdr:colOff>
      <xdr:row>11</xdr:row>
      <xdr:rowOff>158067</xdr:rowOff>
    </xdr:from>
    <xdr:to>
      <xdr:col>13</xdr:col>
      <xdr:colOff>760205</xdr:colOff>
      <xdr:row>14</xdr:row>
      <xdr:rowOff>184491</xdr:rowOff>
    </xdr:to>
    <xdr:cxnSp macro="">
      <xdr:nvCxnSpPr>
        <xdr:cNvPr id="370" name="Straight Arrow Connector 107">
          <a:extLst>
            <a:ext uri="{FF2B5EF4-FFF2-40B4-BE49-F238E27FC236}">
              <a16:creationId xmlns:a16="http://schemas.microsoft.com/office/drawing/2014/main" id="{00000000-0008-0000-0200-000072010000}"/>
            </a:ext>
          </a:extLst>
        </xdr:cNvPr>
        <xdr:cNvCxnSpPr>
          <a:cxnSpLocks/>
          <a:stCxn id="356" idx="2"/>
          <a:endCxn id="357" idx="0"/>
        </xdr:cNvCxnSpPr>
      </xdr:nvCxnSpPr>
      <xdr:spPr>
        <a:xfrm flipH="1">
          <a:off x="11971129" y="2453592"/>
          <a:ext cx="1" cy="626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387129</xdr:colOff>
      <xdr:row>16</xdr:row>
      <xdr:rowOff>97608</xdr:rowOff>
    </xdr:from>
    <xdr:to>
      <xdr:col>13</xdr:col>
      <xdr:colOff>303093</xdr:colOff>
      <xdr:row>16</xdr:row>
      <xdr:rowOff>97980</xdr:rowOff>
    </xdr:to>
    <xdr:cxnSp macro="">
      <xdr:nvCxnSpPr>
        <xdr:cNvPr id="371" name="Straight Arrow Connector 108">
          <a:extLst>
            <a:ext uri="{FF2B5EF4-FFF2-40B4-BE49-F238E27FC236}">
              <a16:creationId xmlns:a16="http://schemas.microsoft.com/office/drawing/2014/main" id="{00000000-0008-0000-0200-000073010000}"/>
            </a:ext>
          </a:extLst>
        </xdr:cNvPr>
        <xdr:cNvCxnSpPr>
          <a:cxnSpLocks/>
          <a:stCxn id="357" idx="1"/>
          <a:endCxn id="16" idx="3"/>
        </xdr:cNvCxnSpPr>
      </xdr:nvCxnSpPr>
      <xdr:spPr>
        <a:xfrm flipH="1">
          <a:off x="10797552" y="3353101"/>
          <a:ext cx="756668" cy="37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325071</xdr:colOff>
      <xdr:row>25</xdr:row>
      <xdr:rowOff>98475</xdr:rowOff>
    </xdr:from>
    <xdr:to>
      <xdr:col>13</xdr:col>
      <xdr:colOff>325071</xdr:colOff>
      <xdr:row>26</xdr:row>
      <xdr:rowOff>205172</xdr:rowOff>
    </xdr:to>
    <xdr:cxnSp macro="">
      <xdr:nvCxnSpPr>
        <xdr:cNvPr id="409" name="Straight Arrow Connector 109">
          <a:extLst>
            <a:ext uri="{FF2B5EF4-FFF2-40B4-BE49-F238E27FC236}">
              <a16:creationId xmlns:a16="http://schemas.microsoft.com/office/drawing/2014/main" id="{00000000-0008-0000-0200-000099010000}"/>
            </a:ext>
          </a:extLst>
        </xdr:cNvPr>
        <xdr:cNvCxnSpPr>
          <a:stCxn id="352" idx="2"/>
          <a:endCxn id="404" idx="0"/>
        </xdr:cNvCxnSpPr>
      </xdr:nvCxnSpPr>
      <xdr:spPr>
        <a:xfrm>
          <a:off x="11535996" y="5194350"/>
          <a:ext cx="0" cy="3067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498426</xdr:colOff>
      <xdr:row>23</xdr:row>
      <xdr:rowOff>121196</xdr:rowOff>
    </xdr:from>
    <xdr:to>
      <xdr:col>4</xdr:col>
      <xdr:colOff>253881</xdr:colOff>
      <xdr:row>23</xdr:row>
      <xdr:rowOff>126544</xdr:rowOff>
    </xdr:to>
    <xdr:cxnSp macro="">
      <xdr:nvCxnSpPr>
        <xdr:cNvPr id="373" name="Straight Arrow Connector 110">
          <a:extLst>
            <a:ext uri="{FF2B5EF4-FFF2-40B4-BE49-F238E27FC236}">
              <a16:creationId xmlns:a16="http://schemas.microsoft.com/office/drawing/2014/main" id="{00000000-0008-0000-0200-000075010000}"/>
            </a:ext>
          </a:extLst>
        </xdr:cNvPr>
        <xdr:cNvCxnSpPr>
          <a:cxnSpLocks/>
          <a:stCxn id="348" idx="3"/>
          <a:endCxn id="354" idx="1"/>
        </xdr:cNvCxnSpPr>
      </xdr:nvCxnSpPr>
      <xdr:spPr>
        <a:xfrm flipV="1">
          <a:off x="3327351" y="4817021"/>
          <a:ext cx="593655" cy="53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50330</xdr:colOff>
      <xdr:row>28</xdr:row>
      <xdr:rowOff>81854</xdr:rowOff>
    </xdr:from>
    <xdr:to>
      <xdr:col>12</xdr:col>
      <xdr:colOff>387129</xdr:colOff>
      <xdr:row>28</xdr:row>
      <xdr:rowOff>98639</xdr:rowOff>
    </xdr:to>
    <xdr:cxnSp macro="">
      <xdr:nvCxnSpPr>
        <xdr:cNvPr id="374" name="Straight Arrow Connector 111">
          <a:extLst>
            <a:ext uri="{FF2B5EF4-FFF2-40B4-BE49-F238E27FC236}">
              <a16:creationId xmlns:a16="http://schemas.microsoft.com/office/drawing/2014/main" id="{00000000-0008-0000-0200-000076010000}"/>
            </a:ext>
          </a:extLst>
        </xdr:cNvPr>
        <xdr:cNvCxnSpPr>
          <a:cxnSpLocks/>
          <a:stCxn id="404" idx="1"/>
          <a:endCxn id="351" idx="3"/>
        </xdr:cNvCxnSpPr>
      </xdr:nvCxnSpPr>
      <xdr:spPr>
        <a:xfrm flipH="1">
          <a:off x="8746655" y="5873054"/>
          <a:ext cx="2013199" cy="167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457725</xdr:colOff>
      <xdr:row>7</xdr:row>
      <xdr:rowOff>151130</xdr:rowOff>
    </xdr:from>
    <xdr:to>
      <xdr:col>5</xdr:col>
      <xdr:colOff>153345</xdr:colOff>
      <xdr:row>11</xdr:row>
      <xdr:rowOff>197697</xdr:rowOff>
    </xdr:to>
    <xdr:sp macro="" textlink="">
      <xdr:nvSpPr>
        <xdr:cNvPr id="6" name="Rectangle: Rounded Corners 112">
          <a:extLst>
            <a:ext uri="{FF2B5EF4-FFF2-40B4-BE49-F238E27FC236}">
              <a16:creationId xmlns:a16="http://schemas.microsoft.com/office/drawing/2014/main" id="{00000000-0008-0000-0200-000006000000}"/>
            </a:ext>
          </a:extLst>
        </xdr:cNvPr>
        <xdr:cNvSpPr/>
      </xdr:nvSpPr>
      <xdr:spPr>
        <a:xfrm>
          <a:off x="3302525" y="1675130"/>
          <a:ext cx="1382180" cy="859367"/>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FF0000"/>
              </a:solidFill>
            </a:rPr>
            <a:t>User’s HG Grant</a:t>
          </a:r>
          <a:endParaRPr lang="en-SG" sz="1200">
            <a:solidFill>
              <a:srgbClr val="FF0000"/>
            </a:solidFill>
          </a:endParaRPr>
        </a:p>
      </xdr:txBody>
    </xdr:sp>
    <xdr:clientData/>
  </xdr:twoCellAnchor>
  <xdr:twoCellAnchor>
    <xdr:from>
      <xdr:col>5</xdr:col>
      <xdr:colOff>608748</xdr:colOff>
      <xdr:row>7</xdr:row>
      <xdr:rowOff>140970</xdr:rowOff>
    </xdr:from>
    <xdr:to>
      <xdr:col>7</xdr:col>
      <xdr:colOff>304368</xdr:colOff>
      <xdr:row>11</xdr:row>
      <xdr:rowOff>187537</xdr:rowOff>
    </xdr:to>
    <xdr:sp macro="" textlink="">
      <xdr:nvSpPr>
        <xdr:cNvPr id="23" name="Rectangle: Rounded Corners 113">
          <a:extLst>
            <a:ext uri="{FF2B5EF4-FFF2-40B4-BE49-F238E27FC236}">
              <a16:creationId xmlns:a16="http://schemas.microsoft.com/office/drawing/2014/main" id="{00000000-0008-0000-0200-000017000000}"/>
            </a:ext>
          </a:extLst>
        </xdr:cNvPr>
        <xdr:cNvSpPr/>
      </xdr:nvSpPr>
      <xdr:spPr>
        <a:xfrm>
          <a:off x="5140108" y="1664970"/>
          <a:ext cx="1382180" cy="859367"/>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FF0000"/>
              </a:solidFill>
            </a:rPr>
            <a:t>User’s Proximity Grant</a:t>
          </a:r>
          <a:endParaRPr lang="en-SG" sz="1200">
            <a:solidFill>
              <a:srgbClr val="FF0000"/>
            </a:solidFill>
          </a:endParaRPr>
        </a:p>
      </xdr:txBody>
    </xdr:sp>
    <xdr:clientData/>
  </xdr:twoCellAnchor>
  <xdr:twoCellAnchor>
    <xdr:from>
      <xdr:col>1</xdr:col>
      <xdr:colOff>975325</xdr:colOff>
      <xdr:row>7</xdr:row>
      <xdr:rowOff>139883</xdr:rowOff>
    </xdr:from>
    <xdr:to>
      <xdr:col>2</xdr:col>
      <xdr:colOff>547120</xdr:colOff>
      <xdr:row>11</xdr:row>
      <xdr:rowOff>183275</xdr:rowOff>
    </xdr:to>
    <xdr:sp macro="" textlink="">
      <xdr:nvSpPr>
        <xdr:cNvPr id="5" name="Rectangle: Rounded Corners 114">
          <a:extLst>
            <a:ext uri="{FF2B5EF4-FFF2-40B4-BE49-F238E27FC236}">
              <a16:creationId xmlns:a16="http://schemas.microsoft.com/office/drawing/2014/main" id="{00000000-0008-0000-0200-000005000000}"/>
            </a:ext>
          </a:extLst>
        </xdr:cNvPr>
        <xdr:cNvSpPr/>
      </xdr:nvSpPr>
      <xdr:spPr>
        <a:xfrm>
          <a:off x="1168365" y="1663883"/>
          <a:ext cx="1380275" cy="856192"/>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FF0000"/>
              </a:solidFill>
            </a:rPr>
            <a:t>User Selected Flat’s Price</a:t>
          </a:r>
          <a:endParaRPr lang="en-SG" sz="1200">
            <a:solidFill>
              <a:srgbClr val="FF0000"/>
            </a:solidFill>
          </a:endParaRPr>
        </a:p>
      </xdr:txBody>
    </xdr:sp>
    <xdr:clientData/>
  </xdr:twoCellAnchor>
  <xdr:twoCellAnchor>
    <xdr:from>
      <xdr:col>4</xdr:col>
      <xdr:colOff>253881</xdr:colOff>
      <xdr:row>26</xdr:row>
      <xdr:rowOff>200408</xdr:rowOff>
    </xdr:from>
    <xdr:to>
      <xdr:col>6</xdr:col>
      <xdr:colOff>359145</xdr:colOff>
      <xdr:row>30</xdr:row>
      <xdr:rowOff>49021</xdr:rowOff>
    </xdr:to>
    <xdr:sp macro="" textlink="">
      <xdr:nvSpPr>
        <xdr:cNvPr id="361" name="Rectangle: Rounded Corners 115">
          <a:extLst>
            <a:ext uri="{FF2B5EF4-FFF2-40B4-BE49-F238E27FC236}">
              <a16:creationId xmlns:a16="http://schemas.microsoft.com/office/drawing/2014/main" id="{00000000-0008-0000-0200-000069010000}"/>
            </a:ext>
          </a:extLst>
        </xdr:cNvPr>
        <xdr:cNvSpPr/>
      </xdr:nvSpPr>
      <xdr:spPr>
        <a:xfrm>
          <a:off x="3921006" y="5496308"/>
          <a:ext cx="1781664" cy="743963"/>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00B050"/>
              </a:solidFill>
            </a:rPr>
            <a:t>Final Monthly Mortgage Repayment Amount</a:t>
          </a:r>
        </a:p>
      </xdr:txBody>
    </xdr:sp>
    <xdr:clientData/>
  </xdr:twoCellAnchor>
  <xdr:twoCellAnchor>
    <xdr:from>
      <xdr:col>5</xdr:col>
      <xdr:colOff>306513</xdr:colOff>
      <xdr:row>25</xdr:row>
      <xdr:rowOff>93127</xdr:rowOff>
    </xdr:from>
    <xdr:to>
      <xdr:col>5</xdr:col>
      <xdr:colOff>306513</xdr:colOff>
      <xdr:row>26</xdr:row>
      <xdr:rowOff>200408</xdr:rowOff>
    </xdr:to>
    <xdr:cxnSp macro="">
      <xdr:nvCxnSpPr>
        <xdr:cNvPr id="375" name="Straight Arrow Connector 116">
          <a:extLst>
            <a:ext uri="{FF2B5EF4-FFF2-40B4-BE49-F238E27FC236}">
              <a16:creationId xmlns:a16="http://schemas.microsoft.com/office/drawing/2014/main" id="{00000000-0008-0000-0200-000077010000}"/>
            </a:ext>
          </a:extLst>
        </xdr:cNvPr>
        <xdr:cNvCxnSpPr>
          <a:cxnSpLocks/>
          <a:stCxn id="354" idx="2"/>
          <a:endCxn id="361" idx="0"/>
        </xdr:cNvCxnSpPr>
      </xdr:nvCxnSpPr>
      <xdr:spPr>
        <a:xfrm>
          <a:off x="4811838" y="5189002"/>
          <a:ext cx="0" cy="3073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971501</xdr:colOff>
      <xdr:row>26</xdr:row>
      <xdr:rowOff>211182</xdr:rowOff>
    </xdr:from>
    <xdr:to>
      <xdr:col>2</xdr:col>
      <xdr:colOff>774642</xdr:colOff>
      <xdr:row>30</xdr:row>
      <xdr:rowOff>59795</xdr:rowOff>
    </xdr:to>
    <xdr:sp macro="" textlink="">
      <xdr:nvSpPr>
        <xdr:cNvPr id="362" name="Rectangle: Rounded Corners 117">
          <a:extLst>
            <a:ext uri="{FF2B5EF4-FFF2-40B4-BE49-F238E27FC236}">
              <a16:creationId xmlns:a16="http://schemas.microsoft.com/office/drawing/2014/main" id="{00000000-0008-0000-0200-00006A010000}"/>
            </a:ext>
          </a:extLst>
        </xdr:cNvPr>
        <xdr:cNvSpPr/>
      </xdr:nvSpPr>
      <xdr:spPr>
        <a:xfrm>
          <a:off x="1162001" y="5507082"/>
          <a:ext cx="1603366" cy="743963"/>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FF0000"/>
              </a:solidFill>
            </a:rPr>
            <a:t>User’s Monthly Mortgage Repayment Amount Budget</a:t>
          </a:r>
        </a:p>
      </xdr:txBody>
    </xdr:sp>
    <xdr:clientData/>
  </xdr:twoCellAnchor>
  <xdr:twoCellAnchor>
    <xdr:from>
      <xdr:col>2</xdr:col>
      <xdr:colOff>774642</xdr:colOff>
      <xdr:row>28</xdr:row>
      <xdr:rowOff>77090</xdr:rowOff>
    </xdr:from>
    <xdr:to>
      <xdr:col>4</xdr:col>
      <xdr:colOff>253881</xdr:colOff>
      <xdr:row>28</xdr:row>
      <xdr:rowOff>87864</xdr:rowOff>
    </xdr:to>
    <xdr:cxnSp macro="">
      <xdr:nvCxnSpPr>
        <xdr:cNvPr id="376" name="Straight Arrow Connector 118">
          <a:extLst>
            <a:ext uri="{FF2B5EF4-FFF2-40B4-BE49-F238E27FC236}">
              <a16:creationId xmlns:a16="http://schemas.microsoft.com/office/drawing/2014/main" id="{00000000-0008-0000-0200-000078010000}"/>
            </a:ext>
          </a:extLst>
        </xdr:cNvPr>
        <xdr:cNvCxnSpPr>
          <a:cxnSpLocks/>
          <a:stCxn id="362" idx="3"/>
          <a:endCxn id="361" idx="1"/>
        </xdr:cNvCxnSpPr>
      </xdr:nvCxnSpPr>
      <xdr:spPr>
        <a:xfrm flipV="1">
          <a:off x="2765367" y="5868290"/>
          <a:ext cx="1155639" cy="107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1661768</xdr:colOff>
      <xdr:row>11</xdr:row>
      <xdr:rowOff>183275</xdr:rowOff>
    </xdr:from>
    <xdr:to>
      <xdr:col>7</xdr:col>
      <xdr:colOff>505322</xdr:colOff>
      <xdr:row>13</xdr:row>
      <xdr:rowOff>152775</xdr:rowOff>
    </xdr:to>
    <xdr:cxnSp macro="">
      <xdr:nvCxnSpPr>
        <xdr:cNvPr id="2" name="Connector: Elbow 119">
          <a:extLst>
            <a:ext uri="{FF2B5EF4-FFF2-40B4-BE49-F238E27FC236}">
              <a16:creationId xmlns:a16="http://schemas.microsoft.com/office/drawing/2014/main" id="{00000000-0008-0000-0200-000002000000}"/>
            </a:ext>
          </a:extLst>
        </xdr:cNvPr>
        <xdr:cNvCxnSpPr>
          <a:stCxn id="5" idx="2"/>
          <a:endCxn id="347" idx="1"/>
        </xdr:cNvCxnSpPr>
      </xdr:nvCxnSpPr>
      <xdr:spPr>
        <a:xfrm rot="16200000" flipH="1">
          <a:off x="4094841" y="324839"/>
          <a:ext cx="385136" cy="485873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305535</xdr:colOff>
      <xdr:row>11</xdr:row>
      <xdr:rowOff>197696</xdr:rowOff>
    </xdr:from>
    <xdr:to>
      <xdr:col>7</xdr:col>
      <xdr:colOff>508000</xdr:colOff>
      <xdr:row>14</xdr:row>
      <xdr:rowOff>152399</xdr:rowOff>
    </xdr:to>
    <xdr:cxnSp macro="">
      <xdr:nvCxnSpPr>
        <xdr:cNvPr id="8" name="Connector: Elbow 120">
          <a:extLst>
            <a:ext uri="{FF2B5EF4-FFF2-40B4-BE49-F238E27FC236}">
              <a16:creationId xmlns:a16="http://schemas.microsoft.com/office/drawing/2014/main" id="{00000000-0008-0000-0200-000008000000}"/>
            </a:ext>
          </a:extLst>
        </xdr:cNvPr>
        <xdr:cNvCxnSpPr>
          <a:cxnSpLocks/>
          <a:stCxn id="6" idx="2"/>
        </xdr:cNvCxnSpPr>
      </xdr:nvCxnSpPr>
      <xdr:spPr>
        <a:xfrm rot="16200000" flipH="1">
          <a:off x="5077616" y="1450495"/>
          <a:ext cx="564303" cy="2732305"/>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456559</xdr:colOff>
      <xdr:row>11</xdr:row>
      <xdr:rowOff>187537</xdr:rowOff>
    </xdr:from>
    <xdr:to>
      <xdr:col>7</xdr:col>
      <xdr:colOff>504264</xdr:colOff>
      <xdr:row>12</xdr:row>
      <xdr:rowOff>156881</xdr:rowOff>
    </xdr:to>
    <xdr:cxnSp macro="">
      <xdr:nvCxnSpPr>
        <xdr:cNvPr id="11" name="Connector: Elbow 121">
          <a:extLst>
            <a:ext uri="{FF2B5EF4-FFF2-40B4-BE49-F238E27FC236}">
              <a16:creationId xmlns:a16="http://schemas.microsoft.com/office/drawing/2014/main" id="{00000000-0008-0000-0200-00000B000000}"/>
            </a:ext>
          </a:extLst>
        </xdr:cNvPr>
        <xdr:cNvCxnSpPr>
          <a:cxnSpLocks/>
          <a:stCxn id="23" idx="2"/>
        </xdr:cNvCxnSpPr>
      </xdr:nvCxnSpPr>
      <xdr:spPr>
        <a:xfrm rot="16200000" flipH="1">
          <a:off x="6181876" y="2209220"/>
          <a:ext cx="177162" cy="890524"/>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981644</xdr:colOff>
      <xdr:row>16</xdr:row>
      <xdr:rowOff>191460</xdr:rowOff>
    </xdr:from>
    <xdr:to>
      <xdr:col>2</xdr:col>
      <xdr:colOff>553440</xdr:colOff>
      <xdr:row>20</xdr:row>
      <xdr:rowOff>27663</xdr:rowOff>
    </xdr:to>
    <xdr:sp macro="" textlink="">
      <xdr:nvSpPr>
        <xdr:cNvPr id="363" name="Rectangle: Rounded Corners 122">
          <a:extLst>
            <a:ext uri="{FF2B5EF4-FFF2-40B4-BE49-F238E27FC236}">
              <a16:creationId xmlns:a16="http://schemas.microsoft.com/office/drawing/2014/main" id="{00000000-0008-0000-0200-00006B010000}"/>
            </a:ext>
          </a:extLst>
        </xdr:cNvPr>
        <xdr:cNvSpPr/>
      </xdr:nvSpPr>
      <xdr:spPr>
        <a:xfrm>
          <a:off x="1172144" y="3487110"/>
          <a:ext cx="1372021" cy="636303"/>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FF0000"/>
              </a:solidFill>
            </a:rPr>
            <a:t>User’s Current Loan Commitments</a:t>
          </a:r>
        </a:p>
      </xdr:txBody>
    </xdr:sp>
    <xdr:clientData/>
  </xdr:twoCellAnchor>
  <xdr:twoCellAnchor>
    <xdr:from>
      <xdr:col>1</xdr:col>
      <xdr:colOff>1667655</xdr:colOff>
      <xdr:row>20</xdr:row>
      <xdr:rowOff>27663</xdr:rowOff>
    </xdr:from>
    <xdr:to>
      <xdr:col>2</xdr:col>
      <xdr:colOff>736161</xdr:colOff>
      <xdr:row>21</xdr:row>
      <xdr:rowOff>154612</xdr:rowOff>
    </xdr:to>
    <xdr:cxnSp macro="">
      <xdr:nvCxnSpPr>
        <xdr:cNvPr id="380" name="Straight Arrow Connector 123">
          <a:extLst>
            <a:ext uri="{FF2B5EF4-FFF2-40B4-BE49-F238E27FC236}">
              <a16:creationId xmlns:a16="http://schemas.microsoft.com/office/drawing/2014/main" id="{00000000-0008-0000-0200-00007C010000}"/>
            </a:ext>
          </a:extLst>
        </xdr:cNvPr>
        <xdr:cNvCxnSpPr>
          <a:cxnSpLocks/>
          <a:stCxn id="363" idx="2"/>
          <a:endCxn id="348" idx="0"/>
        </xdr:cNvCxnSpPr>
      </xdr:nvCxnSpPr>
      <xdr:spPr>
        <a:xfrm>
          <a:off x="1858155" y="4123413"/>
          <a:ext cx="868731" cy="3269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200942</xdr:colOff>
      <xdr:row>13</xdr:row>
      <xdr:rowOff>152775</xdr:rowOff>
    </xdr:from>
    <xdr:to>
      <xdr:col>10</xdr:col>
      <xdr:colOff>625825</xdr:colOff>
      <xdr:row>16</xdr:row>
      <xdr:rowOff>97980</xdr:rowOff>
    </xdr:to>
    <xdr:cxnSp macro="">
      <xdr:nvCxnSpPr>
        <xdr:cNvPr id="3" name="Connector: Elbow 124">
          <a:extLst>
            <a:ext uri="{FF2B5EF4-FFF2-40B4-BE49-F238E27FC236}">
              <a16:creationId xmlns:a16="http://schemas.microsoft.com/office/drawing/2014/main" id="{00000000-0008-0000-0200-000003000000}"/>
            </a:ext>
          </a:extLst>
        </xdr:cNvPr>
        <xdr:cNvCxnSpPr>
          <a:stCxn id="347" idx="3"/>
          <a:endCxn id="16" idx="1"/>
        </xdr:cNvCxnSpPr>
      </xdr:nvCxnSpPr>
      <xdr:spPr>
        <a:xfrm>
          <a:off x="8089252" y="2817986"/>
          <a:ext cx="1265587" cy="535487"/>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599514</xdr:colOff>
      <xdr:row>18</xdr:row>
      <xdr:rowOff>21066</xdr:rowOff>
    </xdr:from>
    <xdr:to>
      <xdr:col>11</xdr:col>
      <xdr:colOff>506479</xdr:colOff>
      <xdr:row>22</xdr:row>
      <xdr:rowOff>120081</xdr:rowOff>
    </xdr:to>
    <xdr:cxnSp macro="">
      <xdr:nvCxnSpPr>
        <xdr:cNvPr id="7" name="Connector: Elbow 125">
          <a:extLst>
            <a:ext uri="{FF2B5EF4-FFF2-40B4-BE49-F238E27FC236}">
              <a16:creationId xmlns:a16="http://schemas.microsoft.com/office/drawing/2014/main" id="{00000000-0008-0000-0200-000007000000}"/>
            </a:ext>
          </a:extLst>
        </xdr:cNvPr>
        <xdr:cNvCxnSpPr>
          <a:stCxn id="16" idx="2"/>
          <a:endCxn id="349" idx="3"/>
        </xdr:cNvCxnSpPr>
      </xdr:nvCxnSpPr>
      <xdr:spPr>
        <a:xfrm rot="5400000">
          <a:off x="9259334" y="3739274"/>
          <a:ext cx="886057" cy="747669"/>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817394</xdr:colOff>
      <xdr:row>2</xdr:row>
      <xdr:rowOff>129456</xdr:rowOff>
    </xdr:from>
    <xdr:to>
      <xdr:col>14</xdr:col>
      <xdr:colOff>703016</xdr:colOff>
      <xdr:row>5</xdr:row>
      <xdr:rowOff>190528</xdr:rowOff>
    </xdr:to>
    <xdr:sp macro="" textlink="">
      <xdr:nvSpPr>
        <xdr:cNvPr id="364" name="Rectangle: Rounded Corners 126">
          <a:extLst>
            <a:ext uri="{FF2B5EF4-FFF2-40B4-BE49-F238E27FC236}">
              <a16:creationId xmlns:a16="http://schemas.microsoft.com/office/drawing/2014/main" id="{00000000-0008-0000-0200-00006C010000}"/>
            </a:ext>
          </a:extLst>
        </xdr:cNvPr>
        <xdr:cNvSpPr/>
      </xdr:nvSpPr>
      <xdr:spPr>
        <a:xfrm>
          <a:off x="11190119" y="624756"/>
          <a:ext cx="1562022" cy="661147"/>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FF0000"/>
              </a:solidFill>
            </a:rPr>
            <a:t>User’s Preferred Loan</a:t>
          </a:r>
          <a:r>
            <a:rPr lang="en-SG" sz="1200">
              <a:solidFill>
                <a:srgbClr val="FF0000"/>
              </a:solidFill>
            </a:rPr>
            <a:t> Repayment Period</a:t>
          </a:r>
        </a:p>
      </xdr:txBody>
    </xdr:sp>
    <xdr:clientData/>
  </xdr:twoCellAnchor>
  <xdr:twoCellAnchor>
    <xdr:from>
      <xdr:col>13</xdr:col>
      <xdr:colOff>760205</xdr:colOff>
      <xdr:row>5</xdr:row>
      <xdr:rowOff>190528</xdr:rowOff>
    </xdr:from>
    <xdr:to>
      <xdr:col>13</xdr:col>
      <xdr:colOff>760205</xdr:colOff>
      <xdr:row>8</xdr:row>
      <xdr:rowOff>131809</xdr:rowOff>
    </xdr:to>
    <xdr:cxnSp macro="">
      <xdr:nvCxnSpPr>
        <xdr:cNvPr id="383" name="Straight Arrow Connector 127">
          <a:extLst>
            <a:ext uri="{FF2B5EF4-FFF2-40B4-BE49-F238E27FC236}">
              <a16:creationId xmlns:a16="http://schemas.microsoft.com/office/drawing/2014/main" id="{00000000-0008-0000-0200-00007F010000}"/>
            </a:ext>
          </a:extLst>
        </xdr:cNvPr>
        <xdr:cNvCxnSpPr>
          <a:cxnSpLocks/>
          <a:stCxn id="364" idx="2"/>
          <a:endCxn id="356" idx="0"/>
        </xdr:cNvCxnSpPr>
      </xdr:nvCxnSpPr>
      <xdr:spPr>
        <a:xfrm>
          <a:off x="11971130" y="1285903"/>
          <a:ext cx="0" cy="54135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658667</xdr:colOff>
      <xdr:row>8</xdr:row>
      <xdr:rowOff>75189</xdr:rowOff>
    </xdr:from>
    <xdr:to>
      <xdr:col>12</xdr:col>
      <xdr:colOff>354287</xdr:colOff>
      <xdr:row>11</xdr:row>
      <xdr:rowOff>111417</xdr:rowOff>
    </xdr:to>
    <xdr:sp macro="" textlink="">
      <xdr:nvSpPr>
        <xdr:cNvPr id="365" name="Rectangle: Rounded Corners 128">
          <a:extLst>
            <a:ext uri="{FF2B5EF4-FFF2-40B4-BE49-F238E27FC236}">
              <a16:creationId xmlns:a16="http://schemas.microsoft.com/office/drawing/2014/main" id="{00000000-0008-0000-0200-00006D010000}"/>
            </a:ext>
          </a:extLst>
        </xdr:cNvPr>
        <xdr:cNvSpPr/>
      </xdr:nvSpPr>
      <xdr:spPr>
        <a:xfrm>
          <a:off x="9354992" y="1770639"/>
          <a:ext cx="1372020" cy="636303"/>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FF0000"/>
              </a:solidFill>
            </a:rPr>
            <a:t>User’s Downpayment Budget</a:t>
          </a:r>
        </a:p>
      </xdr:txBody>
    </xdr:sp>
    <xdr:clientData/>
  </xdr:twoCellAnchor>
  <xdr:twoCellAnchor>
    <xdr:from>
      <xdr:col>11</xdr:col>
      <xdr:colOff>506478</xdr:colOff>
      <xdr:row>11</xdr:row>
      <xdr:rowOff>111417</xdr:rowOff>
    </xdr:from>
    <xdr:to>
      <xdr:col>11</xdr:col>
      <xdr:colOff>506478</xdr:colOff>
      <xdr:row>14</xdr:row>
      <xdr:rowOff>174894</xdr:rowOff>
    </xdr:to>
    <xdr:cxnSp macro="">
      <xdr:nvCxnSpPr>
        <xdr:cNvPr id="384" name="Straight Arrow Connector 129">
          <a:extLst>
            <a:ext uri="{FF2B5EF4-FFF2-40B4-BE49-F238E27FC236}">
              <a16:creationId xmlns:a16="http://schemas.microsoft.com/office/drawing/2014/main" id="{00000000-0008-0000-0200-000080010000}"/>
            </a:ext>
          </a:extLst>
        </xdr:cNvPr>
        <xdr:cNvCxnSpPr>
          <a:cxnSpLocks/>
          <a:stCxn id="365" idx="2"/>
          <a:endCxn id="16" idx="0"/>
        </xdr:cNvCxnSpPr>
      </xdr:nvCxnSpPr>
      <xdr:spPr>
        <a:xfrm>
          <a:off x="10076196" y="2383107"/>
          <a:ext cx="0" cy="65375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353132</xdr:colOff>
      <xdr:row>9</xdr:row>
      <xdr:rowOff>191684</xdr:rowOff>
    </xdr:from>
    <xdr:to>
      <xdr:col>10</xdr:col>
      <xdr:colOff>658667</xdr:colOff>
      <xdr:row>11</xdr:row>
      <xdr:rowOff>131080</xdr:rowOff>
    </xdr:to>
    <xdr:cxnSp macro="">
      <xdr:nvCxnSpPr>
        <xdr:cNvPr id="4" name="Connector: Elbow 130">
          <a:extLst>
            <a:ext uri="{FF2B5EF4-FFF2-40B4-BE49-F238E27FC236}">
              <a16:creationId xmlns:a16="http://schemas.microsoft.com/office/drawing/2014/main" id="{00000000-0008-0000-0200-000004000000}"/>
            </a:ext>
          </a:extLst>
        </xdr:cNvPr>
        <xdr:cNvCxnSpPr>
          <a:stCxn id="347" idx="0"/>
          <a:endCxn id="365" idx="1"/>
        </xdr:cNvCxnSpPr>
      </xdr:nvCxnSpPr>
      <xdr:spPr>
        <a:xfrm rot="5400000" flipH="1" flipV="1">
          <a:off x="8227751" y="1242840"/>
          <a:ext cx="332917" cy="198694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57336</xdr:colOff>
      <xdr:row>8</xdr:row>
      <xdr:rowOff>183366</xdr:rowOff>
    </xdr:from>
    <xdr:to>
      <xdr:col>10</xdr:col>
      <xdr:colOff>116261</xdr:colOff>
      <xdr:row>10</xdr:row>
      <xdr:rowOff>44926</xdr:rowOff>
    </xdr:to>
    <xdr:sp macro="" textlink="">
      <xdr:nvSpPr>
        <xdr:cNvPr id="366" name="TextBox 225">
          <a:extLst>
            <a:ext uri="{FF2B5EF4-FFF2-40B4-BE49-F238E27FC236}">
              <a16:creationId xmlns:a16="http://schemas.microsoft.com/office/drawing/2014/main" id="{00000000-0008-0000-0200-00006E010000}"/>
            </a:ext>
          </a:extLst>
        </xdr:cNvPr>
        <xdr:cNvSpPr txBox="1"/>
      </xdr:nvSpPr>
      <xdr:spPr>
        <a:xfrm>
          <a:off x="7915461" y="1878816"/>
          <a:ext cx="897125"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a:t>To limit</a:t>
          </a:r>
          <a:endParaRPr lang="en-SG" sz="1100"/>
        </a:p>
      </xdr:txBody>
    </xdr:sp>
    <xdr:clientData/>
  </xdr:twoCellAnchor>
  <xdr:twoCellAnchor>
    <xdr:from>
      <xdr:col>2</xdr:col>
      <xdr:colOff>736161</xdr:colOff>
      <xdr:row>20</xdr:row>
      <xdr:rowOff>27663</xdr:rowOff>
    </xdr:from>
    <xdr:to>
      <xdr:col>4</xdr:col>
      <xdr:colOff>211287</xdr:colOff>
      <xdr:row>21</xdr:row>
      <xdr:rowOff>154612</xdr:rowOff>
    </xdr:to>
    <xdr:cxnSp macro="">
      <xdr:nvCxnSpPr>
        <xdr:cNvPr id="386" name="Straight Arrow Connector 132">
          <a:extLst>
            <a:ext uri="{FF2B5EF4-FFF2-40B4-BE49-F238E27FC236}">
              <a16:creationId xmlns:a16="http://schemas.microsoft.com/office/drawing/2014/main" id="{00000000-0008-0000-0200-000082010000}"/>
            </a:ext>
          </a:extLst>
        </xdr:cNvPr>
        <xdr:cNvCxnSpPr>
          <a:cxnSpLocks/>
          <a:stCxn id="353" idx="2"/>
          <a:endCxn id="348" idx="0"/>
        </xdr:cNvCxnSpPr>
      </xdr:nvCxnSpPr>
      <xdr:spPr>
        <a:xfrm flipH="1">
          <a:off x="2726886" y="4123413"/>
          <a:ext cx="1151526" cy="3269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466725</xdr:colOff>
      <xdr:row>21</xdr:row>
      <xdr:rowOff>154610</xdr:rowOff>
    </xdr:from>
    <xdr:to>
      <xdr:col>1</xdr:col>
      <xdr:colOff>1667655</xdr:colOff>
      <xdr:row>25</xdr:row>
      <xdr:rowOff>98473</xdr:rowOff>
    </xdr:to>
    <xdr:sp macro="" textlink="">
      <xdr:nvSpPr>
        <xdr:cNvPr id="367" name="Rectangle: Rounded Corners 134">
          <a:extLst>
            <a:ext uri="{FF2B5EF4-FFF2-40B4-BE49-F238E27FC236}">
              <a16:creationId xmlns:a16="http://schemas.microsoft.com/office/drawing/2014/main" id="{00000000-0008-0000-0200-00006F010000}"/>
            </a:ext>
          </a:extLst>
        </xdr:cNvPr>
        <xdr:cNvSpPr/>
      </xdr:nvSpPr>
      <xdr:spPr>
        <a:xfrm>
          <a:off x="657225" y="4450385"/>
          <a:ext cx="1200930" cy="743963"/>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FF0000"/>
              </a:solidFill>
            </a:rPr>
            <a:t>MSR &amp; TDSR Ratio</a:t>
          </a:r>
        </a:p>
      </xdr:txBody>
    </xdr:sp>
    <xdr:clientData/>
  </xdr:twoCellAnchor>
  <xdr:twoCellAnchor>
    <xdr:from>
      <xdr:col>1</xdr:col>
      <xdr:colOff>1667655</xdr:colOff>
      <xdr:row>23</xdr:row>
      <xdr:rowOff>126542</xdr:rowOff>
    </xdr:from>
    <xdr:to>
      <xdr:col>2</xdr:col>
      <xdr:colOff>135696</xdr:colOff>
      <xdr:row>23</xdr:row>
      <xdr:rowOff>126544</xdr:rowOff>
    </xdr:to>
    <xdr:cxnSp macro="">
      <xdr:nvCxnSpPr>
        <xdr:cNvPr id="388" name="Straight Arrow Connector 135">
          <a:extLst>
            <a:ext uri="{FF2B5EF4-FFF2-40B4-BE49-F238E27FC236}">
              <a16:creationId xmlns:a16="http://schemas.microsoft.com/office/drawing/2014/main" id="{00000000-0008-0000-0200-000084010000}"/>
            </a:ext>
          </a:extLst>
        </xdr:cNvPr>
        <xdr:cNvCxnSpPr>
          <a:cxnSpLocks/>
          <a:stCxn id="367" idx="3"/>
          <a:endCxn id="348" idx="1"/>
        </xdr:cNvCxnSpPr>
      </xdr:nvCxnSpPr>
      <xdr:spPr>
        <a:xfrm>
          <a:off x="1858155" y="4822367"/>
          <a:ext cx="268266" cy="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701454</xdr:colOff>
      <xdr:row>26</xdr:row>
      <xdr:rowOff>195647</xdr:rowOff>
    </xdr:from>
    <xdr:to>
      <xdr:col>16</xdr:col>
      <xdr:colOff>577338</xdr:colOff>
      <xdr:row>30</xdr:row>
      <xdr:rowOff>44260</xdr:rowOff>
    </xdr:to>
    <xdr:sp macro="" textlink="">
      <xdr:nvSpPr>
        <xdr:cNvPr id="412" name="Rectangle: Rounded Corners 136">
          <a:extLst>
            <a:ext uri="{FF2B5EF4-FFF2-40B4-BE49-F238E27FC236}">
              <a16:creationId xmlns:a16="http://schemas.microsoft.com/office/drawing/2014/main" id="{00000000-0008-0000-0200-00009C010000}"/>
            </a:ext>
          </a:extLst>
        </xdr:cNvPr>
        <xdr:cNvSpPr/>
      </xdr:nvSpPr>
      <xdr:spPr>
        <a:xfrm>
          <a:off x="12750579" y="5491547"/>
          <a:ext cx="1552284" cy="743963"/>
        </a:xfrm>
        <a:prstGeom prst="round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SG" sz="1200">
              <a:solidFill>
                <a:srgbClr val="FF0000"/>
              </a:solidFill>
            </a:rPr>
            <a:t>Bank and HDB Loan </a:t>
          </a:r>
        </a:p>
        <a:p>
          <a:pPr algn="ctr"/>
          <a:r>
            <a:rPr lang="en-SG" sz="1200">
              <a:solidFill>
                <a:srgbClr val="FF0000"/>
              </a:solidFill>
            </a:rPr>
            <a:t>(Interest Rates)</a:t>
          </a:r>
        </a:p>
      </xdr:txBody>
    </xdr:sp>
    <xdr:clientData/>
  </xdr:twoCellAnchor>
  <xdr:twoCellAnchor>
    <xdr:from>
      <xdr:col>14</xdr:col>
      <xdr:colOff>263013</xdr:colOff>
      <xdr:row>28</xdr:row>
      <xdr:rowOff>72329</xdr:rowOff>
    </xdr:from>
    <xdr:to>
      <xdr:col>14</xdr:col>
      <xdr:colOff>701454</xdr:colOff>
      <xdr:row>28</xdr:row>
      <xdr:rowOff>81854</xdr:rowOff>
    </xdr:to>
    <xdr:cxnSp macro="">
      <xdr:nvCxnSpPr>
        <xdr:cNvPr id="411" name="Straight Arrow Connector 137">
          <a:extLst>
            <a:ext uri="{FF2B5EF4-FFF2-40B4-BE49-F238E27FC236}">
              <a16:creationId xmlns:a16="http://schemas.microsoft.com/office/drawing/2014/main" id="{00000000-0008-0000-0200-00009B010000}"/>
            </a:ext>
          </a:extLst>
        </xdr:cNvPr>
        <xdr:cNvCxnSpPr>
          <a:cxnSpLocks/>
          <a:stCxn id="412" idx="1"/>
          <a:endCxn id="404" idx="3"/>
        </xdr:cNvCxnSpPr>
      </xdr:nvCxnSpPr>
      <xdr:spPr>
        <a:xfrm flipH="1">
          <a:off x="12312138" y="5863529"/>
          <a:ext cx="438441"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617113</xdr:colOff>
      <xdr:row>23</xdr:row>
      <xdr:rowOff>80492</xdr:rowOff>
    </xdr:from>
    <xdr:to>
      <xdr:col>12</xdr:col>
      <xdr:colOff>402464</xdr:colOff>
      <xdr:row>27</xdr:row>
      <xdr:rowOff>93908</xdr:rowOff>
    </xdr:to>
    <xdr:cxnSp macro="">
      <xdr:nvCxnSpPr>
        <xdr:cNvPr id="9" name="Connector: Elbow 5">
          <a:extLst>
            <a:ext uri="{FF2B5EF4-FFF2-40B4-BE49-F238E27FC236}">
              <a16:creationId xmlns:a16="http://schemas.microsoft.com/office/drawing/2014/main" id="{00000000-0008-0000-0200-000009000000}"/>
            </a:ext>
          </a:extLst>
        </xdr:cNvPr>
        <xdr:cNvCxnSpPr/>
      </xdr:nvCxnSpPr>
      <xdr:spPr>
        <a:xfrm>
          <a:off x="9256690" y="4802746"/>
          <a:ext cx="1448873" cy="912254"/>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619760</xdr:colOff>
      <xdr:row>1</xdr:row>
      <xdr:rowOff>101600</xdr:rowOff>
    </xdr:from>
    <xdr:to>
      <xdr:col>6</xdr:col>
      <xdr:colOff>263008</xdr:colOff>
      <xdr:row>7</xdr:row>
      <xdr:rowOff>6900</xdr:rowOff>
    </xdr:to>
    <xdr:sp macro="" textlink="">
      <xdr:nvSpPr>
        <xdr:cNvPr id="28" name="AutoShape 7">
          <a:extLst>
            <a:ext uri="{FF2B5EF4-FFF2-40B4-BE49-F238E27FC236}">
              <a16:creationId xmlns:a16="http://schemas.microsoft.com/office/drawing/2014/main" id="{00000000-0008-0000-0200-00001C000000}"/>
            </a:ext>
            <a:ext uri="{147F2762-F138-4A5C-976F-8EAC2B608ADB}">
              <a16:predDERef xmlns:a16="http://schemas.microsoft.com/office/drawing/2014/main" pred="{77EE01AB-5E41-C648-AAC7-1575E5819CFC}"/>
            </a:ext>
          </a:extLst>
        </xdr:cNvPr>
        <xdr:cNvSpPr>
          <a:spLocks noChangeAspect="1" noChangeArrowheads="1"/>
        </xdr:cNvSpPr>
      </xdr:nvSpPr>
      <xdr:spPr bwMode="auto">
        <a:xfrm>
          <a:off x="4307840" y="406400"/>
          <a:ext cx="1329808" cy="1124500"/>
        </a:xfrm>
        <a:prstGeom prst="roundRect">
          <a:avLst>
            <a:gd name="adj" fmla="val 16667"/>
          </a:avLst>
        </a:prstGeom>
        <a:solidFill>
          <a:srgbClr val="FFFFFF"/>
        </a:solidFill>
        <a:ln w="9525">
          <a:solidFill>
            <a:srgbClr val="000000"/>
          </a:solidFill>
          <a:round/>
          <a:headEnd/>
          <a:tailEnd/>
        </a:ln>
      </xdr:spPr>
      <xdr:txBody>
        <a:bodyPr vertOverflow="clip" wrap="square" lIns="36576" tIns="27432" rIns="36576" bIns="27432" anchor="ctr" upright="1"/>
        <a:lstStyle/>
        <a:p>
          <a:pPr algn="ctr" rtl="0">
            <a:defRPr sz="1000"/>
          </a:pPr>
          <a:r>
            <a:rPr lang="en-US" sz="1100" b="1" i="0" strike="noStrike">
              <a:solidFill>
                <a:srgbClr val="FF0000"/>
              </a:solidFill>
              <a:latin typeface="Calibri"/>
              <a:ea typeface="+mn-ea"/>
              <a:cs typeface="Calibri"/>
            </a:rPr>
            <a:t>User's Basic Information</a:t>
          </a:r>
        </a:p>
        <a:p>
          <a:pPr algn="ctr" rtl="0">
            <a:defRPr sz="1000"/>
          </a:pPr>
          <a:r>
            <a:rPr lang="en-US" sz="1100" b="0" i="0" strike="noStrike">
              <a:solidFill>
                <a:srgbClr val="FF0000"/>
              </a:solidFill>
              <a:latin typeface="Calibri"/>
              <a:ea typeface="+mn-ea"/>
              <a:cs typeface="Calibri"/>
            </a:rPr>
            <a:t>-</a:t>
          </a:r>
          <a:r>
            <a:rPr lang="en-US" sz="1100" b="0" i="0" strike="noStrike" baseline="0">
              <a:solidFill>
                <a:srgbClr val="FF0000"/>
              </a:solidFill>
              <a:latin typeface="Calibri"/>
              <a:ea typeface="+mn-ea"/>
              <a:cs typeface="Calibri"/>
            </a:rPr>
            <a:t> Single or Couple?</a:t>
          </a:r>
        </a:p>
        <a:p>
          <a:pPr algn="ctr" rtl="0">
            <a:defRPr sz="1000"/>
          </a:pPr>
          <a:r>
            <a:rPr lang="en-US" sz="1100" b="0" i="0" strike="noStrike" baseline="0">
              <a:solidFill>
                <a:srgbClr val="FF0000"/>
              </a:solidFill>
              <a:latin typeface="Calibri"/>
              <a:ea typeface="+mn-ea"/>
              <a:cs typeface="Calibri"/>
            </a:rPr>
            <a:t>- Max budget</a:t>
          </a:r>
        </a:p>
        <a:p>
          <a:pPr algn="ctr" rtl="0">
            <a:defRPr sz="1000"/>
          </a:pPr>
          <a:r>
            <a:rPr lang="en-US" sz="1100" b="0" i="0" strike="noStrike" baseline="0">
              <a:solidFill>
                <a:srgbClr val="FF0000"/>
              </a:solidFill>
              <a:latin typeface="Calibri"/>
              <a:ea typeface="+mn-ea"/>
              <a:cs typeface="Calibri"/>
            </a:rPr>
            <a:t>- Monthly income</a:t>
          </a:r>
        </a:p>
      </xdr:txBody>
    </xdr:sp>
    <xdr:clientData/>
  </xdr:twoCellAnchor>
  <xdr:twoCellAnchor>
    <xdr:from>
      <xdr:col>4</xdr:col>
      <xdr:colOff>305536</xdr:colOff>
      <xdr:row>4</xdr:row>
      <xdr:rowOff>54251</xdr:rowOff>
    </xdr:from>
    <xdr:to>
      <xdr:col>4</xdr:col>
      <xdr:colOff>619761</xdr:colOff>
      <xdr:row>7</xdr:row>
      <xdr:rowOff>151130</xdr:rowOff>
    </xdr:to>
    <xdr:cxnSp macro="">
      <xdr:nvCxnSpPr>
        <xdr:cNvPr id="18" name="Connector: Elbow 120">
          <a:extLst>
            <a:ext uri="{FF2B5EF4-FFF2-40B4-BE49-F238E27FC236}">
              <a16:creationId xmlns:a16="http://schemas.microsoft.com/office/drawing/2014/main" id="{00000000-0008-0000-0200-000012000000}"/>
            </a:ext>
          </a:extLst>
        </xdr:cNvPr>
        <xdr:cNvCxnSpPr>
          <a:cxnSpLocks/>
          <a:stCxn id="28" idx="1"/>
          <a:endCxn id="6" idx="0"/>
        </xdr:cNvCxnSpPr>
      </xdr:nvCxnSpPr>
      <xdr:spPr>
        <a:xfrm rot="10800000" flipV="1">
          <a:off x="3988536" y="977887"/>
          <a:ext cx="314225" cy="720334"/>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263008</xdr:colOff>
      <xdr:row>4</xdr:row>
      <xdr:rowOff>54251</xdr:rowOff>
    </xdr:from>
    <xdr:to>
      <xdr:col>6</xdr:col>
      <xdr:colOff>456559</xdr:colOff>
      <xdr:row>7</xdr:row>
      <xdr:rowOff>140970</xdr:rowOff>
    </xdr:to>
    <xdr:cxnSp macro="">
      <xdr:nvCxnSpPr>
        <xdr:cNvPr id="21" name="Connector: Elbow 120">
          <a:extLst>
            <a:ext uri="{FF2B5EF4-FFF2-40B4-BE49-F238E27FC236}">
              <a16:creationId xmlns:a16="http://schemas.microsoft.com/office/drawing/2014/main" id="{00000000-0008-0000-0200-000015000000}"/>
            </a:ext>
          </a:extLst>
        </xdr:cNvPr>
        <xdr:cNvCxnSpPr>
          <a:cxnSpLocks/>
          <a:stCxn id="28" idx="3"/>
          <a:endCxn id="23" idx="0"/>
        </xdr:cNvCxnSpPr>
      </xdr:nvCxnSpPr>
      <xdr:spPr>
        <a:xfrm>
          <a:off x="5631644" y="977887"/>
          <a:ext cx="193551" cy="710174"/>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38</xdr:row>
      <xdr:rowOff>0</xdr:rowOff>
    </xdr:from>
    <xdr:to>
      <xdr:col>4</xdr:col>
      <xdr:colOff>24553</xdr:colOff>
      <xdr:row>38</xdr:row>
      <xdr:rowOff>8467</xdr:rowOff>
    </xdr:to>
    <xdr:sp macro="" textlink="">
      <xdr:nvSpPr>
        <xdr:cNvPr id="10" name="Line 4">
          <a:extLst>
            <a:ext uri="{FF2B5EF4-FFF2-40B4-BE49-F238E27FC236}">
              <a16:creationId xmlns:a16="http://schemas.microsoft.com/office/drawing/2014/main" id="{00000000-0008-0000-0200-00000A000000}"/>
            </a:ext>
            <a:ext uri="{147F2762-F138-4A5C-976F-8EAC2B608ADB}">
              <a16:predDERef xmlns:a16="http://schemas.microsoft.com/office/drawing/2014/main" pred="{2BA59B44-8111-4EBD-8C6D-FF7A7239017E}"/>
            </a:ext>
          </a:extLst>
        </xdr:cNvPr>
        <xdr:cNvSpPr>
          <a:spLocks noChangeShapeType="1"/>
        </xdr:cNvSpPr>
      </xdr:nvSpPr>
      <xdr:spPr bwMode="auto">
        <a:xfrm>
          <a:off x="2831353" y="7694706"/>
          <a:ext cx="861259" cy="8467"/>
        </a:xfrm>
        <a:prstGeom prst="line">
          <a:avLst/>
        </a:prstGeom>
        <a:noFill/>
        <a:ln w="9525">
          <a:solidFill>
            <a:srgbClr val="000000"/>
          </a:solidFill>
          <a:round/>
          <a:headEnd/>
          <a:tailEnd type="triangle" w="med" len="med"/>
        </a:ln>
      </xdr:spPr>
    </xdr:sp>
    <xdr:clientData/>
  </xdr:twoCellAnchor>
  <xdr:twoCellAnchor>
    <xdr:from>
      <xdr:col>3</xdr:col>
      <xdr:colOff>0</xdr:colOff>
      <xdr:row>42</xdr:row>
      <xdr:rowOff>0</xdr:rowOff>
    </xdr:from>
    <xdr:to>
      <xdr:col>3</xdr:col>
      <xdr:colOff>834294</xdr:colOff>
      <xdr:row>42</xdr:row>
      <xdr:rowOff>9847</xdr:rowOff>
    </xdr:to>
    <xdr:sp macro="" textlink="">
      <xdr:nvSpPr>
        <xdr:cNvPr id="12" name="Line 4">
          <a:extLst>
            <a:ext uri="{FF2B5EF4-FFF2-40B4-BE49-F238E27FC236}">
              <a16:creationId xmlns:a16="http://schemas.microsoft.com/office/drawing/2014/main" id="{00000000-0008-0000-0200-00000C000000}"/>
            </a:ext>
            <a:ext uri="{147F2762-F138-4A5C-976F-8EAC2B608ADB}">
              <a16:predDERef xmlns:a16="http://schemas.microsoft.com/office/drawing/2014/main" pred="{D89A496C-D26F-43A0-8050-74020135E3B2}"/>
            </a:ext>
          </a:extLst>
        </xdr:cNvPr>
        <xdr:cNvSpPr>
          <a:spLocks noChangeShapeType="1"/>
        </xdr:cNvSpPr>
      </xdr:nvSpPr>
      <xdr:spPr bwMode="auto">
        <a:xfrm flipV="1">
          <a:off x="2831353" y="8471647"/>
          <a:ext cx="834294" cy="9847"/>
        </a:xfrm>
        <a:prstGeom prst="line">
          <a:avLst/>
        </a:prstGeom>
        <a:noFill/>
        <a:ln w="9525">
          <a:solidFill>
            <a:srgbClr val="000000"/>
          </a:solidFill>
          <a:round/>
          <a:headEnd/>
          <a:tailEnd type="triangle" w="med" len="me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16836</xdr:colOff>
      <xdr:row>7</xdr:row>
      <xdr:rowOff>185714</xdr:rowOff>
    </xdr:from>
    <xdr:to>
      <xdr:col>7</xdr:col>
      <xdr:colOff>10584</xdr:colOff>
      <xdr:row>23</xdr:row>
      <xdr:rowOff>74083</xdr:rowOff>
    </xdr:to>
    <xdr:graphicFrame macro="">
      <xdr:nvGraphicFramePr>
        <xdr:cNvPr id="56" name="Chart 56">
          <a:extLst>
            <a:ext uri="{FF2B5EF4-FFF2-40B4-BE49-F238E27FC236}">
              <a16:creationId xmlns:a16="http://schemas.microsoft.com/office/drawing/2014/main" id="{00000000-0008-0000-0E00-000038000000}"/>
            </a:ext>
            <a:ext uri="{147F2762-F138-4A5C-976F-8EAC2B608ADB}">
              <a16:predDERef xmlns:a16="http://schemas.microsoft.com/office/drawing/2014/main" pred="{00000000-0008-0000-0F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176212</xdr:colOff>
      <xdr:row>48</xdr:row>
      <xdr:rowOff>9525</xdr:rowOff>
    </xdr:from>
    <xdr:to>
      <xdr:col>4</xdr:col>
      <xdr:colOff>204787</xdr:colOff>
      <xdr:row>61</xdr:row>
      <xdr:rowOff>152400</xdr:rowOff>
    </xdr:to>
    <xdr:graphicFrame macro="">
      <xdr:nvGraphicFramePr>
        <xdr:cNvPr id="2" name="Chart 1">
          <a:extLst>
            <a:ext uri="{FF2B5EF4-FFF2-40B4-BE49-F238E27FC236}">
              <a16:creationId xmlns:a16="http://schemas.microsoft.com/office/drawing/2014/main" id="{00000000-0008-0000-0E00-000002000000}"/>
            </a:ext>
            <a:ext uri="{147F2762-F138-4A5C-976F-8EAC2B608ADB}">
              <a16:predDERef xmlns:a16="http://schemas.microsoft.com/office/drawing/2014/main" pred="{00000000-0008-0000-0E00-00003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15</xdr:col>
      <xdr:colOff>447675</xdr:colOff>
      <xdr:row>8</xdr:row>
      <xdr:rowOff>190500</xdr:rowOff>
    </xdr:from>
    <xdr:to>
      <xdr:col>24</xdr:col>
      <xdr:colOff>9524</xdr:colOff>
      <xdr:row>31</xdr:row>
      <xdr:rowOff>123825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160B4-DB9B-604E-BF0E-E6B231602BD8}">
  <sheetPr codeName="Sheet16"/>
  <dimension ref="B2:T104"/>
  <sheetViews>
    <sheetView showGridLines="0" topLeftCell="A86" zoomScale="85" zoomScaleNormal="85" workbookViewId="0">
      <selection activeCell="B94" sqref="B94"/>
    </sheetView>
  </sheetViews>
  <sheetFormatPr defaultColWidth="11" defaultRowHeight="15.75"/>
  <cols>
    <col min="1" max="1" width="2.625" customWidth="1"/>
    <col min="2" max="2" width="29" customWidth="1"/>
    <col min="3" max="3" width="40.125" customWidth="1"/>
    <col min="4" max="4" width="15" customWidth="1"/>
    <col min="5" max="5" width="16.5" customWidth="1"/>
    <col min="6" max="6" width="46.875" customWidth="1"/>
    <col min="7" max="7" width="11" customWidth="1"/>
    <col min="8" max="8" width="14" customWidth="1"/>
    <col min="9" max="9" width="27.125" customWidth="1"/>
    <col min="10" max="10" width="15.125" customWidth="1"/>
    <col min="11" max="11" width="14.125" customWidth="1"/>
    <col min="12" max="12" width="14.375" customWidth="1"/>
    <col min="13" max="13" width="17.5" customWidth="1"/>
    <col min="14" max="14" width="18.375" customWidth="1"/>
    <col min="20" max="20" width="19" bestFit="1" customWidth="1"/>
  </cols>
  <sheetData>
    <row r="2" spans="2:20" s="145" customFormat="1" ht="18.75">
      <c r="B2" s="144" t="s">
        <v>0</v>
      </c>
      <c r="T2" s="146"/>
    </row>
    <row r="4" spans="2:20">
      <c r="B4" s="18" t="s">
        <v>1</v>
      </c>
    </row>
    <row r="5" spans="2:20" ht="31.5">
      <c r="B5" s="90" t="s">
        <v>2</v>
      </c>
      <c r="C5" s="20" t="s">
        <v>3</v>
      </c>
    </row>
    <row r="6" spans="2:20">
      <c r="B6" s="84" t="str">
        <f>IF(C5="Couple", "Buyer 1's Age", "Age")</f>
        <v>Age</v>
      </c>
      <c r="C6" s="20">
        <v>36</v>
      </c>
    </row>
    <row r="7" spans="2:20">
      <c r="B7" s="13" t="str">
        <f>IF(C5="Couple","Buyer 2's Age", "")</f>
        <v/>
      </c>
      <c r="C7" s="13"/>
    </row>
    <row r="9" spans="2:20">
      <c r="B9" s="18" t="s">
        <v>4</v>
      </c>
    </row>
    <row r="10" spans="2:20">
      <c r="B10" s="84" t="s">
        <v>5</v>
      </c>
      <c r="C10" s="126">
        <v>6000</v>
      </c>
      <c r="I10" s="13"/>
    </row>
    <row r="11" spans="2:20">
      <c r="B11" s="84" t="s">
        <v>6</v>
      </c>
      <c r="C11" s="126">
        <v>800</v>
      </c>
      <c r="I11" s="13"/>
    </row>
    <row r="12" spans="2:20">
      <c r="B12" s="90" t="s">
        <v>7</v>
      </c>
      <c r="C12" s="20">
        <v>0</v>
      </c>
      <c r="I12" s="13"/>
    </row>
    <row r="13" spans="2:20">
      <c r="B13" s="84" t="s">
        <v>8</v>
      </c>
      <c r="C13" s="126">
        <v>200000</v>
      </c>
      <c r="D13" s="142" t="str">
        <f>_xlfn.CONCAT("Must be at least 20% of your budget for resale flat ( $", C20*0.2, " )")</f>
        <v>Must be at least 20% of your budget for resale flat ( $140000 )</v>
      </c>
    </row>
    <row r="14" spans="2:20">
      <c r="B14" s="84" t="s">
        <v>9</v>
      </c>
      <c r="C14" s="128">
        <v>5000</v>
      </c>
    </row>
    <row r="15" spans="2:20" ht="31.5">
      <c r="B15" s="148" t="s">
        <v>10</v>
      </c>
      <c r="C15" s="149" t="s">
        <v>11</v>
      </c>
    </row>
    <row r="16" spans="2:20" ht="31.5">
      <c r="B16" s="150" t="s">
        <v>12</v>
      </c>
      <c r="C16" s="147">
        <v>6</v>
      </c>
      <c r="D16" s="160" t="str">
        <f>'HDB Lease Calculator'!I20</f>
        <v>years (maximum 25 years)</v>
      </c>
    </row>
    <row r="17" spans="2:4" ht="31.5">
      <c r="B17" s="150" t="s">
        <v>13</v>
      </c>
      <c r="C17" s="147">
        <v>20</v>
      </c>
      <c r="D17" s="161" t="str">
        <f>'HDB Lease Calculator'!I31</f>
        <v>years (maximum 30 years)</v>
      </c>
    </row>
    <row r="18" spans="2:4">
      <c r="B18" s="141"/>
    </row>
    <row r="19" spans="2:4">
      <c r="B19" s="18" t="s">
        <v>14</v>
      </c>
      <c r="C19" s="142" t="s">
        <v>15</v>
      </c>
    </row>
    <row r="20" spans="2:4">
      <c r="B20" s="83" t="s">
        <v>16</v>
      </c>
      <c r="C20" s="51">
        <v>700000</v>
      </c>
    </row>
    <row r="21" spans="2:4">
      <c r="B21" s="83" t="s">
        <v>17</v>
      </c>
      <c r="C21" s="20" t="s">
        <v>18</v>
      </c>
    </row>
    <row r="22" spans="2:4">
      <c r="B22" s="83" t="s">
        <v>19</v>
      </c>
      <c r="C22" s="20" t="s">
        <v>20</v>
      </c>
    </row>
    <row r="23" spans="2:4">
      <c r="B23" s="83" t="s">
        <v>21</v>
      </c>
      <c r="C23" s="20"/>
    </row>
    <row r="24" spans="2:4" ht="31.5">
      <c r="B24" s="186" t="s">
        <v>22</v>
      </c>
      <c r="C24" s="35"/>
      <c r="D24" s="190" t="s">
        <v>23</v>
      </c>
    </row>
    <row r="25" spans="2:4">
      <c r="B25" s="83" t="s">
        <v>24</v>
      </c>
      <c r="C25" s="20"/>
      <c r="D25" s="190" t="s">
        <v>23</v>
      </c>
    </row>
    <row r="26" spans="2:4">
      <c r="B26" s="83" t="s">
        <v>25</v>
      </c>
      <c r="C26" s="20"/>
      <c r="D26" s="190" t="s">
        <v>23</v>
      </c>
    </row>
    <row r="29" spans="2:4">
      <c r="B29" s="18" t="s">
        <v>26</v>
      </c>
      <c r="D29" s="86"/>
    </row>
    <row r="30" spans="2:4">
      <c r="B30" s="85" t="s">
        <v>27</v>
      </c>
      <c r="C30" s="20" t="s">
        <v>28</v>
      </c>
      <c r="D30" s="87"/>
    </row>
    <row r="31" spans="2:4">
      <c r="B31" s="85" t="s">
        <v>29</v>
      </c>
      <c r="C31" s="20" t="s">
        <v>30</v>
      </c>
      <c r="D31" s="87"/>
    </row>
    <row r="32" spans="2:4">
      <c r="B32" s="85" t="s">
        <v>31</v>
      </c>
      <c r="C32" s="20" t="s">
        <v>32</v>
      </c>
      <c r="D32" s="87"/>
    </row>
    <row r="34" spans="2:7" ht="15.95" customHeight="1"/>
    <row r="35" spans="2:7" ht="15.95" customHeight="1">
      <c r="B35" s="18" t="s">
        <v>33</v>
      </c>
    </row>
    <row r="36" spans="2:7" ht="30" customHeight="1">
      <c r="C36" s="153" t="s">
        <v>34</v>
      </c>
      <c r="D36" s="35" t="s">
        <v>11</v>
      </c>
    </row>
    <row r="37" spans="2:7">
      <c r="C37" s="124" t="str">
        <f>IF($C$5="Couple", "Is your Parent/Child at least an SPR? (For Couples use only)", "Please leave as 'Select Option'")</f>
        <v>Please leave as 'Select Option'</v>
      </c>
      <c r="D37" s="35" t="s">
        <v>35</v>
      </c>
    </row>
    <row r="38" spans="2:7">
      <c r="C38" s="153" t="str">
        <f>IF($C$5 = "Couple", "Does your family include at least 1 other SC/SPR? (For Couples use only)", "Please leave as 'Select Option'")</f>
        <v>Please leave as 'Select Option'</v>
      </c>
      <c r="D38" s="35" t="s">
        <v>35</v>
      </c>
    </row>
    <row r="40" spans="2:7">
      <c r="C40" s="57" t="s">
        <v>36</v>
      </c>
      <c r="D40" s="13"/>
    </row>
    <row r="41" spans="2:7" ht="15.95" customHeight="1">
      <c r="C41" s="56" t="s">
        <v>37</v>
      </c>
      <c r="D41" s="13"/>
      <c r="F41" s="56" t="s">
        <v>38</v>
      </c>
    </row>
    <row r="42" spans="2:7" ht="31.5">
      <c r="C42" s="140" t="s">
        <v>39</v>
      </c>
      <c r="D42" s="35" t="s">
        <v>35</v>
      </c>
      <c r="F42" s="140" t="s">
        <v>40</v>
      </c>
      <c r="G42" s="35" t="s">
        <v>11</v>
      </c>
    </row>
    <row r="43" spans="2:7" ht="47.25">
      <c r="C43" s="140" t="s">
        <v>41</v>
      </c>
      <c r="D43" s="35" t="s">
        <v>35</v>
      </c>
      <c r="F43" s="140" t="s">
        <v>42</v>
      </c>
      <c r="G43" s="35" t="s">
        <v>11</v>
      </c>
    </row>
    <row r="44" spans="2:7" ht="63">
      <c r="F44" s="140" t="s">
        <v>43</v>
      </c>
      <c r="G44" s="35" t="s">
        <v>11</v>
      </c>
    </row>
    <row r="48" spans="2:7" hidden="1"/>
    <row r="49" spans="2:14" hidden="1"/>
    <row r="50" spans="2:14" hidden="1"/>
    <row r="51" spans="2:14" hidden="1"/>
    <row r="52" spans="2:14" hidden="1"/>
    <row r="53" spans="2:14" hidden="1">
      <c r="B53" s="55"/>
      <c r="C53" s="13"/>
      <c r="E53" s="55"/>
    </row>
    <row r="54" spans="2:14" hidden="1">
      <c r="E54" s="55"/>
    </row>
    <row r="55" spans="2:14" hidden="1"/>
    <row r="56" spans="2:14" hidden="1"/>
    <row r="57" spans="2:14" hidden="1"/>
    <row r="61" spans="2:14" s="145" customFormat="1">
      <c r="B61" s="146" t="s">
        <v>44</v>
      </c>
    </row>
    <row r="62" spans="2:14">
      <c r="B62" s="40" t="str">
        <f>IF('HDB Recommender'!$H$7=0,"No Eligible flats this round!","")</f>
        <v/>
      </c>
    </row>
    <row r="63" spans="2:14" ht="47.25">
      <c r="B63" s="12" t="s">
        <v>45</v>
      </c>
      <c r="C63" s="92" t="s">
        <v>46</v>
      </c>
      <c r="D63" s="92" t="s">
        <v>19</v>
      </c>
      <c r="E63" s="92" t="s">
        <v>47</v>
      </c>
      <c r="F63" s="92" t="s">
        <v>48</v>
      </c>
      <c r="G63" s="92" t="s">
        <v>49</v>
      </c>
      <c r="H63" s="93" t="s">
        <v>50</v>
      </c>
      <c r="I63" s="92" t="s">
        <v>51</v>
      </c>
      <c r="J63" s="92" t="s">
        <v>52</v>
      </c>
      <c r="K63" s="92" t="s">
        <v>53</v>
      </c>
      <c r="L63" s="92" t="s">
        <v>54</v>
      </c>
      <c r="M63" s="92" t="s">
        <v>55</v>
      </c>
      <c r="N63" s="92" t="s">
        <v>56</v>
      </c>
    </row>
    <row r="64" spans="2:14">
      <c r="B64" s="20">
        <f>IF(ISBLANK(H64),"",1)</f>
        <v>1</v>
      </c>
      <c r="C64" s="20" t="str" cm="1">
        <f t="array" ref="C64:N64">IF(ISBLANK('HDB Recommender'!B11), "", 'HDB Recommender'!B11:M11)</f>
        <v>ANG MO KIO</v>
      </c>
      <c r="D64" s="20" t="str">
        <v>4 ROOM</v>
      </c>
      <c r="E64" s="20" t="str">
        <v>10 TO 12</v>
      </c>
      <c r="F64" s="20">
        <v>93</v>
      </c>
      <c r="G64" s="39">
        <v>55.9166666666666</v>
      </c>
      <c r="H64" s="91">
        <v>538000</v>
      </c>
      <c r="I64" s="20" t="str">
        <v>512 ANG MO KIO AVE 8</v>
      </c>
      <c r="J64" s="20">
        <v>6</v>
      </c>
      <c r="K64" s="20">
        <v>3</v>
      </c>
      <c r="L64" s="20">
        <v>5</v>
      </c>
      <c r="M64" s="39">
        <v>4.666666666666667</v>
      </c>
      <c r="N64" s="20" t="str">
        <v>Within 1km</v>
      </c>
    </row>
    <row r="65" spans="2:14">
      <c r="B65" s="20">
        <f>IF(ISBLANK(H65),"",2)</f>
        <v>2</v>
      </c>
      <c r="C65" s="20" t="str" cm="1">
        <f t="array" ref="C65:N65">IF(ISBLANK('HDB Recommender'!B12), "", 'HDB Recommender'!B12:M12)</f>
        <v>ANG MO KIO</v>
      </c>
      <c r="D65" s="20" t="str">
        <v>4 ROOM</v>
      </c>
      <c r="E65" s="20" t="str">
        <v>10 TO 12</v>
      </c>
      <c r="F65" s="20">
        <v>98</v>
      </c>
      <c r="G65" s="39">
        <v>54</v>
      </c>
      <c r="H65" s="91">
        <v>553000</v>
      </c>
      <c r="I65" s="20" t="str">
        <v>324 ANG MO KIO AVE 3</v>
      </c>
      <c r="J65" s="20">
        <v>5</v>
      </c>
      <c r="K65" s="20">
        <v>3</v>
      </c>
      <c r="L65" s="20">
        <v>8</v>
      </c>
      <c r="M65" s="39">
        <v>5.333333333333333</v>
      </c>
      <c r="N65" s="20" t="str">
        <v>Within 1km</v>
      </c>
    </row>
    <row r="66" spans="2:14">
      <c r="B66" s="20">
        <f>IF(ISBLANK(H66),"",3)</f>
        <v>3</v>
      </c>
      <c r="C66" s="20" t="str" cm="1">
        <f t="array" ref="C66:N66">IF(ISBLANK('HDB Recommender'!B13), "", 'HDB Recommender'!B13:M13)</f>
        <v>ANG MO KIO</v>
      </c>
      <c r="D66" s="20" t="str">
        <v>4 ROOM</v>
      </c>
      <c r="E66" s="20" t="str">
        <v>10 TO 12</v>
      </c>
      <c r="F66" s="20">
        <v>92</v>
      </c>
      <c r="G66" s="39">
        <v>55.4166666666666</v>
      </c>
      <c r="H66" s="91">
        <v>500000</v>
      </c>
      <c r="I66" s="20" t="str">
        <v>537 ANG MO KIO AVE 5</v>
      </c>
      <c r="J66" s="20">
        <v>10</v>
      </c>
      <c r="K66" s="20">
        <v>10</v>
      </c>
      <c r="L66" s="20">
        <v>5</v>
      </c>
      <c r="M66" s="39">
        <v>8.3333333333333339</v>
      </c>
      <c r="N66" s="20" t="str">
        <v>Within 1km</v>
      </c>
    </row>
    <row r="67" spans="2:14">
      <c r="B67" s="20">
        <f>IF(ISBLANK(H67),"",4)</f>
        <v>4</v>
      </c>
      <c r="C67" s="20" t="str" cm="1">
        <f t="array" ref="C67:N67">IF(ISBLANK('HDB Recommender'!B14), "", 'HDB Recommender'!B14:M14)</f>
        <v>ANG MO KIO</v>
      </c>
      <c r="D67" s="20" t="str">
        <v>4 ROOM</v>
      </c>
      <c r="E67" s="20" t="str">
        <v>04 TO 06</v>
      </c>
      <c r="F67" s="20">
        <v>91</v>
      </c>
      <c r="G67" s="39">
        <v>55.75</v>
      </c>
      <c r="H67" s="91">
        <v>518000</v>
      </c>
      <c r="I67" s="20" t="str">
        <v>606 ANG MO KIO AVE 5</v>
      </c>
      <c r="J67" s="20">
        <v>9</v>
      </c>
      <c r="K67" s="20">
        <v>16</v>
      </c>
      <c r="L67" s="20">
        <v>5</v>
      </c>
      <c r="M67" s="39">
        <v>10</v>
      </c>
      <c r="N67" s="20" t="str">
        <v>Within 1km</v>
      </c>
    </row>
    <row r="68" spans="2:14">
      <c r="B68" s="20">
        <f>IF(ISBLANK(H68),"",5)</f>
        <v>5</v>
      </c>
      <c r="C68" s="20" t="str" cm="1">
        <f t="array" ref="C68:N68">IF(ISBLANK('HDB Recommender'!B15), "", 'HDB Recommender'!B15:M15)</f>
        <v>ANG MO KIO</v>
      </c>
      <c r="D68" s="20" t="str">
        <v>4 ROOM</v>
      </c>
      <c r="E68" s="20" t="str">
        <v>07 TO 09</v>
      </c>
      <c r="F68" s="20">
        <v>91</v>
      </c>
      <c r="G68" s="39">
        <v>55.9166666666666</v>
      </c>
      <c r="H68" s="91">
        <v>490000</v>
      </c>
      <c r="I68" s="20" t="str">
        <v>612 ANG MO KIO AVE 4</v>
      </c>
      <c r="J68" s="20">
        <v>11</v>
      </c>
      <c r="K68" s="20">
        <v>14</v>
      </c>
      <c r="L68" s="20">
        <v>6</v>
      </c>
      <c r="M68" s="39">
        <v>10.333333333333334</v>
      </c>
      <c r="N68" s="20" t="str">
        <v>Within 1km</v>
      </c>
    </row>
    <row r="69" spans="2:14">
      <c r="C69" s="16"/>
      <c r="D69" s="16"/>
      <c r="E69" s="16"/>
      <c r="F69" s="16"/>
      <c r="G69" s="16"/>
      <c r="H69" s="16"/>
      <c r="I69" s="16"/>
      <c r="J69" s="16"/>
      <c r="K69" s="16"/>
      <c r="L69" s="16"/>
      <c r="M69" s="16"/>
      <c r="N69" s="16"/>
    </row>
    <row r="70" spans="2:14">
      <c r="B70" s="40"/>
    </row>
    <row r="72" spans="2:14" ht="18.75">
      <c r="B72" s="89" t="s">
        <v>57</v>
      </c>
      <c r="D72" s="139" t="s">
        <v>58</v>
      </c>
      <c r="E72" s="139">
        <v>1</v>
      </c>
    </row>
    <row r="74" spans="2:14">
      <c r="B74" s="45" t="str">
        <f>_xlfn.IFNA(IF(C84=0,"*You are not eligible for any grants",""),"No options selected")</f>
        <v/>
      </c>
    </row>
    <row r="76" spans="2:14">
      <c r="B76" s="156" t="s">
        <v>59</v>
      </c>
      <c r="C76" s="157">
        <f>IF($C$5="Single",IF(AND($C$10&lt;='Housing Grants Criterias'!$D$32,VLOOKUP($E$72,$B$64:$N$68,6,FALSE)&gt;'Housing Grants Criterias'!$D$33,$C$6&gt;='Housing Grants Criterias'!$D$34),1,0),IF(AND($C$10&lt;='Housing Grants Criterias'!$E$32,VLOOKUP($E$72,$B$64:$N$68,6,FALSE)&gt;'Housing Grants Criterias'!$E$33,$C$6&gt;='Housing Grants Criterias'!$E$34),IF(AND($C$10&lt;='Housing Grants Criterias'!$D$32,VLOOKUP($E$72,$B$64:$N$68,6,FALSE)&gt;'Housing Grants Criterias'!$D$33,$C$6&gt;='Housing Grants Criterias'!$D$34),1,0),IF(AND($C$10&lt;='Housing Grants Criterias'!$E$32,VLOOKUP($E$72,$B$64:$N$68,6,FALSE)&gt;'Housing Grants Criterias'!$E$33,$C$6&gt;='Housing Grants Criterias'!$E$34),1,0)))</f>
        <v>1</v>
      </c>
      <c r="E76" s="72"/>
    </row>
    <row r="77" spans="2:14">
      <c r="B77" s="156" t="s">
        <v>60</v>
      </c>
      <c r="C77" s="20">
        <f>IF($C$5="Single",IF(AND($C$10&lt;='Housing Grants Criterias'!$I$32,VLOOKUP($E$72,$B$64:$N$68,6,FALSE)&gt;'Housing Grants Criterias'!$I$33,$C$6&gt;='Housing Grants Criterias'!$I$34),1,0),IF(AND($C$10&lt;='Housing Grants Criterias'!$J$32,VLOOKUP($E$72,$B$64:$N$68,6,FALSE)&gt;'Housing Grants Criterias'!$J$33),1,0))</f>
        <v>0</v>
      </c>
      <c r="E77" s="72"/>
    </row>
    <row r="78" spans="2:14">
      <c r="B78" s="156" t="s">
        <v>61</v>
      </c>
      <c r="C78" s="20">
        <f>IF(AND($C$5 = "Single", $D$36 = "Yes", _xlfn.XLOOKUP($E$72,$B$64:$B$68,$G$64:$G$68) &gt;= 20, $C$6 &gt;= 35, COUNTIF($G$42:$G$44, "=Yes") = COUNTA($G$42:$G$44), _xlfn.XLOOKUP($E$72,$B$64:$B$68,$D$64:$D$68) &lt;&gt; "Executive"), 1, IF(AND($C$5 = "Single", $D$36 = "Yes", _xlfn.XLOOKUP($E$72,$B$64:$B$68,$G$64:$G$68) &gt;= 20, $C$6 &gt;= 35, COUNTIF($D$42:$D$43, "=Yes") = COUNTA($D$42:$D$43)), 1, IF(AND($C$5 = "Couple", COUNTIF($D$36:$D$38, "=Yes") = COUNTA($D$36:$D$38), _xlfn.XLOOKUP($E$72,$B$64:$B$68,$G$64:$G$68) &gt;= 20, $C$6 &gt;= 21, COUNTIF($G$42:$G$44, "=Yes") = COUNTA($G$42:$G$44)), 1, IF(AND($C$5 = "Couple", COUNTIF($D$36:$D$38, "=Yes") = COUNTA($D$36:$D$38), _xlfn.XLOOKUP($E$72,$B$64:$B$68,$G$64:$G$68) &gt;= 20, $C$6 &gt;= 21, COUNTIF($D$42:$D$43, "=Yes") = COUNTA($D$42:$D$43)), 1, 0))))</f>
        <v>1</v>
      </c>
      <c r="I78" s="72"/>
    </row>
    <row r="79" spans="2:14">
      <c r="B79" s="69"/>
      <c r="C79" s="13"/>
    </row>
    <row r="80" spans="2:14">
      <c r="B80" s="156" t="s">
        <v>62</v>
      </c>
      <c r="C80" s="163">
        <f>IF($C$76=1,VLOOKUP(VLOOKUP($E$72,$B$64:$N$68,3,TRUE),'Housing Grants Criterias'!$B$23:$D$26,D80,FALSE),0)</f>
        <v>40000</v>
      </c>
      <c r="D80" s="73">
        <f>IF('User Interface'!C5="Single",2,3)</f>
        <v>2</v>
      </c>
      <c r="E80" s="72"/>
      <c r="F80" s="72"/>
    </row>
    <row r="81" spans="2:9">
      <c r="B81" s="156" t="s">
        <v>63</v>
      </c>
      <c r="C81" s="163">
        <f>IF($C$5="Single",IF($C$77=1,_xlfn.XLOOKUP($C$6,'Housing Grants Criterias'!$B$4:$B$19,'Housing Grants Criterias'!$C$4:$C$19,'Housing Grants Criterias'!$C$4,-1,1)) *$D$81,IF($C$77=1,_xlfn.XLOOKUP($C$6,'Housing Grants Criterias'!$E$4:$E$19,'Housing Grants Criterias'!$F$4:$F$19,'Housing Grants Criterias'!$F$4,-1,1)) *$D$81)</f>
        <v>0</v>
      </c>
      <c r="D81" s="74">
        <f>MIN(VLOOKUP($E$72,$B$64:$N$68,6,FALSE)/(95-$C$6),1)</f>
        <v>0.94774011299434913</v>
      </c>
    </row>
    <row r="82" spans="2:9">
      <c r="B82" s="156" t="s">
        <v>64</v>
      </c>
      <c r="C82" s="163">
        <f>IF(AND($C$5 = "Single", $D$36 = "Yes", _xlfn.XLOOKUP($E$72,$B$64:$B$68,$G$64:$G$68) &gt;= 20, $C$6 &gt;= 35, COUNTIF($G$42:$G$44, "=Yes") = COUNTA($G$42:$G$44), _xlfn.XLOOKUP($E$72,$B$64:$B$68,$D$64:$D$68) &lt;&gt; "Executive"), 10000, IF(AND($C$5 = "Single", $D$36 = "Yes", _xlfn.XLOOKUP($E$72,$B$64:$B$68,$G$64:$G$68) &gt;= 20, $C$6 &gt;= 35, COUNTIF($D$42:$D$43, "=Yes") = COUNTA($D$42:$D$43)), 15000, IF(AND($C$5 = "Couple", COUNTIF($D$36:$D$38, "=Yes") = COUNTA($D$36:$D$38), _xlfn.XLOOKUP($E$72,$B$64:$B$68,$G$64:$G$68) &gt;= 20, $C$6 &gt;= 21, COUNTIF($G$42:$G$44, "=Yes") = COUNTA($G$42:$G$44)), 20000, IF(AND($C$5 = "Couple", COUNTIF($D$36:$D$38, "=Yes") = COUNTA($D$36:$D$38), _xlfn.XLOOKUP($E$72,$B$64:$B$68,$G$64:$G$68) &gt;= 20, $C$6 &gt;= 21, COUNTIF($D$42:$D$43, "=Yes") = COUNTA($D$42:$D$43)), 30000, 0))))</f>
        <v>10000</v>
      </c>
    </row>
    <row r="83" spans="2:9">
      <c r="B83" s="69"/>
      <c r="C83" s="13"/>
    </row>
    <row r="84" spans="2:9">
      <c r="B84" s="156" t="s">
        <v>65</v>
      </c>
      <c r="C84" s="163">
        <f>SUM(C80:C82)</f>
        <v>50000</v>
      </c>
    </row>
    <row r="85" spans="2:9">
      <c r="B85" s="156" t="s">
        <v>66</v>
      </c>
      <c r="C85" s="164">
        <f>VLOOKUP($E$72,$B$64:$N$68,7,TRUE) - C84</f>
        <v>488000</v>
      </c>
    </row>
    <row r="90" spans="2:9" s="145" customFormat="1">
      <c r="B90" s="146" t="s">
        <v>67</v>
      </c>
    </row>
    <row r="92" spans="2:9">
      <c r="B92" s="151" t="s">
        <v>68</v>
      </c>
    </row>
    <row r="93" spans="2:9">
      <c r="B93" s="142" t="str">
        <f>IF('HDB Lease Calculator'!B19="Eligible","","*You are not eligible for HDB loan plan")</f>
        <v>*You are not eligible for HDB loan plan</v>
      </c>
    </row>
    <row r="94" spans="2:9">
      <c r="B94" s="45" t="str">
        <f>IF(C95="-","No loan scheme found. You might want to lower your housing budget, increase your monthly loan repayment budget or decrease your downpayment","")</f>
        <v/>
      </c>
    </row>
    <row r="95" spans="2:9">
      <c r="B95" s="154" t="s">
        <v>69</v>
      </c>
      <c r="C95" s="131" t="str">
        <f>'HDB Lease Calculator'!F159</f>
        <v>DBS</v>
      </c>
      <c r="D95" s="95"/>
      <c r="F95" s="169" t="s">
        <v>70</v>
      </c>
      <c r="G95" s="238">
        <f>IF(C95="HDB",'HDB Lease Calculator'!F21,'HDB Lease Calculator'!F32)</f>
        <v>200000</v>
      </c>
      <c r="H95" s="238"/>
      <c r="I95" s="192" t="str">
        <f>IF(G95&lt;&gt;C13,"*Downpayment for this scheme exceed your budget","")</f>
        <v/>
      </c>
    </row>
    <row r="96" spans="2:9">
      <c r="B96" s="154" t="s">
        <v>71</v>
      </c>
      <c r="C96" s="131" t="str">
        <f>'HDB Lease Calculator'!F160</f>
        <v>2 Years Fixed</v>
      </c>
      <c r="D96" s="95"/>
      <c r="F96" s="169" t="s">
        <v>72</v>
      </c>
      <c r="G96" s="238">
        <f>'HDB Lease Calculator'!F13</f>
        <v>1800</v>
      </c>
      <c r="H96" s="238"/>
      <c r="I96" s="192" t="str">
        <f>IF(G96&lt;&gt;C14,"*Re-adjusted to fulfill MSR and TDSR Criteria","")</f>
        <v>*Re-adjusted to fulfill MSR and TDSR Criteria</v>
      </c>
    </row>
    <row r="97" spans="2:6">
      <c r="B97" s="154" t="s">
        <v>73</v>
      </c>
      <c r="C97" s="177">
        <f>'HDB Lease Calculator'!F162</f>
        <v>288000</v>
      </c>
      <c r="D97" s="95"/>
      <c r="E97" s="95"/>
      <c r="F97" s="95"/>
    </row>
    <row r="98" spans="2:6">
      <c r="B98" s="154" t="s">
        <v>74</v>
      </c>
      <c r="C98" s="177">
        <f>'HDB Lease Calculator'!F161</f>
        <v>337650.01614583639</v>
      </c>
      <c r="D98" s="95"/>
      <c r="E98" s="95"/>
    </row>
    <row r="99" spans="2:6">
      <c r="B99" s="165" t="s">
        <v>75</v>
      </c>
      <c r="C99" s="178">
        <f>'HDB Lease Calculator'!F163</f>
        <v>49650.016145836387</v>
      </c>
      <c r="D99" s="95"/>
      <c r="E99" s="95"/>
    </row>
    <row r="100" spans="2:6">
      <c r="B100" s="166" t="s">
        <v>76</v>
      </c>
      <c r="C100" s="179" t="str">
        <f>IFERROR(IF(C95="HDB","-",VLOOKUP(_xlfn.CONCAT($C$95,$C$96),'Data Validation Tables M2'!$G$72:$K$82,2)),"-")</f>
        <v>-</v>
      </c>
    </row>
    <row r="101" spans="2:6">
      <c r="B101" s="166" t="s">
        <v>77</v>
      </c>
      <c r="C101" s="179" t="str">
        <f>IFERROR(IF(C95="HDB","-",VLOOKUP(_xlfn.CONCAT($C$95,$C$96),'Data Validation Tables M2'!$G$72:$K$82,3)),"-")</f>
        <v>-</v>
      </c>
    </row>
    <row r="102" spans="2:6">
      <c r="B102" s="166" t="s">
        <v>78</v>
      </c>
      <c r="C102" s="179" t="str">
        <f>IFERROR(IF(C95="HDB","-",VLOOKUP(_xlfn.CONCAT($C$95,$C$96),'Data Validation Tables M2'!$G$72:$K$82,4)),"-")</f>
        <v>-</v>
      </c>
    </row>
    <row r="103" spans="2:6">
      <c r="B103" s="167" t="s">
        <v>79</v>
      </c>
      <c r="C103" s="180" t="str">
        <f>IFERROR(IF(C95="HDB","-",VLOOKUP(_xlfn.CONCAT($C$95,$C$96),'Data Validation Tables M2'!$G$72:$K$82,5)),"-")</f>
        <v>-</v>
      </c>
    </row>
    <row r="104" spans="2:6">
      <c r="B104" s="166" t="s">
        <v>80</v>
      </c>
      <c r="C104" s="179" t="str">
        <f>IF(C95="HDB",'Data Validation Tables M2'!H72,"-")</f>
        <v>-</v>
      </c>
    </row>
  </sheetData>
  <mergeCells count="2">
    <mergeCell ref="G95:H95"/>
    <mergeCell ref="G96:H96"/>
  </mergeCells>
  <conditionalFormatting sqref="B7">
    <cfRule type="cellIs" dxfId="29" priority="4" operator="equal">
      <formula>""""""</formula>
    </cfRule>
    <cfRule type="cellIs" dxfId="28" priority="5" operator="equal">
      <formula>"Buyer 2's Age"</formula>
    </cfRule>
  </conditionalFormatting>
  <conditionalFormatting sqref="E5">
    <cfRule type="cellIs" dxfId="27" priority="2" operator="equal">
      <formula>"he"</formula>
    </cfRule>
  </conditionalFormatting>
  <conditionalFormatting sqref="C7">
    <cfRule type="expression" dxfId="26" priority="1">
      <formula>$C$5="Couple"</formula>
    </cfRule>
  </conditionalFormatting>
  <dataValidations count="4">
    <dataValidation type="whole" showInputMessage="1" showErrorMessage="1" sqref="C16" xr:uid="{686A2F17-E606-406F-A0EB-28C775C30136}">
      <formula1>1</formula1>
      <formula2>25</formula2>
    </dataValidation>
    <dataValidation type="whole" showInputMessage="1" showErrorMessage="1" sqref="C17" xr:uid="{44AB9A56-4EBC-49F6-B84D-21E03E1B7E33}">
      <formula1>2</formula1>
      <formula2>30</formula2>
    </dataValidation>
    <dataValidation type="whole" operator="greaterThanOrEqual" allowBlank="1" showInputMessage="1" showErrorMessage="1" sqref="C24 C26" xr:uid="{EFEEC64D-642E-7842-BE88-2457CFD43D84}">
      <formula1>0</formula1>
    </dataValidation>
    <dataValidation type="whole" operator="greaterThan" allowBlank="1" showInputMessage="1" showErrorMessage="1" sqref="C25" xr:uid="{A25BB691-F086-9E4E-9C6B-44557C7DB932}">
      <formula1>0</formula1>
    </dataValidation>
  </dataValidation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9224" r:id="rId3" name="Button 8">
              <controlPr defaultSize="0" print="0" autoFill="0" autoPict="0" macro="[0]!Recommender7" altText="Get Recommendation">
                <anchor moveWithCells="1" sizeWithCells="1">
                  <from>
                    <xdr:col>3</xdr:col>
                    <xdr:colOff>600075</xdr:colOff>
                    <xdr:row>30</xdr:row>
                    <xdr:rowOff>47625</xdr:rowOff>
                  </from>
                  <to>
                    <xdr:col>4</xdr:col>
                    <xdr:colOff>1133475</xdr:colOff>
                    <xdr:row>32</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r:uid="{BA3C321A-C08F-434E-AF6B-269DA3C35AFE}">
          <x14:formula1>
            <xm:f>_xlfn.ANCHORARRAY('Data Validation Tables UI'!$B$50)</xm:f>
          </x14:formula1>
          <xm:sqref>E72</xm:sqref>
        </x14:dataValidation>
        <x14:dataValidation type="list" allowBlank="1" showInputMessage="1" showErrorMessage="1" xr:uid="{043D5DC2-E357-B745-BB45-1D32C9B2FA06}">
          <x14:formula1>
            <xm:f>'Data Validation Tables UI'!$C$44:$C$45</xm:f>
          </x14:formula1>
          <xm:sqref>C53 I10:I13</xm:sqref>
        </x14:dataValidation>
        <x14:dataValidation type="list" allowBlank="1" showInputMessage="1" showErrorMessage="1" xr:uid="{23CCC1A6-E7DA-40B6-A2AA-CD74D18FD03E}">
          <x14:formula1>
            <xm:f>'Data Validation Tables UI'!$B$9:$B$11</xm:f>
          </x14:formula1>
          <xm:sqref>C12</xm:sqref>
        </x14:dataValidation>
        <x14:dataValidation type="list" allowBlank="1" showInputMessage="1" showErrorMessage="1" xr:uid="{691A0B9D-6D8B-495F-87CF-9602B82B2AA9}">
          <x14:formula1>
            <xm:f>'Data Validation Tables UI'!$C$9:$C$10</xm:f>
          </x14:formula1>
          <xm:sqref>C15</xm:sqref>
        </x14:dataValidation>
        <x14:dataValidation type="list" showInputMessage="1" showErrorMessage="1" xr:uid="{0B0941C0-75AF-604C-9805-AE4DE7F108F6}">
          <x14:formula1>
            <xm:f>_xlfn.ANCHORARRAY('Data Validation Tables UI'!$B$16)</xm:f>
          </x14:formula1>
          <xm:sqref>C21</xm:sqref>
        </x14:dataValidation>
        <x14:dataValidation type="list" allowBlank="1" showInputMessage="1" showErrorMessage="1" xr:uid="{2D4D9DE4-7686-4953-96F5-6C9BED58A2E4}">
          <x14:formula1>
            <xm:f>_xlfn.ANCHORARRAY('Data Validation Tables UI'!$C$16)</xm:f>
          </x14:formula1>
          <xm:sqref>C22</xm:sqref>
        </x14:dataValidation>
        <x14:dataValidation type="list" allowBlank="1" showInputMessage="1" showErrorMessage="1" xr:uid="{3B52C768-F0B5-5C4C-B57D-9F5EDD7062C9}">
          <x14:formula1>
            <xm:f>'Data Validation Tables UI'!$E$16:$E$19</xm:f>
          </x14:formula1>
          <xm:sqref>C30:C32</xm:sqref>
        </x14:dataValidation>
        <x14:dataValidation type="list" allowBlank="1" showInputMessage="1" showErrorMessage="1" xr:uid="{B3E72C7F-58C3-CB42-9AE9-F7D716311C2A}">
          <x14:formula1>
            <xm:f>_xlfn.ANCHORARRAY('Data Validation Tables UI'!$D$16)</xm:f>
          </x14:formula1>
          <xm:sqref>C23</xm:sqref>
        </x14:dataValidation>
        <x14:dataValidation type="list" allowBlank="1" showInputMessage="1" showErrorMessage="1" xr:uid="{A371A353-38FF-014A-AAF1-BBB67F1C8E3D}">
          <x14:formula1>
            <xm:f>'Data Validation Tables UI'!$D$44:$D$46</xm:f>
          </x14:formula1>
          <xm:sqref>D36:D38 G42:G44 D42:D43</xm:sqref>
        </x14:dataValidation>
        <x14:dataValidation type="list" allowBlank="1" showInputMessage="1" showErrorMessage="1" xr:uid="{2F132C96-62E3-3B44-A5A3-1E85490CFB09}">
          <x14:formula1>
            <xm:f>'Data Validation Tables UI'!B44:B45</xm:f>
          </x14:formula1>
          <xm:sqref>C5</xm:sqref>
        </x14:dataValidation>
        <x14:dataValidation type="decimal" allowBlank="1" showInputMessage="1" showErrorMessage="1" xr:uid="{AE482433-B51A-4DB0-980F-C25FAC3C26D6}">
          <x14:formula1>
            <xm:f>'Data Validation Tables UI'!E44</xm:f>
          </x14:formula1>
          <x14:formula2>
            <xm:f>$C$20</xm:f>
          </x14:formula2>
          <xm:sqref>C13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E7A65-FA3A-C04B-85B1-F5417E1D6402}">
  <sheetPr codeName="Sheet10"/>
  <dimension ref="B1:R69"/>
  <sheetViews>
    <sheetView showGridLines="0" topLeftCell="C1" zoomScale="44" zoomScaleNormal="85" workbookViewId="0">
      <selection activeCell="H42" sqref="H42"/>
    </sheetView>
  </sheetViews>
  <sheetFormatPr defaultColWidth="11" defaultRowHeight="15.75"/>
  <cols>
    <col min="1" max="1" width="2.5" customWidth="1"/>
    <col min="2" max="2" width="25.625" customWidth="1"/>
    <col min="11" max="11" width="29" customWidth="1"/>
    <col min="12" max="12" width="10.375" customWidth="1"/>
    <col min="13" max="13" width="11.625" customWidth="1"/>
  </cols>
  <sheetData>
    <row r="1" spans="2:18" ht="23.25">
      <c r="B1" s="78" t="s">
        <v>81</v>
      </c>
      <c r="C1" s="42"/>
      <c r="D1" s="42"/>
      <c r="E1" s="42"/>
      <c r="F1" s="42"/>
      <c r="G1" s="42"/>
      <c r="H1" s="42"/>
      <c r="I1" s="42"/>
      <c r="J1" s="42"/>
      <c r="K1" s="42"/>
      <c r="L1" s="42"/>
      <c r="M1" s="42"/>
      <c r="N1" s="42"/>
      <c r="O1" s="42"/>
      <c r="P1" s="42"/>
      <c r="Q1" s="42"/>
      <c r="R1" s="10"/>
    </row>
    <row r="40" spans="2:11" ht="21" customHeight="1"/>
    <row r="45" spans="2:11" ht="23.25">
      <c r="B45" s="4" t="s">
        <v>82</v>
      </c>
    </row>
    <row r="47" spans="2:11" ht="18.75">
      <c r="F47" s="1"/>
      <c r="G47" s="1"/>
      <c r="H47" s="1"/>
      <c r="K47" s="210" t="s">
        <v>83</v>
      </c>
    </row>
    <row r="48" spans="2:11" ht="18.75">
      <c r="B48" s="206" t="s">
        <v>84</v>
      </c>
      <c r="F48" s="1"/>
      <c r="G48" s="1"/>
      <c r="H48" s="1"/>
      <c r="K48" s="211" t="s">
        <v>85</v>
      </c>
    </row>
    <row r="49" spans="2:11" ht="18.75">
      <c r="B49" s="207" t="s">
        <v>86</v>
      </c>
      <c r="F49" s="1"/>
      <c r="G49" s="1"/>
      <c r="H49" s="1"/>
      <c r="K49" s="211" t="s">
        <v>87</v>
      </c>
    </row>
    <row r="50" spans="2:11" ht="18.75">
      <c r="B50" s="2"/>
      <c r="F50" s="1"/>
      <c r="G50" s="1"/>
      <c r="H50" s="1"/>
      <c r="K50" s="211" t="s">
        <v>88</v>
      </c>
    </row>
    <row r="51" spans="2:11" ht="18.75">
      <c r="B51" s="2"/>
      <c r="F51" s="1"/>
      <c r="G51" s="1"/>
      <c r="H51" s="1"/>
      <c r="K51" s="211" t="s">
        <v>89</v>
      </c>
    </row>
    <row r="52" spans="2:11" ht="18.75">
      <c r="B52" s="2"/>
      <c r="F52" s="1"/>
      <c r="G52" s="1"/>
      <c r="H52" s="1"/>
      <c r="K52" s="211" t="s">
        <v>90</v>
      </c>
    </row>
    <row r="53" spans="2:11">
      <c r="F53" s="1"/>
      <c r="G53" s="5" t="s">
        <v>91</v>
      </c>
      <c r="H53" s="1"/>
    </row>
    <row r="54" spans="2:11" ht="18.75">
      <c r="F54" s="1"/>
      <c r="G54" s="1"/>
      <c r="H54" s="1"/>
      <c r="K54" s="212" t="s">
        <v>92</v>
      </c>
    </row>
    <row r="55" spans="2:11" ht="18.75">
      <c r="B55" s="208" t="s">
        <v>93</v>
      </c>
      <c r="F55" s="1"/>
      <c r="G55" s="1"/>
      <c r="H55" s="1"/>
      <c r="K55" s="211" t="s">
        <v>94</v>
      </c>
    </row>
    <row r="56" spans="2:11" ht="18.75">
      <c r="B56" s="209" t="s">
        <v>95</v>
      </c>
      <c r="F56" s="1"/>
      <c r="G56" s="1"/>
      <c r="H56" s="1"/>
      <c r="K56" s="211" t="s">
        <v>96</v>
      </c>
    </row>
    <row r="57" spans="2:11" ht="18.75">
      <c r="B57" s="209" t="s">
        <v>97</v>
      </c>
      <c r="F57" s="1"/>
      <c r="G57" s="1"/>
      <c r="H57" s="1"/>
      <c r="K57" s="211" t="s">
        <v>98</v>
      </c>
    </row>
    <row r="58" spans="2:11" ht="18.75">
      <c r="B58" s="209" t="s">
        <v>99</v>
      </c>
      <c r="F58" s="1"/>
      <c r="G58" s="1"/>
      <c r="H58" s="1"/>
      <c r="K58" s="211" t="s">
        <v>100</v>
      </c>
    </row>
    <row r="59" spans="2:11" ht="18.75">
      <c r="B59" s="209" t="s">
        <v>101</v>
      </c>
      <c r="K59" s="211" t="s">
        <v>102</v>
      </c>
    </row>
    <row r="60" spans="2:11" ht="18.75">
      <c r="B60" s="209" t="s">
        <v>103</v>
      </c>
      <c r="K60" s="211" t="s">
        <v>104</v>
      </c>
    </row>
    <row r="61" spans="2:11" ht="18.75">
      <c r="B61" s="209" t="s">
        <v>105</v>
      </c>
      <c r="K61" s="211" t="s">
        <v>106</v>
      </c>
    </row>
    <row r="62" spans="2:11" ht="18.75">
      <c r="B62" s="209" t="s">
        <v>107</v>
      </c>
    </row>
    <row r="64" spans="2:11" ht="18.75">
      <c r="B64" s="213" t="s">
        <v>108</v>
      </c>
      <c r="C64" s="214"/>
      <c r="D64" s="214"/>
      <c r="E64" s="214"/>
      <c r="F64" s="211"/>
      <c r="G64" s="211"/>
      <c r="H64" s="211"/>
      <c r="I64" s="211"/>
      <c r="J64" s="211"/>
    </row>
    <row r="65" spans="2:10" ht="18.75">
      <c r="B65" s="214" t="s">
        <v>109</v>
      </c>
      <c r="C65" s="214"/>
      <c r="D65" s="214"/>
      <c r="E65" s="215" t="s">
        <v>110</v>
      </c>
      <c r="F65" s="211"/>
      <c r="G65" s="211"/>
      <c r="H65" s="211"/>
      <c r="I65" s="211"/>
      <c r="J65" s="211"/>
    </row>
    <row r="66" spans="2:10" ht="18.75">
      <c r="B66" s="214" t="s">
        <v>111</v>
      </c>
      <c r="C66" s="214"/>
      <c r="D66" s="214"/>
      <c r="E66" s="215" t="s">
        <v>112</v>
      </c>
      <c r="F66" s="211"/>
      <c r="G66" s="211"/>
      <c r="H66" s="211"/>
      <c r="I66" s="211"/>
      <c r="J66" s="211"/>
    </row>
    <row r="67" spans="2:10" ht="18.75">
      <c r="B67" s="214"/>
      <c r="C67" s="214"/>
      <c r="D67" s="214"/>
      <c r="E67" s="214"/>
      <c r="F67" s="211"/>
      <c r="G67" s="211"/>
      <c r="H67" s="211"/>
      <c r="I67" s="211"/>
      <c r="J67" s="211"/>
    </row>
    <row r="68" spans="2:10" ht="18.75">
      <c r="B68" s="214" t="s">
        <v>113</v>
      </c>
      <c r="C68" s="214"/>
      <c r="D68" s="214"/>
      <c r="E68" s="215" t="s">
        <v>114</v>
      </c>
      <c r="F68" s="211"/>
      <c r="G68" s="211"/>
      <c r="H68" s="211"/>
      <c r="I68" s="211"/>
      <c r="J68" s="211"/>
    </row>
    <row r="69" spans="2:10" ht="18.75">
      <c r="B69" s="214" t="s">
        <v>115</v>
      </c>
      <c r="C69" s="214"/>
      <c r="D69" s="214"/>
      <c r="E69" s="215" t="s">
        <v>116</v>
      </c>
      <c r="F69" s="211"/>
      <c r="G69" s="211"/>
      <c r="H69" s="211"/>
      <c r="I69" s="211"/>
      <c r="J69" s="211"/>
    </row>
  </sheetData>
  <sheetProtection sheet="1" objects="1" scenarios="1"/>
  <pageMargins left="0.7" right="0.7" top="0.75" bottom="0.75" header="0.3" footer="0.3"/>
  <pageSetup paperSize="9"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D4E97-FE36-BF43-8ED6-C9126E3CDCE0}">
  <sheetPr codeName="Sheet14"/>
  <dimension ref="B1:M59"/>
  <sheetViews>
    <sheetView showGridLines="0" topLeftCell="A12" zoomScale="43" zoomScaleNormal="85" workbookViewId="0">
      <selection activeCell="R35" sqref="R35"/>
    </sheetView>
  </sheetViews>
  <sheetFormatPr defaultColWidth="11" defaultRowHeight="15.75"/>
  <cols>
    <col min="1" max="1" width="2.5" customWidth="1"/>
    <col min="2" max="2" width="23.625" customWidth="1"/>
  </cols>
  <sheetData>
    <row r="1" spans="2:2" ht="23.25">
      <c r="B1" s="4" t="s">
        <v>117</v>
      </c>
    </row>
    <row r="27" spans="2:2" ht="23.25">
      <c r="B27" s="4"/>
    </row>
    <row r="33" spans="2:11" ht="23.25">
      <c r="B33" s="4" t="s">
        <v>118</v>
      </c>
    </row>
    <row r="36" spans="2:11">
      <c r="F36" s="1"/>
      <c r="G36" s="1"/>
      <c r="H36" s="1"/>
    </row>
    <row r="37" spans="2:11">
      <c r="B37" s="185" t="s">
        <v>84</v>
      </c>
      <c r="F37" s="1"/>
      <c r="G37" s="1"/>
      <c r="H37" s="1"/>
      <c r="K37" s="9" t="s">
        <v>83</v>
      </c>
    </row>
    <row r="38" spans="2:11">
      <c r="B38" s="168" t="s">
        <v>119</v>
      </c>
      <c r="F38" s="1"/>
      <c r="G38" s="1"/>
      <c r="H38" s="1"/>
      <c r="K38" t="s">
        <v>120</v>
      </c>
    </row>
    <row r="39" spans="2:11">
      <c r="B39" s="2"/>
      <c r="F39" s="1"/>
      <c r="G39" s="1"/>
      <c r="H39" s="1"/>
      <c r="K39" t="s">
        <v>121</v>
      </c>
    </row>
    <row r="40" spans="2:11" ht="15.75" customHeight="1">
      <c r="F40" s="1"/>
      <c r="G40" s="1"/>
      <c r="H40" s="1"/>
      <c r="K40" s="184" t="s">
        <v>122</v>
      </c>
    </row>
    <row r="41" spans="2:11">
      <c r="F41" s="1"/>
      <c r="G41" s="1"/>
      <c r="H41" s="1"/>
    </row>
    <row r="42" spans="2:11">
      <c r="B42" s="3" t="s">
        <v>93</v>
      </c>
      <c r="F42" s="1"/>
      <c r="G42" s="5" t="s">
        <v>91</v>
      </c>
      <c r="H42" s="5"/>
      <c r="K42" s="138" t="s">
        <v>92</v>
      </c>
    </row>
    <row r="43" spans="2:11">
      <c r="B43" s="183" t="s">
        <v>123</v>
      </c>
      <c r="F43" s="1"/>
      <c r="G43" s="1"/>
      <c r="H43" s="1"/>
      <c r="K43" s="184" t="s">
        <v>124</v>
      </c>
    </row>
    <row r="44" spans="2:11">
      <c r="B44" s="183" t="s">
        <v>125</v>
      </c>
      <c r="F44" s="1"/>
      <c r="G44" s="1"/>
      <c r="H44" s="1"/>
      <c r="K44" s="184" t="s">
        <v>126</v>
      </c>
    </row>
    <row r="45" spans="2:11">
      <c r="B45" s="183" t="s">
        <v>127</v>
      </c>
      <c r="F45" s="1"/>
      <c r="G45" s="1"/>
      <c r="H45" s="1"/>
      <c r="K45" s="184" t="s">
        <v>128</v>
      </c>
    </row>
    <row r="46" spans="2:11">
      <c r="B46" s="183" t="s">
        <v>129</v>
      </c>
      <c r="F46" s="1"/>
      <c r="G46" s="1"/>
      <c r="H46" s="1"/>
      <c r="K46" s="184" t="s">
        <v>130</v>
      </c>
    </row>
    <row r="47" spans="2:11">
      <c r="B47" s="183" t="s">
        <v>131</v>
      </c>
      <c r="F47" s="1"/>
      <c r="G47" s="1"/>
      <c r="H47" s="1"/>
      <c r="K47" s="184" t="s">
        <v>70</v>
      </c>
    </row>
    <row r="48" spans="2:11">
      <c r="B48" s="183" t="s">
        <v>132</v>
      </c>
      <c r="K48" s="184" t="s">
        <v>133</v>
      </c>
    </row>
    <row r="49" spans="2:13">
      <c r="B49" s="183" t="s">
        <v>134</v>
      </c>
    </row>
    <row r="50" spans="2:13">
      <c r="B50" s="183" t="s">
        <v>135</v>
      </c>
      <c r="M50" s="184"/>
    </row>
    <row r="51" spans="2:13">
      <c r="B51" s="183" t="s">
        <v>136</v>
      </c>
      <c r="M51" s="184"/>
    </row>
    <row r="52" spans="2:13">
      <c r="B52" s="183" t="s">
        <v>137</v>
      </c>
    </row>
    <row r="53" spans="2:13">
      <c r="B53" s="183" t="s">
        <v>138</v>
      </c>
    </row>
    <row r="54" spans="2:13">
      <c r="B54" s="183" t="s">
        <v>139</v>
      </c>
      <c r="D54" s="6" t="s">
        <v>108</v>
      </c>
      <c r="E54" s="7"/>
      <c r="F54" s="7"/>
      <c r="G54" s="7"/>
      <c r="M54" s="9"/>
    </row>
    <row r="55" spans="2:13">
      <c r="D55" s="7" t="s">
        <v>109</v>
      </c>
      <c r="E55" s="7"/>
      <c r="F55" s="7"/>
      <c r="G55" s="8" t="s">
        <v>140</v>
      </c>
    </row>
    <row r="56" spans="2:13">
      <c r="D56" s="7" t="s">
        <v>111</v>
      </c>
      <c r="E56" s="7"/>
      <c r="F56" s="7"/>
      <c r="G56" s="8" t="s">
        <v>141</v>
      </c>
    </row>
    <row r="57" spans="2:13">
      <c r="D57" s="7"/>
      <c r="E57" s="7"/>
      <c r="F57" s="7"/>
      <c r="G57" s="7"/>
    </row>
    <row r="58" spans="2:13">
      <c r="D58" s="7" t="s">
        <v>113</v>
      </c>
      <c r="E58" s="7"/>
      <c r="F58" s="7"/>
      <c r="G58" s="8" t="s">
        <v>114</v>
      </c>
    </row>
    <row r="59" spans="2:13">
      <c r="D59" s="7" t="s">
        <v>115</v>
      </c>
      <c r="E59" s="7"/>
      <c r="F59" s="7"/>
      <c r="G59" s="8" t="s">
        <v>116</v>
      </c>
    </row>
  </sheetData>
  <sheetProtection sheet="1" objects="1" scenarios="1"/>
  <pageMargins left="0.7" right="0.7" top="0.75" bottom="0.75" header="0.3" footer="0.3"/>
  <pageSetup paperSize="9"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7AA3B-4EEA-A14F-8D96-233B523463C7}">
  <sheetPr codeName="Sheet5"/>
  <dimension ref="B4:N29"/>
  <sheetViews>
    <sheetView showGridLines="0" workbookViewId="0">
      <selection activeCell="B7" sqref="B7"/>
    </sheetView>
  </sheetViews>
  <sheetFormatPr defaultColWidth="11" defaultRowHeight="15.75"/>
  <cols>
    <col min="1" max="1" width="3" customWidth="1"/>
    <col min="2" max="2" width="28" customWidth="1"/>
    <col min="3" max="3" width="12.5" bestFit="1" customWidth="1"/>
    <col min="4" max="4" width="12" bestFit="1" customWidth="1"/>
    <col min="5" max="5" width="12.875" customWidth="1"/>
    <col min="6" max="6" width="15" bestFit="1" customWidth="1"/>
    <col min="7" max="7" width="14" customWidth="1"/>
    <col min="8" max="8" width="23.5" bestFit="1" customWidth="1"/>
    <col min="9" max="9" width="32.875" customWidth="1"/>
    <col min="10" max="11" width="26.5" customWidth="1"/>
    <col min="12" max="12" width="29" customWidth="1"/>
    <col min="13" max="13" width="35.375" customWidth="1"/>
    <col min="14" max="14" width="17" bestFit="1" customWidth="1"/>
  </cols>
  <sheetData>
    <row r="4" spans="2:14">
      <c r="B4" t="s">
        <v>142</v>
      </c>
    </row>
    <row r="6" spans="2:14">
      <c r="B6" s="40" t="str">
        <f>IF('HDB Recommender'!$H$7=0,"No Eligible flats this round!","")</f>
        <v/>
      </c>
    </row>
    <row r="7" spans="2:14">
      <c r="B7" s="12" t="s">
        <v>45</v>
      </c>
      <c r="C7" s="71" t="s">
        <v>46</v>
      </c>
      <c r="D7" s="71" t="s">
        <v>19</v>
      </c>
      <c r="E7" s="71" t="s">
        <v>47</v>
      </c>
      <c r="F7" s="71" t="s">
        <v>48</v>
      </c>
      <c r="G7" s="81" t="s">
        <v>49</v>
      </c>
      <c r="H7" s="82" t="s">
        <v>50</v>
      </c>
      <c r="I7" s="71" t="s">
        <v>51</v>
      </c>
      <c r="J7" s="71" t="s">
        <v>52</v>
      </c>
      <c r="K7" s="71" t="s">
        <v>53</v>
      </c>
      <c r="L7" s="71" t="s">
        <v>54</v>
      </c>
      <c r="M7" s="71" t="s">
        <v>55</v>
      </c>
      <c r="N7" s="71" t="s">
        <v>56</v>
      </c>
    </row>
    <row r="8" spans="2:14">
      <c r="B8" s="35">
        <v>1</v>
      </c>
      <c r="C8" s="35" t="str" cm="1">
        <f t="array" ref="C8:N8">IF(ISBLANK('HDB Recommender'!B11), "", 'HDB Recommender'!B11:M11)</f>
        <v>ANG MO KIO</v>
      </c>
      <c r="D8" s="35" t="str">
        <v>4 ROOM</v>
      </c>
      <c r="E8" s="35" t="str">
        <v>10 TO 12</v>
      </c>
      <c r="F8" s="35">
        <v>93</v>
      </c>
      <c r="G8" s="79">
        <v>55.9166666666666</v>
      </c>
      <c r="H8" s="80">
        <v>538000</v>
      </c>
      <c r="I8" s="35" t="str">
        <v>512 ANG MO KIO AVE 8</v>
      </c>
      <c r="J8" s="35">
        <v>6</v>
      </c>
      <c r="K8" s="35">
        <v>3</v>
      </c>
      <c r="L8" s="35">
        <v>5</v>
      </c>
      <c r="M8" s="79">
        <v>4.666666666666667</v>
      </c>
      <c r="N8" s="35" t="str">
        <v>Within 1km</v>
      </c>
    </row>
    <row r="9" spans="2:14">
      <c r="B9" s="35">
        <v>2</v>
      </c>
      <c r="C9" s="35" t="str" cm="1">
        <f t="array" ref="C9:N9">IF(ISBLANK('HDB Recommender'!B12), "", 'HDB Recommender'!B12:M12)</f>
        <v>ANG MO KIO</v>
      </c>
      <c r="D9" s="35" t="str">
        <v>4 ROOM</v>
      </c>
      <c r="E9" s="35" t="str">
        <v>10 TO 12</v>
      </c>
      <c r="F9" s="35">
        <v>98</v>
      </c>
      <c r="G9" s="79">
        <v>54</v>
      </c>
      <c r="H9" s="80">
        <v>553000</v>
      </c>
      <c r="I9" s="35" t="str">
        <v>324 ANG MO KIO AVE 3</v>
      </c>
      <c r="J9" s="35">
        <v>5</v>
      </c>
      <c r="K9" s="35">
        <v>3</v>
      </c>
      <c r="L9" s="35">
        <v>8</v>
      </c>
      <c r="M9" s="79">
        <v>5.333333333333333</v>
      </c>
      <c r="N9" s="35" t="str">
        <v>Within 1km</v>
      </c>
    </row>
    <row r="10" spans="2:14">
      <c r="B10" s="35">
        <v>3</v>
      </c>
      <c r="C10" s="35" t="str" cm="1">
        <f t="array" ref="C10:N10">IF(ISBLANK('HDB Recommender'!B13), "", 'HDB Recommender'!B13:M13)</f>
        <v>ANG MO KIO</v>
      </c>
      <c r="D10" s="35" t="str">
        <v>4 ROOM</v>
      </c>
      <c r="E10" s="35" t="str">
        <v>10 TO 12</v>
      </c>
      <c r="F10" s="35">
        <v>92</v>
      </c>
      <c r="G10" s="79">
        <v>55.4166666666666</v>
      </c>
      <c r="H10" s="80">
        <v>500000</v>
      </c>
      <c r="I10" s="35" t="str">
        <v>537 ANG MO KIO AVE 5</v>
      </c>
      <c r="J10" s="35">
        <v>10</v>
      </c>
      <c r="K10" s="35">
        <v>10</v>
      </c>
      <c r="L10" s="35">
        <v>5</v>
      </c>
      <c r="M10" s="79">
        <v>8.3333333333333339</v>
      </c>
      <c r="N10" s="35" t="str">
        <v>Within 1km</v>
      </c>
    </row>
    <row r="11" spans="2:14">
      <c r="B11" s="35">
        <v>4</v>
      </c>
      <c r="C11" s="35" t="str" cm="1">
        <f t="array" ref="C11:N11">IF(ISBLANK('HDB Recommender'!B14), "", 'HDB Recommender'!B14:M14)</f>
        <v>ANG MO KIO</v>
      </c>
      <c r="D11" s="35" t="str">
        <v>4 ROOM</v>
      </c>
      <c r="E11" s="35" t="str">
        <v>04 TO 06</v>
      </c>
      <c r="F11" s="35">
        <v>91</v>
      </c>
      <c r="G11" s="79">
        <v>55.75</v>
      </c>
      <c r="H11" s="80">
        <v>518000</v>
      </c>
      <c r="I11" s="35" t="str">
        <v>606 ANG MO KIO AVE 5</v>
      </c>
      <c r="J11" s="35">
        <v>9</v>
      </c>
      <c r="K11" s="35">
        <v>16</v>
      </c>
      <c r="L11" s="35">
        <v>5</v>
      </c>
      <c r="M11" s="79">
        <v>10</v>
      </c>
      <c r="N11" s="35" t="str">
        <v>Within 1km</v>
      </c>
    </row>
    <row r="12" spans="2:14">
      <c r="B12" s="35">
        <v>5</v>
      </c>
      <c r="C12" s="35" t="str" cm="1">
        <f t="array" ref="C12:N12">IF(ISBLANK('HDB Recommender'!B15), "", 'HDB Recommender'!B15:M15)</f>
        <v>ANG MO KIO</v>
      </c>
      <c r="D12" s="35" t="str">
        <v>4 ROOM</v>
      </c>
      <c r="E12" s="35" t="str">
        <v>07 TO 09</v>
      </c>
      <c r="F12" s="35">
        <v>91</v>
      </c>
      <c r="G12" s="79">
        <v>55.9166666666666</v>
      </c>
      <c r="H12" s="80">
        <v>490000</v>
      </c>
      <c r="I12" s="35" t="str">
        <v>612 ANG MO KIO AVE 4</v>
      </c>
      <c r="J12" s="35">
        <v>11</v>
      </c>
      <c r="K12" s="35">
        <v>14</v>
      </c>
      <c r="L12" s="35">
        <v>6</v>
      </c>
      <c r="M12" s="79">
        <v>10.333333333333334</v>
      </c>
      <c r="N12" s="35" t="str">
        <v>Within 1km</v>
      </c>
    </row>
    <row r="13" spans="2:14">
      <c r="C13" s="16" t="str" cm="1">
        <f t="array" ref="C13">IF(ISBLANK('HDB Recommender'!D8), "", 'HDB Recommender'!D8:O8)</f>
        <v/>
      </c>
      <c r="D13" s="16"/>
      <c r="E13" s="16"/>
      <c r="F13" s="16"/>
      <c r="G13" s="16"/>
      <c r="H13" s="16"/>
      <c r="I13" s="16"/>
      <c r="J13" s="16"/>
      <c r="K13" s="16"/>
      <c r="L13" s="16"/>
      <c r="M13" s="16"/>
      <c r="N13" s="16"/>
    </row>
    <row r="14" spans="2:14">
      <c r="B14" s="40" t="s">
        <v>143</v>
      </c>
    </row>
    <row r="15" spans="2:14">
      <c r="B15" t="s">
        <v>144</v>
      </c>
    </row>
    <row r="16" spans="2:14">
      <c r="B16" t="s">
        <v>57</v>
      </c>
      <c r="D16" s="77" t="s">
        <v>58</v>
      </c>
      <c r="E16" s="76">
        <v>3</v>
      </c>
    </row>
    <row r="20" spans="2:9">
      <c r="B20" s="18" t="s">
        <v>59</v>
      </c>
      <c r="C20" s="72" t="e">
        <f>IF('User Interface'!$C$5="Single",IF(AND('User Interface'!$C$6&lt;='Housing Grants Criterias'!$D$32,'User Interface'!$C$10&gt;='Housing Grants Criterias'!$D$34,ISNUMBER(MATCH(VLOOKUP($E$16,$B$8:$B$12,3,FALSE),'Housing Grants Criterias'!$B$23:$B$26,0)),VLOOKUP($E$16,$B$8:$B$12,6,FALSE)&gt;'Housing Grants Criterias'!$D$33),1,0),IF(AND('User Interface'!$C$6&lt;='Housing Grants Criterias'!$E$32,'User Interface'!$C$10&gt;='Housing Grants Criterias'!$E$34,VLOOKUP($E$16,$B$8:$B$12,6,FALSE)&gt;='Housing Grants Criterias'!$E$33,ISNUMBER(MATCH(VLOOKUP($E$16,$B$8:$B$12,3,FALSE),'Housing Grants Criterias'!$B$23:$B$26,0))),1,0))</f>
        <v>#REF!</v>
      </c>
    </row>
    <row r="21" spans="2:9">
      <c r="B21" s="18" t="s">
        <v>60</v>
      </c>
      <c r="C21" t="e">
        <f>IF('User Interface'!C5="Single",IF(AND('User Interface'!$C$6&lt;='Housing Grants Criterias'!$I$32,'User Interface'!$C$10&gt;='Housing Grants Criterias'!$I$34,VLOOKUP($E$16,$B$8:$B$12,6,FALSE)&gt;='Housing Grants Criterias'!$I$34),1,0),IF(AND('User Interface'!$C$6&lt;='Housing Grants Criterias'!$J$32,VLOOKUP($E$16,$B$8:$B$12,6,FALSE)&gt;='Housing Grants Criterias'!$I$34),1,0))</f>
        <v>#REF!</v>
      </c>
    </row>
    <row r="22" spans="2:9">
      <c r="B22" s="18" t="s">
        <v>61</v>
      </c>
    </row>
    <row r="23" spans="2:9">
      <c r="B23" s="18"/>
    </row>
    <row r="24" spans="2:9">
      <c r="B24" s="18" t="s">
        <v>62</v>
      </c>
      <c r="C24" s="54" t="e">
        <f>IF($C$20=1,VLOOKUP(VLOOKUP($E$16,$B$8:$B$12,3,FALSE),'Housing Grants Criterias'!$B$23:$D$26,Output!$D$24,FALSE))</f>
        <v>#REF!</v>
      </c>
      <c r="D24" s="73">
        <f>IF('User Interface'!C5="Single",2,3)</f>
        <v>2</v>
      </c>
      <c r="F24" s="73"/>
    </row>
    <row r="25" spans="2:9">
      <c r="B25" s="18" t="s">
        <v>63</v>
      </c>
      <c r="C25" s="54" t="e">
        <f>IF('User Interface'!C5="Single",IF($C$21=1,_xlfn.XLOOKUP('User Interface'!$C$6,'Housing Grants Criterias'!$B$4:$B$19,'Housing Grants Criterias'!$C$4:$C$19,'Housing Grants Criterias'!$C$4,-1,1)) *Output!$D$25,IF($C$21=1,_xlfn.XLOOKUP('User Interface'!$C$6,'Housing Grants Criterias'!$E$4:$E$19,'Housing Grants Criterias'!$F$4:$F$19,'Housing Grants Criterias'!$F$4,-1,1)) *Output!$D$25)</f>
        <v>#REF!</v>
      </c>
      <c r="D25" s="74" t="e">
        <f>MIN(VLOOKUP($E$16,$B$8:$B$12,6,FALSE)/(95-'User Interface'!$C$10),1)</f>
        <v>#REF!</v>
      </c>
    </row>
    <row r="26" spans="2:9">
      <c r="B26" s="18" t="s">
        <v>64</v>
      </c>
      <c r="C26" s="54"/>
    </row>
    <row r="27" spans="2:9">
      <c r="B27" s="18"/>
      <c r="I27" s="59"/>
    </row>
    <row r="28" spans="2:9">
      <c r="B28" s="18" t="s">
        <v>65</v>
      </c>
      <c r="C28" s="54" t="e">
        <f>SUM(C24:C26)</f>
        <v>#REF!</v>
      </c>
    </row>
    <row r="29" spans="2:9">
      <c r="B29" s="18" t="s">
        <v>66</v>
      </c>
      <c r="C29" s="75" t="e">
        <f>VLOOKUP($E$16,$B$8:$B$12,7,FALSE) - C28</f>
        <v>#REF!</v>
      </c>
    </row>
  </sheetData>
  <dataValidations count="1">
    <dataValidation type="list" allowBlank="1" showInputMessage="1" showErrorMessage="1" sqref="E16" xr:uid="{C6839A84-10DF-CE48-83EB-F63FDD9824AD}">
      <formula1>$B$8:$B$12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D10B0-0D08-44BA-A7B0-8BD4CFF93B14}">
  <sheetPr codeName="Sheet4"/>
  <dimension ref="B1:J75"/>
  <sheetViews>
    <sheetView showGridLines="0" topLeftCell="A6" zoomScale="111" zoomScaleNormal="160" workbookViewId="0">
      <selection activeCell="D9" sqref="D9"/>
    </sheetView>
  </sheetViews>
  <sheetFormatPr defaultColWidth="8.875" defaultRowHeight="15"/>
  <cols>
    <col min="1" max="1" width="2.625" style="95" customWidth="1"/>
    <col min="2" max="2" width="24.5" style="95" customWidth="1"/>
    <col min="3" max="3" width="33.625" style="95" bestFit="1" customWidth="1"/>
    <col min="4" max="5" width="40.125" style="95" bestFit="1" customWidth="1"/>
    <col min="6" max="6" width="30.625" style="95" customWidth="1"/>
    <col min="7" max="7" width="31.625" style="95" customWidth="1"/>
    <col min="8" max="16384" width="8.875" style="95"/>
  </cols>
  <sheetData>
    <row r="1" spans="2:10" ht="23.25">
      <c r="B1" s="225" t="s">
        <v>1</v>
      </c>
    </row>
    <row r="2" spans="2:10" ht="15.75">
      <c r="B2" s="170" t="s">
        <v>145</v>
      </c>
      <c r="J2" s="134"/>
    </row>
    <row r="3" spans="2:10">
      <c r="B3" s="111" t="s">
        <v>3</v>
      </c>
      <c r="J3" s="134"/>
    </row>
    <row r="4" spans="2:10">
      <c r="B4" s="111" t="s">
        <v>146</v>
      </c>
    </row>
    <row r="7" spans="2:10" ht="21">
      <c r="B7" s="224" t="s">
        <v>4</v>
      </c>
    </row>
    <row r="8" spans="2:10" ht="31.5">
      <c r="B8" s="172" t="s">
        <v>147</v>
      </c>
      <c r="C8" s="173" t="s">
        <v>148</v>
      </c>
    </row>
    <row r="9" spans="2:10">
      <c r="B9" s="158">
        <v>0</v>
      </c>
      <c r="C9" s="226" t="s">
        <v>11</v>
      </c>
    </row>
    <row r="10" spans="2:10">
      <c r="B10" s="158">
        <v>1</v>
      </c>
      <c r="C10" s="226" t="s">
        <v>149</v>
      </c>
    </row>
    <row r="11" spans="2:10">
      <c r="B11" s="111" t="s">
        <v>150</v>
      </c>
    </row>
    <row r="14" spans="2:10" ht="21">
      <c r="B14" s="224" t="s">
        <v>151</v>
      </c>
    </row>
    <row r="15" spans="2:10" ht="15.75">
      <c r="B15" s="217" t="s">
        <v>152</v>
      </c>
      <c r="C15" s="170" t="s">
        <v>153</v>
      </c>
      <c r="D15" s="171" t="s">
        <v>154</v>
      </c>
      <c r="E15" s="218" t="s">
        <v>155</v>
      </c>
      <c r="F15" s="218" t="s">
        <v>156</v>
      </c>
      <c r="G15" s="217" t="s">
        <v>157</v>
      </c>
    </row>
    <row r="16" spans="2:10" ht="15.75">
      <c r="B16" s="20" t="str" cm="1">
        <f t="array" ref="B16:B41">_xlfn._xlws.SORT(_xlfn.UNIQUE('Resale flat dataset'!C3:C322,FALSE,FALSE),,1)</f>
        <v>ANG MO KIO</v>
      </c>
      <c r="C16" s="158" t="str" cm="1">
        <f t="array" ref="C16:C18">IF(ISBLANK('User Interface'!$C$21),_xlfn.ANCHORARRAY('Data Validation Tables UI'!F16),_xlfn._xlws.SORT(_xlfn.UNIQUE(_xlfn._xlws.FILTER('Resale flat dataset (DV)'!$D$3:$D$321,'Resale flat dataset (DV)'!$C$3:$C$321='User Interface'!C21,)),,1))</f>
        <v>3 ROOM</v>
      </c>
      <c r="D16" s="158" t="str" cm="1">
        <f t="array" ref="D16:D18">_xlfn.IFS(AND(ISBLANK('User Interface'!$C$21),ISBLANK('User Interface'!$C$22)),_xlfn.ANCHORARRAY('Data Validation Tables UI'!G16),ISBLANK('User Interface'!$C$21),_xlfn._xlws.SORT(_xlfn.UNIQUE(_xlfn._xlws.FILTER('Resale flat dataset (DV)'!$G$3:$G$322,'Resale flat dataset (DV)'!$D$3:$D$322='User Interface'!$C$22),FALSE,FALSE),,1),ISBLANK('User Interface'!$C$22),_xlfn._xlws.SORT(_xlfn.UNIQUE(_xlfn._xlws.FILTER('Resale flat dataset (DV)'!$G$3:$G$322,'Resale flat dataset (DV)'!$C$3:$C$322='User Interface'!$C$21),FALSE,FALSE),,1),TRUE,_xlfn._xlws.SORT(_xlfn.UNIQUE(_xlfn._xlws.FILTER('Resale flat dataset (DV)'!$G$3:$G$322,('Resale flat dataset (DV)'!$C$3:$C$322='User Interface'!$C$21)*('Resale flat dataset (DV)'!$D$3:$D$322='User Interface'!$C$22)),FALSE,FALSE),,1))</f>
        <v>04 TO 06</v>
      </c>
      <c r="E16" s="227" t="s">
        <v>28</v>
      </c>
      <c r="F16" s="227" t="str" cm="1">
        <f t="array" ref="F16:F20">_xlfn._xlws.SORT(_xlfn.UNIQUE('Resale flat dataset'!D3:D322,FALSE,FALSE),,1)</f>
        <v>2 ROOM</v>
      </c>
      <c r="G16" s="20" t="str" cm="1">
        <f t="array" ref="G16:G26">_xlfn._xlws.SORT(_xlfn.UNIQUE('Resale flat dataset'!G3:G322,FALSE,FALSE),,1)</f>
        <v>01 TO 03</v>
      </c>
    </row>
    <row r="17" spans="2:7" ht="15.75">
      <c r="B17" s="20" t="str">
        <v>BEDOK</v>
      </c>
      <c r="C17" s="159" t="str">
        <v>4 ROOM</v>
      </c>
      <c r="D17" s="158" t="str">
        <v>07 TO 09</v>
      </c>
      <c r="E17" s="227" t="s">
        <v>30</v>
      </c>
      <c r="F17" s="227" t="str">
        <v>3 ROOM</v>
      </c>
      <c r="G17" s="20" t="str">
        <v>04 TO 06</v>
      </c>
    </row>
    <row r="18" spans="2:7" ht="15.75">
      <c r="B18" s="20" t="str">
        <v>BISHAN</v>
      </c>
      <c r="C18" s="158" t="str">
        <v>5 ROOM</v>
      </c>
      <c r="D18" s="158" t="str">
        <v>10 TO 12</v>
      </c>
      <c r="E18" s="227" t="s">
        <v>32</v>
      </c>
      <c r="F18" s="227" t="str">
        <v>4 ROOM</v>
      </c>
      <c r="G18" s="20" t="str">
        <v>07 TO 09</v>
      </c>
    </row>
    <row r="19" spans="2:7" ht="15.75">
      <c r="B19" s="20" t="str">
        <v>BUKIT BATOK</v>
      </c>
      <c r="C19" s="158"/>
      <c r="D19" s="111"/>
      <c r="E19" s="228" t="s">
        <v>158</v>
      </c>
      <c r="F19" s="227" t="str">
        <v>5 ROOM</v>
      </c>
      <c r="G19" s="20" t="str">
        <v>10 TO 12</v>
      </c>
    </row>
    <row r="20" spans="2:7" ht="15.75">
      <c r="B20" s="20" t="str">
        <v>BUKIT MERAH</v>
      </c>
      <c r="C20" s="158"/>
      <c r="D20" s="111"/>
      <c r="E20" s="97"/>
      <c r="F20" s="227" t="str">
        <v>EXECUTIVE</v>
      </c>
      <c r="G20" s="20" t="str">
        <v>13 TO 15</v>
      </c>
    </row>
    <row r="21" spans="2:7" ht="15.75">
      <c r="B21" s="20" t="str">
        <v>BUKIT PANJANG</v>
      </c>
      <c r="C21" s="94"/>
      <c r="D21" s="111"/>
      <c r="E21" s="97"/>
      <c r="F21" s="13"/>
      <c r="G21" s="20" t="str">
        <v>16 TO 18</v>
      </c>
    </row>
    <row r="22" spans="2:7" ht="15.75">
      <c r="B22" s="20" t="str">
        <v>BUKIT TIMAH</v>
      </c>
      <c r="C22" s="96"/>
      <c r="D22" s="111"/>
      <c r="E22" s="97"/>
      <c r="F22" s="13"/>
      <c r="G22" s="20" t="str">
        <v>19 TO 21</v>
      </c>
    </row>
    <row r="23" spans="2:7" ht="15.75">
      <c r="B23" s="20" t="str">
        <v>CHOA CHU KANG</v>
      </c>
      <c r="D23" s="111"/>
      <c r="E23" s="97"/>
      <c r="F23" s="13"/>
      <c r="G23" s="20" t="str">
        <v>22 TO 24</v>
      </c>
    </row>
    <row r="24" spans="2:7" ht="15.75">
      <c r="B24" s="20" t="str">
        <v>CLEMENTI</v>
      </c>
      <c r="D24" s="111"/>
      <c r="E24" s="97"/>
      <c r="F24" s="13"/>
      <c r="G24" s="20" t="str">
        <v>25 TO 27</v>
      </c>
    </row>
    <row r="25" spans="2:7" ht="15.75">
      <c r="B25" s="20" t="str">
        <v>GEYLANG</v>
      </c>
      <c r="D25" s="111"/>
      <c r="E25" s="97"/>
      <c r="F25" s="13"/>
      <c r="G25" s="20" t="str">
        <v>28 TO 30</v>
      </c>
    </row>
    <row r="26" spans="2:7" ht="15.75">
      <c r="B26" s="20" t="str">
        <v>HOUGANG</v>
      </c>
      <c r="D26" s="111"/>
      <c r="E26" s="97"/>
      <c r="F26" s="13"/>
      <c r="G26" s="20" t="str">
        <v>34 TO 36</v>
      </c>
    </row>
    <row r="27" spans="2:7" ht="15.75">
      <c r="B27" s="20" t="str">
        <v>JURONG EAST</v>
      </c>
    </row>
    <row r="28" spans="2:7" ht="15.75">
      <c r="B28" s="20" t="str">
        <v>JURONG WEST</v>
      </c>
    </row>
    <row r="29" spans="2:7" ht="15.75">
      <c r="B29" s="20" t="str">
        <v>KALLANG/WHAMPOA</v>
      </c>
    </row>
    <row r="30" spans="2:7" ht="15.75">
      <c r="B30" s="20" t="str">
        <v>MARINE PARADE</v>
      </c>
    </row>
    <row r="31" spans="2:7" ht="15.75">
      <c r="B31" s="20" t="str">
        <v>PASIR RIS</v>
      </c>
    </row>
    <row r="32" spans="2:7" ht="15.75">
      <c r="B32" s="20" t="str">
        <v>PUNGGOL</v>
      </c>
    </row>
    <row r="33" spans="2:9" ht="15.75">
      <c r="B33" s="20" t="str">
        <v>QUEENSTOWN</v>
      </c>
    </row>
    <row r="34" spans="2:9" ht="15.75">
      <c r="B34" s="20" t="str">
        <v>SEMBAWANG</v>
      </c>
    </row>
    <row r="35" spans="2:9" ht="15.75">
      <c r="B35" s="20" t="str">
        <v>SENGKANG</v>
      </c>
    </row>
    <row r="36" spans="2:9" ht="15.75">
      <c r="B36" s="20" t="str">
        <v>SERANGOON</v>
      </c>
    </row>
    <row r="37" spans="2:9" ht="15.75">
      <c r="B37" s="20" t="str">
        <v>TAMPINES</v>
      </c>
    </row>
    <row r="38" spans="2:9" ht="15.75">
      <c r="B38" s="20" t="str">
        <v>TANJONG PAGAR</v>
      </c>
    </row>
    <row r="39" spans="2:9" ht="15.75">
      <c r="B39" s="20" t="str">
        <v>TOA PAYOH</v>
      </c>
    </row>
    <row r="40" spans="2:9" ht="15.75">
      <c r="B40" s="20" t="str">
        <v>WOODLANDS</v>
      </c>
    </row>
    <row r="41" spans="2:9" ht="15.75">
      <c r="B41" s="20" t="str">
        <v>YISHUN</v>
      </c>
    </row>
    <row r="43" spans="2:9" ht="15.75">
      <c r="B43" s="220" t="s">
        <v>159</v>
      </c>
      <c r="C43" s="221" t="s">
        <v>160</v>
      </c>
      <c r="D43" s="222" t="s">
        <v>161</v>
      </c>
      <c r="E43" s="219" t="s">
        <v>162</v>
      </c>
      <c r="F43"/>
      <c r="G43"/>
      <c r="H43"/>
      <c r="I43"/>
    </row>
    <row r="44" spans="2:9" ht="15.75">
      <c r="B44" s="227" t="s">
        <v>3</v>
      </c>
      <c r="C44" s="20" t="s">
        <v>11</v>
      </c>
      <c r="D44" s="226" t="s">
        <v>11</v>
      </c>
      <c r="E44" s="216">
        <f>'User Interface'!C20*0.2</f>
        <v>140000</v>
      </c>
      <c r="F44"/>
      <c r="G44"/>
      <c r="H44"/>
      <c r="I44"/>
    </row>
    <row r="45" spans="2:9" ht="15.75">
      <c r="B45" s="227" t="s">
        <v>146</v>
      </c>
      <c r="C45" s="20" t="s">
        <v>149</v>
      </c>
      <c r="D45" s="226" t="s">
        <v>149</v>
      </c>
      <c r="E45" s="13"/>
      <c r="F45"/>
      <c r="G45"/>
      <c r="H45"/>
      <c r="I45"/>
    </row>
    <row r="46" spans="2:9" ht="15.75">
      <c r="B46" s="13"/>
      <c r="C46" s="20" t="s">
        <v>163</v>
      </c>
      <c r="D46" s="226" t="s">
        <v>35</v>
      </c>
      <c r="E46" s="13"/>
      <c r="F46"/>
      <c r="G46"/>
      <c r="H46"/>
      <c r="I46"/>
    </row>
    <row r="47" spans="2:9" ht="15.75">
      <c r="B47"/>
      <c r="C47"/>
      <c r="D47"/>
      <c r="E47"/>
      <c r="F47"/>
      <c r="G47"/>
      <c r="H47"/>
      <c r="I47"/>
    </row>
    <row r="48" spans="2:9" ht="15.75">
      <c r="E48"/>
      <c r="F48"/>
      <c r="G48"/>
      <c r="I48"/>
    </row>
    <row r="49" spans="2:9" ht="15.75">
      <c r="B49" s="223" t="s">
        <v>164</v>
      </c>
      <c r="E49"/>
      <c r="F49"/>
      <c r="G49"/>
      <c r="I49"/>
    </row>
    <row r="50" spans="2:9" ht="15.75">
      <c r="B50" s="100" cm="1">
        <f t="array" ref="B50:B54">_xlfn._xlws.FILTER('User Interface'!$B$64:$B$68,'User Interface'!B64:B68&lt;&gt;"")</f>
        <v>1</v>
      </c>
      <c r="E50"/>
      <c r="F50"/>
      <c r="G50"/>
      <c r="I50"/>
    </row>
    <row r="51" spans="2:9" ht="15.75">
      <c r="B51" s="100">
        <v>2</v>
      </c>
      <c r="E51"/>
      <c r="F51"/>
      <c r="G51"/>
      <c r="I51"/>
    </row>
    <row r="52" spans="2:9" ht="15.75">
      <c r="B52" s="95">
        <v>3</v>
      </c>
      <c r="E52"/>
      <c r="F52"/>
      <c r="G52"/>
      <c r="H52"/>
      <c r="I52"/>
    </row>
    <row r="53" spans="2:9" ht="15.75">
      <c r="B53" s="95">
        <v>4</v>
      </c>
      <c r="E53"/>
      <c r="F53"/>
      <c r="G53"/>
      <c r="H53"/>
      <c r="I53"/>
    </row>
    <row r="54" spans="2:9" ht="15.75">
      <c r="B54" s="95">
        <v>5</v>
      </c>
      <c r="E54"/>
      <c r="F54"/>
      <c r="G54"/>
      <c r="H54"/>
      <c r="I54"/>
    </row>
    <row r="55" spans="2:9" ht="15.75">
      <c r="E55"/>
      <c r="F55"/>
      <c r="G55"/>
      <c r="H55"/>
      <c r="I55"/>
    </row>
    <row r="56" spans="2:9" ht="15.75">
      <c r="F56"/>
      <c r="G56"/>
      <c r="H56"/>
      <c r="I56"/>
    </row>
    <row r="57" spans="2:9" ht="15.75">
      <c r="F57"/>
      <c r="G57"/>
      <c r="H57"/>
      <c r="I57"/>
    </row>
    <row r="58" spans="2:9" ht="15.75">
      <c r="F58"/>
      <c r="G58"/>
      <c r="H58"/>
      <c r="I58"/>
    </row>
    <row r="59" spans="2:9" ht="15.75">
      <c r="F59"/>
      <c r="G59"/>
      <c r="H59"/>
      <c r="I59"/>
    </row>
    <row r="60" spans="2:9" ht="15.75">
      <c r="C60"/>
      <c r="D60"/>
      <c r="F60"/>
      <c r="G60"/>
      <c r="H60"/>
      <c r="I60"/>
    </row>
    <row r="61" spans="2:9" ht="15.75">
      <c r="C61"/>
      <c r="F61"/>
      <c r="G61"/>
      <c r="H61"/>
      <c r="I61"/>
    </row>
    <row r="62" spans="2:9" ht="15.75">
      <c r="G62"/>
      <c r="H62"/>
      <c r="I62"/>
    </row>
    <row r="63" spans="2:9" ht="15.75">
      <c r="G63"/>
      <c r="H63"/>
      <c r="I63"/>
    </row>
    <row r="64" spans="2:9" ht="15.75">
      <c r="G64"/>
      <c r="H64"/>
      <c r="I64"/>
    </row>
    <row r="65" spans="7:9" ht="15.75">
      <c r="G65"/>
      <c r="H65"/>
      <c r="I65"/>
    </row>
    <row r="66" spans="7:9" ht="15.75">
      <c r="G66"/>
      <c r="H66"/>
      <c r="I66"/>
    </row>
    <row r="67" spans="7:9" ht="15.75">
      <c r="G67"/>
      <c r="H67"/>
      <c r="I67"/>
    </row>
    <row r="68" spans="7:9" ht="15.75">
      <c r="G68"/>
      <c r="H68"/>
      <c r="I68"/>
    </row>
    <row r="69" spans="7:9" ht="15.75">
      <c r="G69"/>
      <c r="H69"/>
      <c r="I69"/>
    </row>
    <row r="70" spans="7:9" ht="15.75">
      <c r="G70"/>
      <c r="H70"/>
      <c r="I70"/>
    </row>
    <row r="71" spans="7:9" ht="15.75">
      <c r="G71"/>
      <c r="H71"/>
      <c r="I71"/>
    </row>
    <row r="72" spans="7:9" ht="15.75">
      <c r="G72"/>
      <c r="H72"/>
      <c r="I72"/>
    </row>
    <row r="73" spans="7:9" ht="15.75">
      <c r="G73"/>
      <c r="H73"/>
      <c r="I73"/>
    </row>
    <row r="74" spans="7:9" ht="15.75">
      <c r="G74"/>
      <c r="H74"/>
      <c r="I74"/>
    </row>
    <row r="75" spans="7:9" ht="15.75">
      <c r="G75"/>
      <c r="H75"/>
      <c r="I75"/>
    </row>
  </sheetData>
  <sheetProtection sheet="1" objects="1" scenarios="1"/>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96482-4046-8B40-81FD-D5A9195387C3}">
  <sheetPr codeName="Sheet3"/>
  <dimension ref="B1:V331"/>
  <sheetViews>
    <sheetView showGridLines="0" topLeftCell="K1" zoomScale="107" workbookViewId="0">
      <selection activeCell="N9" sqref="N9"/>
    </sheetView>
  </sheetViews>
  <sheetFormatPr defaultColWidth="11" defaultRowHeight="15.75"/>
  <cols>
    <col min="1" max="1" width="2.5" customWidth="1"/>
    <col min="2" max="2" width="14.5" customWidth="1"/>
    <col min="3" max="3" width="13.375" customWidth="1"/>
    <col min="4" max="4" width="12" customWidth="1"/>
    <col min="5" max="5" width="14.875" style="61" customWidth="1"/>
    <col min="6" max="6" width="19.375" style="61" customWidth="1"/>
    <col min="7" max="7" width="14.125" style="88" customWidth="1"/>
    <col min="8" max="8" width="13.5" customWidth="1"/>
    <col min="9" max="9" width="10.875" customWidth="1"/>
    <col min="10" max="10" width="26.5" customWidth="1"/>
    <col min="11" max="11" width="27" customWidth="1"/>
    <col min="12" max="12" width="34" style="61" customWidth="1"/>
    <col min="13" max="13" width="25.5" customWidth="1"/>
    <col min="14" max="14" width="15" customWidth="1"/>
    <col min="15" max="15" width="5" customWidth="1"/>
    <col min="16" max="16" width="14.5" customWidth="1"/>
    <col min="17" max="17" width="17" customWidth="1"/>
  </cols>
  <sheetData>
    <row r="1" spans="2:22">
      <c r="E1"/>
      <c r="F1"/>
      <c r="G1" s="69" t="s">
        <v>165</v>
      </c>
      <c r="L1"/>
      <c r="N1" s="18"/>
    </row>
    <row r="2" spans="2:22">
      <c r="B2" s="18" t="s">
        <v>166</v>
      </c>
      <c r="E2"/>
      <c r="F2"/>
      <c r="G2" s="13"/>
      <c r="J2" s="66" t="s">
        <v>167</v>
      </c>
      <c r="K2" s="13"/>
      <c r="L2" s="13"/>
      <c r="M2" s="13"/>
    </row>
    <row r="3" spans="2:22">
      <c r="B3" s="19" t="s">
        <v>168</v>
      </c>
      <c r="C3" s="19" t="s">
        <v>169</v>
      </c>
      <c r="D3" s="19" t="s">
        <v>19</v>
      </c>
      <c r="E3" s="19" t="s">
        <v>170</v>
      </c>
      <c r="F3" s="188" t="s">
        <v>171</v>
      </c>
      <c r="G3" s="189" t="s">
        <v>172</v>
      </c>
      <c r="H3" s="19" t="s">
        <v>173</v>
      </c>
      <c r="J3" s="19" t="s">
        <v>174</v>
      </c>
      <c r="K3" s="65" t="s">
        <v>175</v>
      </c>
      <c r="L3" s="65" t="s">
        <v>176</v>
      </c>
      <c r="M3" s="65" t="s">
        <v>177</v>
      </c>
    </row>
    <row r="4" spans="2:22">
      <c r="B4" s="58">
        <f>IF(ISBLANK('User Interface'!C20),"",'User Interface'!C20)</f>
        <v>700000</v>
      </c>
      <c r="C4" s="20" t="str">
        <f>IF(OR(ISBLANK('User Interface'!C21), 'User Interface'!C21="No preference"),"",'User Interface'!C21)</f>
        <v>ANG MO KIO</v>
      </c>
      <c r="D4" s="35" t="str">
        <f>IF(OR(ISBLANK('User Interface'!C22), 'User Interface'!C22="No preference"),"",'User Interface'!C22)</f>
        <v>4 ROOM</v>
      </c>
      <c r="E4" s="35" t="str">
        <f>IF(OR(ISBLANK('User Interface'!C23), 'User Interface'!C23="No preference"),"",'User Interface'!C23)</f>
        <v/>
      </c>
      <c r="F4" s="39" t="str">
        <f>IF(OR(ISBLANK('User Interface'!C24), 'User Interface'!C24="No preference"),"",'User Interface'!C24)</f>
        <v/>
      </c>
      <c r="G4" s="20" t="str">
        <f>IF(OR(ISBLANK('User Interface'!C25), 'User Interface'!C25="No preference"),"",'User Interface'!C25)</f>
        <v/>
      </c>
      <c r="H4" s="20" t="str">
        <f>IF(OR(ISBLANK('User Interface'!C26), 'User Interface'!C26="No preference"),"",'User Interface'!C26)</f>
        <v/>
      </c>
      <c r="J4" s="19">
        <v>1</v>
      </c>
      <c r="K4" s="20" t="str">
        <f>IF('User Interface'!C30="Shorter Avg Walking Time to nearest amenities","Avg Walking Time to nearest amenities",IF('User Interface'!C30="Longer House Remaining Lease","Remaining Years",IF('User Interface'!C30="Larger Floor Area","Floor Area (sqm)","Resale Price")))</f>
        <v>Avg Walking Time to nearest amenities</v>
      </c>
      <c r="L4" s="136">
        <v>0.5</v>
      </c>
      <c r="M4" s="39">
        <f>IF(ISBLANK($B$11),"", MAX(INDEX($B$11:$M$331,,MATCH(K4,$B$10:$N$10,0))))</f>
        <v>10.333333333333334</v>
      </c>
    </row>
    <row r="5" spans="2:22">
      <c r="E5"/>
      <c r="F5"/>
      <c r="G5" s="16"/>
      <c r="J5" s="19">
        <v>2</v>
      </c>
      <c r="K5" s="20" t="str">
        <f>IF('User Interface'!C31="Shorter Avg Walking Time to nearest amenities","Avg Walking Time to nearest amenities",IF('User Interface'!C31="Longer House Remaining Lease","Remaining Years",IF('User Interface'!C31="Larger Floor Area","Floor Area (sqm)","Resale Price")))</f>
        <v>Remaining Years</v>
      </c>
      <c r="L5" s="136">
        <v>0.35</v>
      </c>
      <c r="M5" s="39">
        <f>IF(ISBLANK($B$11),"", MAX(INDEX($B$11:$M$331,,MATCH(K5,$B$10:$N$10,0))))</f>
        <v>55.9166666666666</v>
      </c>
    </row>
    <row r="6" spans="2:22">
      <c r="E6"/>
      <c r="F6" s="15"/>
      <c r="G6" s="16"/>
      <c r="H6" s="13" t="s">
        <v>178</v>
      </c>
      <c r="J6" s="19">
        <v>3</v>
      </c>
      <c r="K6" s="20" t="str">
        <f>IF('User Interface'!C32="Shorter Avg Walking Time to nearest amenities","Avg Walking Time to nearest amenities",IF('User Interface'!C32="Longer House Remaining Lease","Remaining Years",IF('User Interface'!C32="Larger Floor Area","Floor Area (sqm)","Resale Price")))</f>
        <v>Floor Area (sqm)</v>
      </c>
      <c r="L6" s="136">
        <v>0.15</v>
      </c>
      <c r="M6" s="39">
        <f>IF(ISBLANK($B$11),"", MAX(INDEX($B$11:$M$331,,MATCH(K6,$B$10:$N$10,0))))</f>
        <v>98</v>
      </c>
      <c r="P6" s="40"/>
    </row>
    <row r="7" spans="2:22">
      <c r="E7"/>
      <c r="F7" s="15"/>
      <c r="G7" s="16"/>
      <c r="H7" s="35">
        <f>SUBTOTAL(3,'Resale flat dataset'!$C$1:$C$274)-2</f>
        <v>5</v>
      </c>
      <c r="J7" s="13"/>
      <c r="K7" s="63"/>
      <c r="L7" s="63"/>
      <c r="M7" s="63"/>
      <c r="P7" s="18" t="s">
        <v>179</v>
      </c>
    </row>
    <row r="8" spans="2:22">
      <c r="B8" s="18" t="s">
        <v>180</v>
      </c>
      <c r="E8"/>
      <c r="F8" s="15"/>
      <c r="G8"/>
      <c r="I8" s="62"/>
      <c r="J8" s="13"/>
      <c r="K8" s="64"/>
      <c r="L8" s="62"/>
      <c r="M8" s="60"/>
    </row>
    <row r="9" spans="2:22">
      <c r="B9" s="59">
        <v>0</v>
      </c>
      <c r="E9"/>
      <c r="F9" s="13"/>
      <c r="G9"/>
      <c r="L9"/>
      <c r="M9" s="59">
        <v>0</v>
      </c>
      <c r="P9" s="29" t="s">
        <v>181</v>
      </c>
      <c r="Q9" s="29" t="s">
        <v>182</v>
      </c>
      <c r="V9" s="59">
        <v>0</v>
      </c>
    </row>
    <row r="10" spans="2:22">
      <c r="B10" s="21" t="s">
        <v>46</v>
      </c>
      <c r="C10" s="21" t="s">
        <v>19</v>
      </c>
      <c r="D10" s="21" t="s">
        <v>47</v>
      </c>
      <c r="E10" s="21" t="s">
        <v>48</v>
      </c>
      <c r="F10" s="31" t="s">
        <v>49</v>
      </c>
      <c r="G10" s="32" t="s">
        <v>50</v>
      </c>
      <c r="H10" s="21" t="s">
        <v>51</v>
      </c>
      <c r="I10" s="21" t="s">
        <v>52</v>
      </c>
      <c r="J10" s="21" t="s">
        <v>53</v>
      </c>
      <c r="K10" s="21" t="s">
        <v>54</v>
      </c>
      <c r="L10" s="21" t="s">
        <v>55</v>
      </c>
      <c r="M10" s="21" t="s">
        <v>56</v>
      </c>
      <c r="N10" s="181" t="s">
        <v>85</v>
      </c>
      <c r="O10" s="152"/>
      <c r="P10" s="32" t="s">
        <v>183</v>
      </c>
      <c r="Q10" s="21" t="s">
        <v>171</v>
      </c>
      <c r="R10" s="68"/>
      <c r="S10" s="68"/>
      <c r="T10" s="68"/>
      <c r="U10" s="68"/>
      <c r="V10" s="68"/>
    </row>
    <row r="11" spans="2:22">
      <c r="B11" s="35" t="s">
        <v>18</v>
      </c>
      <c r="C11" s="35" t="s">
        <v>20</v>
      </c>
      <c r="D11" s="35" t="s">
        <v>184</v>
      </c>
      <c r="E11" s="35">
        <v>93</v>
      </c>
      <c r="F11" s="39">
        <v>55.9166666666666</v>
      </c>
      <c r="G11" s="37">
        <v>538000</v>
      </c>
      <c r="H11" s="35" t="s">
        <v>185</v>
      </c>
      <c r="I11" s="20">
        <v>6</v>
      </c>
      <c r="J11" s="20">
        <v>3</v>
      </c>
      <c r="K11" s="20">
        <v>5</v>
      </c>
      <c r="L11" s="39">
        <v>4.666666666666667</v>
      </c>
      <c r="M11" s="20" t="s">
        <v>186</v>
      </c>
      <c r="N11" s="67">
        <f t="shared" ref="N11:N74" si="0">IF(ISBLANK(B11),0%,(IF($K$4=$L$10,$M$4-L11,IF($K$4=$G$10, $M$4-G11,_xlfn.XLOOKUP($K$4,$B$10:$M$10,B11:M11,,0)))/$M$4)*$L$4+(IF($K$5=$L$10,$M$5-L11,IF($K$5=$G$10, $M$5-G11, _xlfn.XLOOKUP($K$5,$B$10:$M$10,B11:M11,,0)))/$M$5)*$L$5+(IF($K$6=$L$10,$M$6-L11,IF($K$6=$G$10,$M$6-G11,_xlfn.XLOOKUP($K$6,$B$10:$M$10,B11:M11,,0)))/$M$6)*$L$6)</f>
        <v>0.76654048716260692</v>
      </c>
      <c r="P11" s="20">
        <v>150</v>
      </c>
      <c r="Q11" s="20">
        <v>2</v>
      </c>
    </row>
    <row r="12" spans="2:22">
      <c r="B12" s="35" t="s">
        <v>18</v>
      </c>
      <c r="C12" s="35" t="s">
        <v>20</v>
      </c>
      <c r="D12" s="35" t="s">
        <v>184</v>
      </c>
      <c r="E12" s="35">
        <v>98</v>
      </c>
      <c r="F12" s="39">
        <v>54</v>
      </c>
      <c r="G12" s="37">
        <v>553000</v>
      </c>
      <c r="H12" s="35" t="s">
        <v>187</v>
      </c>
      <c r="I12" s="20">
        <v>5</v>
      </c>
      <c r="J12" s="20">
        <v>3</v>
      </c>
      <c r="K12" s="20">
        <v>8</v>
      </c>
      <c r="L12" s="39">
        <v>5.333333333333333</v>
      </c>
      <c r="M12" s="20" t="s">
        <v>186</v>
      </c>
      <c r="N12" s="67">
        <f t="shared" si="0"/>
        <v>0.72993846449689959</v>
      </c>
      <c r="P12" s="20">
        <v>225</v>
      </c>
      <c r="Q12" s="20">
        <v>3</v>
      </c>
    </row>
    <row r="13" spans="2:22">
      <c r="B13" s="35" t="s">
        <v>18</v>
      </c>
      <c r="C13" s="35" t="s">
        <v>20</v>
      </c>
      <c r="D13" s="35" t="s">
        <v>184</v>
      </c>
      <c r="E13" s="35">
        <v>92</v>
      </c>
      <c r="F13" s="39">
        <v>55.4166666666666</v>
      </c>
      <c r="G13" s="37">
        <v>500000</v>
      </c>
      <c r="H13" s="35" t="s">
        <v>188</v>
      </c>
      <c r="I13" s="20">
        <v>10</v>
      </c>
      <c r="J13" s="20">
        <v>10</v>
      </c>
      <c r="K13" s="20">
        <v>5</v>
      </c>
      <c r="L13" s="39">
        <v>8.3333333333333339</v>
      </c>
      <c r="M13" s="20" t="s">
        <v>186</v>
      </c>
      <c r="N13" s="67">
        <f t="shared" si="0"/>
        <v>0.58446086285098142</v>
      </c>
      <c r="P13" s="20">
        <v>300</v>
      </c>
      <c r="Q13" s="20">
        <v>4</v>
      </c>
    </row>
    <row r="14" spans="2:22">
      <c r="B14" s="35" t="s">
        <v>18</v>
      </c>
      <c r="C14" s="35" t="s">
        <v>20</v>
      </c>
      <c r="D14" s="35" t="s">
        <v>189</v>
      </c>
      <c r="E14" s="35">
        <v>91</v>
      </c>
      <c r="F14" s="39">
        <v>55.75</v>
      </c>
      <c r="G14" s="37">
        <v>518000</v>
      </c>
      <c r="H14" s="35" t="s">
        <v>190</v>
      </c>
      <c r="I14" s="20">
        <v>9</v>
      </c>
      <c r="J14" s="20">
        <v>16</v>
      </c>
      <c r="K14" s="20">
        <v>5</v>
      </c>
      <c r="L14" s="39">
        <v>10</v>
      </c>
      <c r="M14" s="20" t="s">
        <v>186</v>
      </c>
      <c r="N14" s="67">
        <f t="shared" si="0"/>
        <v>0.50437152746777325</v>
      </c>
      <c r="P14" s="20">
        <v>375</v>
      </c>
      <c r="Q14" s="20">
        <v>5</v>
      </c>
    </row>
    <row r="15" spans="2:22">
      <c r="B15" s="35" t="s">
        <v>18</v>
      </c>
      <c r="C15" s="35" t="s">
        <v>20</v>
      </c>
      <c r="D15" s="35" t="s">
        <v>191</v>
      </c>
      <c r="E15" s="35">
        <v>91</v>
      </c>
      <c r="F15" s="39">
        <v>55.9166666666666</v>
      </c>
      <c r="G15" s="37">
        <v>490000</v>
      </c>
      <c r="H15" s="35" t="s">
        <v>192</v>
      </c>
      <c r="I15" s="20">
        <v>11</v>
      </c>
      <c r="J15" s="20">
        <v>14</v>
      </c>
      <c r="K15" s="20">
        <v>6</v>
      </c>
      <c r="L15" s="39">
        <v>10.333333333333334</v>
      </c>
      <c r="M15" s="20" t="s">
        <v>186</v>
      </c>
      <c r="N15" s="67">
        <f t="shared" si="0"/>
        <v>0.48928571428571427</v>
      </c>
      <c r="P15" s="20">
        <v>450</v>
      </c>
      <c r="Q15" s="20">
        <v>6</v>
      </c>
    </row>
    <row r="16" spans="2:22">
      <c r="B16" s="35"/>
      <c r="C16" s="35"/>
      <c r="D16" s="35"/>
      <c r="E16" s="35"/>
      <c r="F16" s="39"/>
      <c r="G16" s="37"/>
      <c r="H16" s="35"/>
      <c r="I16" s="20"/>
      <c r="J16" s="20"/>
      <c r="K16" s="20"/>
      <c r="L16" s="39"/>
      <c r="M16" s="20"/>
      <c r="N16" s="67">
        <f t="shared" si="0"/>
        <v>0</v>
      </c>
      <c r="P16" s="20">
        <v>525</v>
      </c>
      <c r="Q16" s="20">
        <v>7</v>
      </c>
    </row>
    <row r="17" spans="2:17">
      <c r="B17" s="35"/>
      <c r="C17" s="35"/>
      <c r="D17" s="35"/>
      <c r="E17" s="35"/>
      <c r="F17" s="39"/>
      <c r="G17" s="37"/>
      <c r="H17" s="35"/>
      <c r="I17" s="20"/>
      <c r="J17" s="20"/>
      <c r="K17" s="20"/>
      <c r="L17" s="39"/>
      <c r="M17" s="20"/>
      <c r="N17" s="67">
        <f t="shared" si="0"/>
        <v>0</v>
      </c>
      <c r="P17" s="20">
        <v>600</v>
      </c>
      <c r="Q17" s="20">
        <v>8</v>
      </c>
    </row>
    <row r="18" spans="2:17">
      <c r="B18" s="35"/>
      <c r="C18" s="35"/>
      <c r="D18" s="35"/>
      <c r="E18" s="35"/>
      <c r="F18" s="39"/>
      <c r="G18" s="37"/>
      <c r="H18" s="35"/>
      <c r="I18" s="20"/>
      <c r="J18" s="20"/>
      <c r="K18" s="20"/>
      <c r="L18" s="39"/>
      <c r="M18" s="20"/>
      <c r="N18" s="67">
        <f t="shared" si="0"/>
        <v>0</v>
      </c>
      <c r="P18" s="20">
        <v>675</v>
      </c>
      <c r="Q18" s="20">
        <v>9</v>
      </c>
    </row>
    <row r="19" spans="2:17">
      <c r="B19" s="35"/>
      <c r="C19" s="35"/>
      <c r="D19" s="35"/>
      <c r="E19" s="35"/>
      <c r="F19" s="39"/>
      <c r="G19" s="37"/>
      <c r="H19" s="35"/>
      <c r="I19" s="20"/>
      <c r="J19" s="20"/>
      <c r="K19" s="20"/>
      <c r="L19" s="39"/>
      <c r="M19" s="20"/>
      <c r="N19" s="67">
        <f t="shared" si="0"/>
        <v>0</v>
      </c>
      <c r="P19" s="20">
        <v>750</v>
      </c>
      <c r="Q19" s="20">
        <v>10</v>
      </c>
    </row>
    <row r="20" spans="2:17">
      <c r="B20" s="35"/>
      <c r="C20" s="35"/>
      <c r="D20" s="35"/>
      <c r="E20" s="35"/>
      <c r="F20" s="39"/>
      <c r="G20" s="37"/>
      <c r="H20" s="35"/>
      <c r="I20" s="20"/>
      <c r="J20" s="20"/>
      <c r="K20" s="20"/>
      <c r="L20" s="39"/>
      <c r="M20" s="20"/>
      <c r="N20" s="67">
        <f t="shared" si="0"/>
        <v>0</v>
      </c>
      <c r="P20" s="20">
        <v>825</v>
      </c>
      <c r="Q20" s="20">
        <v>11</v>
      </c>
    </row>
    <row r="21" spans="2:17">
      <c r="B21" s="35"/>
      <c r="C21" s="35"/>
      <c r="D21" s="35"/>
      <c r="E21" s="35"/>
      <c r="F21" s="39"/>
      <c r="G21" s="37"/>
      <c r="H21" s="35"/>
      <c r="I21" s="20"/>
      <c r="J21" s="20"/>
      <c r="K21" s="20"/>
      <c r="L21" s="39"/>
      <c r="M21" s="20"/>
      <c r="N21" s="67">
        <f t="shared" si="0"/>
        <v>0</v>
      </c>
      <c r="P21" s="20">
        <v>900</v>
      </c>
      <c r="Q21" s="20">
        <v>12</v>
      </c>
    </row>
    <row r="22" spans="2:17">
      <c r="B22" s="35"/>
      <c r="C22" s="35"/>
      <c r="D22" s="35"/>
      <c r="E22" s="35"/>
      <c r="F22" s="39"/>
      <c r="G22" s="37"/>
      <c r="H22" s="35"/>
      <c r="I22" s="20"/>
      <c r="J22" s="20"/>
      <c r="K22" s="20"/>
      <c r="L22" s="39"/>
      <c r="M22" s="20"/>
      <c r="N22" s="67">
        <f t="shared" si="0"/>
        <v>0</v>
      </c>
      <c r="P22" s="20">
        <v>975</v>
      </c>
      <c r="Q22" s="20">
        <v>13</v>
      </c>
    </row>
    <row r="23" spans="2:17">
      <c r="B23" s="35"/>
      <c r="C23" s="35"/>
      <c r="D23" s="35"/>
      <c r="E23" s="35"/>
      <c r="F23" s="39"/>
      <c r="G23" s="37"/>
      <c r="H23" s="35"/>
      <c r="I23" s="20"/>
      <c r="J23" s="20"/>
      <c r="K23" s="20"/>
      <c r="L23" s="39"/>
      <c r="M23" s="20"/>
      <c r="N23" s="67">
        <f t="shared" si="0"/>
        <v>0</v>
      </c>
      <c r="P23" s="20">
        <v>1050</v>
      </c>
      <c r="Q23" s="20">
        <v>14</v>
      </c>
    </row>
    <row r="24" spans="2:17">
      <c r="B24" s="35"/>
      <c r="C24" s="35"/>
      <c r="D24" s="35"/>
      <c r="E24" s="35"/>
      <c r="F24" s="39"/>
      <c r="G24" s="37"/>
      <c r="H24" s="35"/>
      <c r="I24" s="20"/>
      <c r="J24" s="20"/>
      <c r="K24" s="20"/>
      <c r="L24" s="39"/>
      <c r="M24" s="20"/>
      <c r="N24" s="67">
        <f t="shared" si="0"/>
        <v>0</v>
      </c>
      <c r="P24" s="20">
        <v>1125</v>
      </c>
      <c r="Q24" s="20">
        <v>15</v>
      </c>
    </row>
    <row r="25" spans="2:17">
      <c r="B25" s="35"/>
      <c r="C25" s="35"/>
      <c r="D25" s="35"/>
      <c r="E25" s="35"/>
      <c r="F25" s="39"/>
      <c r="G25" s="37"/>
      <c r="H25" s="35"/>
      <c r="I25" s="20"/>
      <c r="J25" s="20"/>
      <c r="K25" s="20"/>
      <c r="L25" s="39"/>
      <c r="M25" s="20"/>
      <c r="N25" s="67">
        <f t="shared" si="0"/>
        <v>0</v>
      </c>
      <c r="P25" s="20">
        <v>1200</v>
      </c>
      <c r="Q25" s="20">
        <v>16</v>
      </c>
    </row>
    <row r="26" spans="2:17">
      <c r="B26" s="35"/>
      <c r="C26" s="35"/>
      <c r="D26" s="35"/>
      <c r="E26" s="35"/>
      <c r="F26" s="39"/>
      <c r="G26" s="37"/>
      <c r="H26" s="35"/>
      <c r="I26" s="20"/>
      <c r="J26" s="20"/>
      <c r="K26" s="20"/>
      <c r="L26" s="39"/>
      <c r="M26" s="20"/>
      <c r="N26" s="67">
        <f t="shared" si="0"/>
        <v>0</v>
      </c>
      <c r="P26" s="20">
        <v>1275</v>
      </c>
      <c r="Q26" s="20">
        <v>17</v>
      </c>
    </row>
    <row r="27" spans="2:17">
      <c r="B27" s="35"/>
      <c r="C27" s="35"/>
      <c r="D27" s="35"/>
      <c r="E27" s="35"/>
      <c r="F27" s="39"/>
      <c r="G27" s="37"/>
      <c r="H27" s="35"/>
      <c r="I27" s="20"/>
      <c r="J27" s="20"/>
      <c r="K27" s="20"/>
      <c r="L27" s="39"/>
      <c r="M27" s="20"/>
      <c r="N27" s="67">
        <f t="shared" si="0"/>
        <v>0</v>
      </c>
      <c r="P27" s="20">
        <v>1350</v>
      </c>
      <c r="Q27" s="20">
        <v>18</v>
      </c>
    </row>
    <row r="28" spans="2:17">
      <c r="B28" s="35"/>
      <c r="C28" s="35"/>
      <c r="D28" s="35"/>
      <c r="E28" s="35"/>
      <c r="F28" s="39"/>
      <c r="G28" s="37"/>
      <c r="H28" s="35"/>
      <c r="I28" s="20"/>
      <c r="J28" s="20"/>
      <c r="K28" s="20"/>
      <c r="L28" s="39"/>
      <c r="M28" s="20"/>
      <c r="N28" s="67">
        <f t="shared" si="0"/>
        <v>0</v>
      </c>
      <c r="P28" s="20">
        <v>1425</v>
      </c>
      <c r="Q28" s="20">
        <v>19</v>
      </c>
    </row>
    <row r="29" spans="2:17">
      <c r="B29" s="35"/>
      <c r="C29" s="35"/>
      <c r="D29" s="35"/>
      <c r="E29" s="35"/>
      <c r="F29" s="39"/>
      <c r="G29" s="37"/>
      <c r="H29" s="35"/>
      <c r="I29" s="20"/>
      <c r="J29" s="20"/>
      <c r="K29" s="20"/>
      <c r="L29" s="39"/>
      <c r="M29" s="20"/>
      <c r="N29" s="67">
        <f t="shared" si="0"/>
        <v>0</v>
      </c>
      <c r="P29" s="20">
        <v>1500</v>
      </c>
      <c r="Q29" s="20">
        <v>20</v>
      </c>
    </row>
    <row r="30" spans="2:17">
      <c r="B30" s="35"/>
      <c r="C30" s="35"/>
      <c r="D30" s="35"/>
      <c r="E30" s="35"/>
      <c r="F30" s="39"/>
      <c r="G30" s="187"/>
      <c r="H30" s="35"/>
      <c r="I30" s="20"/>
      <c r="J30" s="20"/>
      <c r="K30" s="20"/>
      <c r="L30" s="39"/>
      <c r="M30" s="20"/>
      <c r="N30" s="67">
        <f t="shared" si="0"/>
        <v>0</v>
      </c>
      <c r="P30" s="20">
        <v>1575</v>
      </c>
      <c r="Q30" s="20">
        <v>21</v>
      </c>
    </row>
    <row r="31" spans="2:17">
      <c r="B31" s="35"/>
      <c r="C31" s="35"/>
      <c r="D31" s="35"/>
      <c r="E31" s="35"/>
      <c r="F31" s="39"/>
      <c r="G31" s="187"/>
      <c r="H31" s="35"/>
      <c r="I31" s="20"/>
      <c r="J31" s="20"/>
      <c r="K31" s="20"/>
      <c r="L31" s="39"/>
      <c r="M31" s="20"/>
      <c r="N31" s="67">
        <f t="shared" si="0"/>
        <v>0</v>
      </c>
      <c r="P31" s="20">
        <v>1650</v>
      </c>
      <c r="Q31" s="20">
        <v>22</v>
      </c>
    </row>
    <row r="32" spans="2:17">
      <c r="B32" s="35"/>
      <c r="C32" s="35"/>
      <c r="D32" s="35"/>
      <c r="E32" s="35"/>
      <c r="F32" s="39"/>
      <c r="G32" s="187"/>
      <c r="H32" s="35"/>
      <c r="I32" s="20"/>
      <c r="J32" s="20"/>
      <c r="K32" s="20"/>
      <c r="L32" s="39"/>
      <c r="M32" s="20"/>
      <c r="N32" s="67">
        <f t="shared" si="0"/>
        <v>0</v>
      </c>
      <c r="P32" s="20">
        <v>1725</v>
      </c>
      <c r="Q32" s="20">
        <v>23</v>
      </c>
    </row>
    <row r="33" spans="2:17">
      <c r="B33" s="35"/>
      <c r="C33" s="35"/>
      <c r="D33" s="35"/>
      <c r="E33" s="35"/>
      <c r="F33" s="39"/>
      <c r="G33" s="187"/>
      <c r="H33" s="35"/>
      <c r="I33" s="20"/>
      <c r="J33" s="20"/>
      <c r="K33" s="20"/>
      <c r="L33" s="39"/>
      <c r="M33" s="20"/>
      <c r="N33" s="67">
        <f t="shared" si="0"/>
        <v>0</v>
      </c>
      <c r="P33" s="20">
        <v>1800</v>
      </c>
      <c r="Q33" s="20">
        <v>24</v>
      </c>
    </row>
    <row r="34" spans="2:17">
      <c r="B34" s="35"/>
      <c r="C34" s="35"/>
      <c r="D34" s="35"/>
      <c r="E34" s="35"/>
      <c r="F34" s="39"/>
      <c r="G34" s="187"/>
      <c r="H34" s="35"/>
      <c r="I34" s="20"/>
      <c r="J34" s="20"/>
      <c r="K34" s="20"/>
      <c r="L34" s="39"/>
      <c r="M34" s="20"/>
      <c r="N34" s="67">
        <f t="shared" si="0"/>
        <v>0</v>
      </c>
      <c r="P34" s="20">
        <v>1875</v>
      </c>
      <c r="Q34" s="20">
        <v>25</v>
      </c>
    </row>
    <row r="35" spans="2:17">
      <c r="B35" s="35"/>
      <c r="C35" s="35"/>
      <c r="D35" s="35"/>
      <c r="E35" s="35"/>
      <c r="F35" s="39"/>
      <c r="G35" s="187"/>
      <c r="H35" s="35"/>
      <c r="I35" s="20"/>
      <c r="J35" s="20"/>
      <c r="K35" s="20"/>
      <c r="L35" s="39"/>
      <c r="M35" s="20"/>
      <c r="N35" s="67">
        <f t="shared" si="0"/>
        <v>0</v>
      </c>
      <c r="P35" s="20">
        <v>1950</v>
      </c>
      <c r="Q35" s="20">
        <v>26</v>
      </c>
    </row>
    <row r="36" spans="2:17">
      <c r="B36" s="35"/>
      <c r="C36" s="35"/>
      <c r="D36" s="35"/>
      <c r="E36" s="35"/>
      <c r="F36" s="39"/>
      <c r="G36" s="187"/>
      <c r="H36" s="35"/>
      <c r="I36" s="20"/>
      <c r="J36" s="20"/>
      <c r="K36" s="20"/>
      <c r="L36" s="39"/>
      <c r="M36" s="20"/>
      <c r="N36" s="67">
        <f t="shared" si="0"/>
        <v>0</v>
      </c>
      <c r="P36" s="20">
        <v>2025</v>
      </c>
      <c r="Q36" s="20">
        <v>27</v>
      </c>
    </row>
    <row r="37" spans="2:17">
      <c r="B37" s="35"/>
      <c r="C37" s="35"/>
      <c r="D37" s="35"/>
      <c r="E37" s="35"/>
      <c r="F37" s="39"/>
      <c r="G37" s="187"/>
      <c r="H37" s="35"/>
      <c r="I37" s="20"/>
      <c r="J37" s="20"/>
      <c r="K37" s="20"/>
      <c r="L37" s="39"/>
      <c r="M37" s="20"/>
      <c r="N37" s="67">
        <f t="shared" si="0"/>
        <v>0</v>
      </c>
      <c r="P37" s="20">
        <v>2100</v>
      </c>
      <c r="Q37" s="20">
        <v>28</v>
      </c>
    </row>
    <row r="38" spans="2:17">
      <c r="B38" s="35"/>
      <c r="C38" s="35"/>
      <c r="D38" s="35"/>
      <c r="E38" s="35"/>
      <c r="F38" s="39"/>
      <c r="G38" s="187"/>
      <c r="H38" s="35"/>
      <c r="I38" s="20"/>
      <c r="J38" s="20"/>
      <c r="K38" s="20"/>
      <c r="L38" s="39"/>
      <c r="M38" s="20"/>
      <c r="N38" s="67">
        <f t="shared" si="0"/>
        <v>0</v>
      </c>
      <c r="P38" s="20">
        <v>2175</v>
      </c>
      <c r="Q38" s="20">
        <v>29</v>
      </c>
    </row>
    <row r="39" spans="2:17">
      <c r="B39" s="35"/>
      <c r="C39" s="35"/>
      <c r="D39" s="35"/>
      <c r="E39" s="35"/>
      <c r="F39" s="39"/>
      <c r="G39" s="187"/>
      <c r="H39" s="35"/>
      <c r="I39" s="20"/>
      <c r="J39" s="20"/>
      <c r="K39" s="20"/>
      <c r="L39" s="39"/>
      <c r="M39" s="20"/>
      <c r="N39" s="67">
        <f t="shared" si="0"/>
        <v>0</v>
      </c>
      <c r="P39" s="20">
        <v>2250</v>
      </c>
      <c r="Q39" s="20">
        <v>30</v>
      </c>
    </row>
    <row r="40" spans="2:17">
      <c r="B40" s="35"/>
      <c r="C40" s="35"/>
      <c r="D40" s="35"/>
      <c r="E40" s="35"/>
      <c r="F40" s="39"/>
      <c r="G40" s="187"/>
      <c r="H40" s="35"/>
      <c r="I40" s="20"/>
      <c r="J40" s="20"/>
      <c r="K40" s="20"/>
      <c r="L40" s="39"/>
      <c r="M40" s="20"/>
      <c r="N40" s="67">
        <f t="shared" si="0"/>
        <v>0</v>
      </c>
    </row>
    <row r="41" spans="2:17">
      <c r="B41" s="35"/>
      <c r="C41" s="35"/>
      <c r="D41" s="35"/>
      <c r="E41" s="35"/>
      <c r="F41" s="39"/>
      <c r="G41" s="187"/>
      <c r="H41" s="35"/>
      <c r="I41" s="20"/>
      <c r="J41" s="20"/>
      <c r="K41" s="20"/>
      <c r="L41" s="39"/>
      <c r="M41" s="20"/>
      <c r="N41" s="67">
        <f t="shared" si="0"/>
        <v>0</v>
      </c>
    </row>
    <row r="42" spans="2:17">
      <c r="B42" s="35"/>
      <c r="C42" s="35"/>
      <c r="D42" s="35"/>
      <c r="E42" s="35"/>
      <c r="F42" s="39"/>
      <c r="G42" s="187"/>
      <c r="H42" s="35"/>
      <c r="I42" s="20"/>
      <c r="J42" s="20"/>
      <c r="K42" s="20"/>
      <c r="L42" s="39"/>
      <c r="M42" s="20"/>
      <c r="N42" s="67">
        <f t="shared" si="0"/>
        <v>0</v>
      </c>
    </row>
    <row r="43" spans="2:17">
      <c r="B43" s="35"/>
      <c r="C43" s="35"/>
      <c r="D43" s="35"/>
      <c r="E43" s="35"/>
      <c r="F43" s="39"/>
      <c r="G43" s="187"/>
      <c r="H43" s="35"/>
      <c r="I43" s="20"/>
      <c r="J43" s="20"/>
      <c r="K43" s="20"/>
      <c r="L43" s="39"/>
      <c r="M43" s="20"/>
      <c r="N43" s="67">
        <f t="shared" si="0"/>
        <v>0</v>
      </c>
    </row>
    <row r="44" spans="2:17">
      <c r="B44" s="35"/>
      <c r="C44" s="35"/>
      <c r="D44" s="35"/>
      <c r="E44" s="35"/>
      <c r="F44" s="39"/>
      <c r="G44" s="187"/>
      <c r="H44" s="35"/>
      <c r="I44" s="20"/>
      <c r="J44" s="20"/>
      <c r="K44" s="20"/>
      <c r="L44" s="39"/>
      <c r="M44" s="20"/>
      <c r="N44" s="67">
        <f t="shared" si="0"/>
        <v>0</v>
      </c>
    </row>
    <row r="45" spans="2:17">
      <c r="B45" s="35"/>
      <c r="C45" s="35"/>
      <c r="D45" s="35"/>
      <c r="E45" s="35"/>
      <c r="F45" s="39"/>
      <c r="G45" s="187"/>
      <c r="H45" s="35"/>
      <c r="I45" s="20"/>
      <c r="J45" s="20"/>
      <c r="K45" s="20"/>
      <c r="L45" s="39"/>
      <c r="M45" s="20"/>
      <c r="N45" s="67">
        <f t="shared" si="0"/>
        <v>0</v>
      </c>
    </row>
    <row r="46" spans="2:17">
      <c r="B46" s="35"/>
      <c r="C46" s="35"/>
      <c r="D46" s="35"/>
      <c r="E46" s="35"/>
      <c r="F46" s="39"/>
      <c r="G46" s="187"/>
      <c r="H46" s="35"/>
      <c r="I46" s="20"/>
      <c r="J46" s="20"/>
      <c r="K46" s="20"/>
      <c r="L46" s="39"/>
      <c r="M46" s="20"/>
      <c r="N46" s="67">
        <f t="shared" si="0"/>
        <v>0</v>
      </c>
    </row>
    <row r="47" spans="2:17">
      <c r="B47" s="35"/>
      <c r="C47" s="35"/>
      <c r="D47" s="35"/>
      <c r="E47" s="35"/>
      <c r="F47" s="39"/>
      <c r="G47" s="187"/>
      <c r="H47" s="35"/>
      <c r="I47" s="20"/>
      <c r="J47" s="20"/>
      <c r="K47" s="20"/>
      <c r="L47" s="39"/>
      <c r="M47" s="20"/>
      <c r="N47" s="67">
        <f t="shared" si="0"/>
        <v>0</v>
      </c>
    </row>
    <row r="48" spans="2:17">
      <c r="B48" s="35"/>
      <c r="C48" s="35"/>
      <c r="D48" s="35"/>
      <c r="E48" s="35"/>
      <c r="F48" s="39"/>
      <c r="G48" s="187"/>
      <c r="H48" s="35"/>
      <c r="I48" s="20"/>
      <c r="J48" s="20"/>
      <c r="K48" s="20"/>
      <c r="L48" s="39"/>
      <c r="M48" s="20"/>
      <c r="N48" s="67">
        <f t="shared" si="0"/>
        <v>0</v>
      </c>
    </row>
    <row r="49" spans="2:14">
      <c r="B49" s="35"/>
      <c r="C49" s="35"/>
      <c r="D49" s="35"/>
      <c r="E49" s="35"/>
      <c r="F49" s="39"/>
      <c r="G49" s="187"/>
      <c r="H49" s="35"/>
      <c r="I49" s="20"/>
      <c r="J49" s="20"/>
      <c r="K49" s="20"/>
      <c r="L49" s="39"/>
      <c r="M49" s="20"/>
      <c r="N49" s="67">
        <f t="shared" si="0"/>
        <v>0</v>
      </c>
    </row>
    <row r="50" spans="2:14">
      <c r="B50" s="35"/>
      <c r="C50" s="35"/>
      <c r="D50" s="35"/>
      <c r="E50" s="35"/>
      <c r="F50" s="39"/>
      <c r="G50" s="187"/>
      <c r="H50" s="35"/>
      <c r="I50" s="20"/>
      <c r="J50" s="20"/>
      <c r="K50" s="20"/>
      <c r="L50" s="39"/>
      <c r="M50" s="20"/>
      <c r="N50" s="67">
        <f t="shared" si="0"/>
        <v>0</v>
      </c>
    </row>
    <row r="51" spans="2:14">
      <c r="B51" s="35"/>
      <c r="C51" s="35"/>
      <c r="D51" s="35"/>
      <c r="E51" s="35"/>
      <c r="F51" s="39"/>
      <c r="G51" s="187"/>
      <c r="H51" s="35"/>
      <c r="I51" s="20"/>
      <c r="J51" s="20"/>
      <c r="K51" s="20"/>
      <c r="L51" s="39"/>
      <c r="M51" s="20"/>
      <c r="N51" s="67">
        <f t="shared" si="0"/>
        <v>0</v>
      </c>
    </row>
    <row r="52" spans="2:14">
      <c r="B52" s="35"/>
      <c r="C52" s="35"/>
      <c r="D52" s="35"/>
      <c r="E52" s="35"/>
      <c r="F52" s="39"/>
      <c r="G52" s="187"/>
      <c r="H52" s="35"/>
      <c r="I52" s="20"/>
      <c r="J52" s="20"/>
      <c r="K52" s="20"/>
      <c r="L52" s="39"/>
      <c r="M52" s="20"/>
      <c r="N52" s="67">
        <f t="shared" si="0"/>
        <v>0</v>
      </c>
    </row>
    <row r="53" spans="2:14">
      <c r="B53" s="35"/>
      <c r="C53" s="35"/>
      <c r="D53" s="35"/>
      <c r="E53" s="35"/>
      <c r="F53" s="39"/>
      <c r="G53" s="187"/>
      <c r="H53" s="35"/>
      <c r="I53" s="20"/>
      <c r="J53" s="20"/>
      <c r="K53" s="20"/>
      <c r="L53" s="39"/>
      <c r="M53" s="20"/>
      <c r="N53" s="67">
        <f t="shared" si="0"/>
        <v>0</v>
      </c>
    </row>
    <row r="54" spans="2:14">
      <c r="B54" s="35"/>
      <c r="C54" s="35"/>
      <c r="D54" s="35"/>
      <c r="E54" s="35"/>
      <c r="F54" s="39"/>
      <c r="G54" s="187"/>
      <c r="H54" s="35"/>
      <c r="I54" s="20"/>
      <c r="J54" s="20"/>
      <c r="K54" s="20"/>
      <c r="L54" s="39"/>
      <c r="M54" s="20"/>
      <c r="N54" s="67">
        <f t="shared" si="0"/>
        <v>0</v>
      </c>
    </row>
    <row r="55" spans="2:14">
      <c r="B55" s="35"/>
      <c r="C55" s="35"/>
      <c r="D55" s="35"/>
      <c r="E55" s="35"/>
      <c r="F55" s="39"/>
      <c r="G55" s="187"/>
      <c r="H55" s="35"/>
      <c r="I55" s="20"/>
      <c r="J55" s="20"/>
      <c r="K55" s="20"/>
      <c r="L55" s="39"/>
      <c r="M55" s="20"/>
      <c r="N55" s="67">
        <f t="shared" si="0"/>
        <v>0</v>
      </c>
    </row>
    <row r="56" spans="2:14">
      <c r="B56" s="35"/>
      <c r="C56" s="35"/>
      <c r="D56" s="35"/>
      <c r="E56" s="35"/>
      <c r="F56" s="39"/>
      <c r="G56" s="187"/>
      <c r="H56" s="35"/>
      <c r="I56" s="20"/>
      <c r="J56" s="20"/>
      <c r="K56" s="20"/>
      <c r="L56" s="39"/>
      <c r="M56" s="20"/>
      <c r="N56" s="67">
        <f t="shared" si="0"/>
        <v>0</v>
      </c>
    </row>
    <row r="57" spans="2:14">
      <c r="B57" s="35"/>
      <c r="C57" s="35"/>
      <c r="D57" s="35"/>
      <c r="E57" s="35"/>
      <c r="F57" s="39"/>
      <c r="G57" s="187"/>
      <c r="H57" s="35"/>
      <c r="I57" s="20"/>
      <c r="J57" s="20"/>
      <c r="K57" s="20"/>
      <c r="L57" s="39"/>
      <c r="M57" s="20"/>
      <c r="N57" s="67">
        <f t="shared" si="0"/>
        <v>0</v>
      </c>
    </row>
    <row r="58" spans="2:14">
      <c r="B58" s="35"/>
      <c r="C58" s="35"/>
      <c r="D58" s="35"/>
      <c r="E58" s="35"/>
      <c r="F58" s="39"/>
      <c r="G58" s="187"/>
      <c r="H58" s="35"/>
      <c r="I58" s="20"/>
      <c r="J58" s="20"/>
      <c r="K58" s="20"/>
      <c r="L58" s="39"/>
      <c r="M58" s="20"/>
      <c r="N58" s="67">
        <f t="shared" si="0"/>
        <v>0</v>
      </c>
    </row>
    <row r="59" spans="2:14">
      <c r="B59" s="35"/>
      <c r="C59" s="35"/>
      <c r="D59" s="35"/>
      <c r="E59" s="35"/>
      <c r="F59" s="39"/>
      <c r="G59" s="187"/>
      <c r="H59" s="35"/>
      <c r="I59" s="20"/>
      <c r="J59" s="20"/>
      <c r="K59" s="20"/>
      <c r="L59" s="39"/>
      <c r="M59" s="20"/>
      <c r="N59" s="67">
        <f t="shared" si="0"/>
        <v>0</v>
      </c>
    </row>
    <row r="60" spans="2:14">
      <c r="B60" s="35"/>
      <c r="C60" s="35"/>
      <c r="D60" s="35"/>
      <c r="E60" s="35"/>
      <c r="F60" s="39"/>
      <c r="G60" s="187"/>
      <c r="H60" s="35"/>
      <c r="I60" s="20"/>
      <c r="J60" s="20"/>
      <c r="K60" s="20"/>
      <c r="L60" s="39"/>
      <c r="M60" s="20"/>
      <c r="N60" s="67">
        <f t="shared" si="0"/>
        <v>0</v>
      </c>
    </row>
    <row r="61" spans="2:14">
      <c r="B61" s="35"/>
      <c r="C61" s="35"/>
      <c r="D61" s="35"/>
      <c r="E61" s="35"/>
      <c r="F61" s="39"/>
      <c r="G61" s="187"/>
      <c r="H61" s="35"/>
      <c r="I61" s="20"/>
      <c r="J61" s="20"/>
      <c r="K61" s="20"/>
      <c r="L61" s="39"/>
      <c r="M61" s="20"/>
      <c r="N61" s="67">
        <f t="shared" si="0"/>
        <v>0</v>
      </c>
    </row>
    <row r="62" spans="2:14">
      <c r="B62" s="35"/>
      <c r="C62" s="35"/>
      <c r="D62" s="35"/>
      <c r="E62" s="35"/>
      <c r="F62" s="39"/>
      <c r="G62" s="187"/>
      <c r="H62" s="35"/>
      <c r="I62" s="20"/>
      <c r="J62" s="20"/>
      <c r="K62" s="20"/>
      <c r="L62" s="39"/>
      <c r="M62" s="20"/>
      <c r="N62" s="67">
        <f t="shared" si="0"/>
        <v>0</v>
      </c>
    </row>
    <row r="63" spans="2:14">
      <c r="B63" s="35"/>
      <c r="C63" s="35"/>
      <c r="D63" s="35"/>
      <c r="E63" s="35"/>
      <c r="F63" s="39"/>
      <c r="G63" s="187"/>
      <c r="H63" s="35"/>
      <c r="I63" s="20"/>
      <c r="J63" s="20"/>
      <c r="K63" s="20"/>
      <c r="L63" s="39"/>
      <c r="M63" s="20"/>
      <c r="N63" s="67">
        <f t="shared" si="0"/>
        <v>0</v>
      </c>
    </row>
    <row r="64" spans="2:14">
      <c r="B64" s="35"/>
      <c r="C64" s="35"/>
      <c r="D64" s="35"/>
      <c r="E64" s="35"/>
      <c r="F64" s="39"/>
      <c r="G64" s="187"/>
      <c r="H64" s="35"/>
      <c r="I64" s="20"/>
      <c r="J64" s="20"/>
      <c r="K64" s="20"/>
      <c r="L64" s="39"/>
      <c r="M64" s="20"/>
      <c r="N64" s="67">
        <f t="shared" si="0"/>
        <v>0</v>
      </c>
    </row>
    <row r="65" spans="2:14">
      <c r="B65" s="35"/>
      <c r="C65" s="35"/>
      <c r="D65" s="35"/>
      <c r="E65" s="35"/>
      <c r="F65" s="39"/>
      <c r="G65" s="187"/>
      <c r="H65" s="35"/>
      <c r="I65" s="20"/>
      <c r="J65" s="20"/>
      <c r="K65" s="20"/>
      <c r="L65" s="39"/>
      <c r="M65" s="20"/>
      <c r="N65" s="67">
        <f t="shared" si="0"/>
        <v>0</v>
      </c>
    </row>
    <row r="66" spans="2:14">
      <c r="B66" s="35"/>
      <c r="C66" s="35"/>
      <c r="D66" s="35"/>
      <c r="E66" s="35"/>
      <c r="F66" s="39"/>
      <c r="G66" s="187"/>
      <c r="H66" s="35"/>
      <c r="I66" s="20"/>
      <c r="J66" s="20"/>
      <c r="K66" s="20"/>
      <c r="L66" s="39"/>
      <c r="M66" s="20"/>
      <c r="N66" s="67">
        <f t="shared" si="0"/>
        <v>0</v>
      </c>
    </row>
    <row r="67" spans="2:14">
      <c r="B67" s="35"/>
      <c r="C67" s="35"/>
      <c r="D67" s="35"/>
      <c r="E67" s="35"/>
      <c r="F67" s="39"/>
      <c r="G67" s="187"/>
      <c r="H67" s="35"/>
      <c r="I67" s="20"/>
      <c r="J67" s="20"/>
      <c r="K67" s="20"/>
      <c r="L67" s="39"/>
      <c r="M67" s="20"/>
      <c r="N67" s="67">
        <f t="shared" si="0"/>
        <v>0</v>
      </c>
    </row>
    <row r="68" spans="2:14">
      <c r="B68" s="35"/>
      <c r="C68" s="35"/>
      <c r="D68" s="35"/>
      <c r="E68" s="35"/>
      <c r="F68" s="39"/>
      <c r="G68" s="187"/>
      <c r="H68" s="35"/>
      <c r="I68" s="20"/>
      <c r="J68" s="20"/>
      <c r="K68" s="20"/>
      <c r="L68" s="39"/>
      <c r="M68" s="20"/>
      <c r="N68" s="67">
        <f t="shared" si="0"/>
        <v>0</v>
      </c>
    </row>
    <row r="69" spans="2:14">
      <c r="B69" s="35"/>
      <c r="C69" s="35"/>
      <c r="D69" s="35"/>
      <c r="E69" s="35"/>
      <c r="F69" s="39"/>
      <c r="G69" s="187"/>
      <c r="H69" s="35"/>
      <c r="I69" s="20"/>
      <c r="J69" s="20"/>
      <c r="K69" s="20"/>
      <c r="L69" s="39"/>
      <c r="M69" s="20"/>
      <c r="N69" s="67">
        <f t="shared" si="0"/>
        <v>0</v>
      </c>
    </row>
    <row r="70" spans="2:14">
      <c r="B70" s="35"/>
      <c r="C70" s="35"/>
      <c r="D70" s="35"/>
      <c r="E70" s="35"/>
      <c r="F70" s="39"/>
      <c r="G70" s="187"/>
      <c r="H70" s="35"/>
      <c r="I70" s="20"/>
      <c r="J70" s="20"/>
      <c r="K70" s="20"/>
      <c r="L70" s="39"/>
      <c r="M70" s="20"/>
      <c r="N70" s="67">
        <f t="shared" si="0"/>
        <v>0</v>
      </c>
    </row>
    <row r="71" spans="2:14">
      <c r="B71" s="35"/>
      <c r="C71" s="35"/>
      <c r="D71" s="35"/>
      <c r="E71" s="35"/>
      <c r="F71" s="39"/>
      <c r="G71" s="187"/>
      <c r="H71" s="35"/>
      <c r="I71" s="20"/>
      <c r="J71" s="20"/>
      <c r="K71" s="20"/>
      <c r="L71" s="39"/>
      <c r="M71" s="20"/>
      <c r="N71" s="67">
        <f t="shared" si="0"/>
        <v>0</v>
      </c>
    </row>
    <row r="72" spans="2:14">
      <c r="B72" s="35"/>
      <c r="C72" s="35"/>
      <c r="D72" s="35"/>
      <c r="E72" s="35"/>
      <c r="F72" s="39"/>
      <c r="G72" s="187"/>
      <c r="H72" s="35"/>
      <c r="I72" s="20"/>
      <c r="J72" s="20"/>
      <c r="K72" s="20"/>
      <c r="L72" s="39"/>
      <c r="M72" s="20"/>
      <c r="N72" s="67">
        <f t="shared" si="0"/>
        <v>0</v>
      </c>
    </row>
    <row r="73" spans="2:14">
      <c r="B73" s="35"/>
      <c r="C73" s="35"/>
      <c r="D73" s="35"/>
      <c r="E73" s="35"/>
      <c r="F73" s="39"/>
      <c r="G73" s="187"/>
      <c r="H73" s="35"/>
      <c r="I73" s="20"/>
      <c r="J73" s="20"/>
      <c r="K73" s="20"/>
      <c r="L73" s="39"/>
      <c r="M73" s="20"/>
      <c r="N73" s="67">
        <f t="shared" si="0"/>
        <v>0</v>
      </c>
    </row>
    <row r="74" spans="2:14">
      <c r="B74" s="35"/>
      <c r="C74" s="35"/>
      <c r="D74" s="35"/>
      <c r="E74" s="35"/>
      <c r="F74" s="39"/>
      <c r="G74" s="187"/>
      <c r="H74" s="35"/>
      <c r="I74" s="20"/>
      <c r="J74" s="20"/>
      <c r="K74" s="20"/>
      <c r="L74" s="39"/>
      <c r="M74" s="20"/>
      <c r="N74" s="67">
        <f t="shared" si="0"/>
        <v>0</v>
      </c>
    </row>
    <row r="75" spans="2:14">
      <c r="B75" s="35"/>
      <c r="C75" s="35"/>
      <c r="D75" s="35"/>
      <c r="E75" s="35"/>
      <c r="F75" s="39"/>
      <c r="G75" s="187"/>
      <c r="H75" s="35"/>
      <c r="I75" s="20"/>
      <c r="J75" s="20"/>
      <c r="K75" s="20"/>
      <c r="L75" s="39"/>
      <c r="M75" s="20"/>
      <c r="N75" s="67">
        <f t="shared" ref="N75:N138" si="1">IF(ISBLANK(B75),0%,(IF($K$4=$L$10,$M$4-L75,IF($K$4=$G$10, $M$4-G75,_xlfn.XLOOKUP($K$4,$B$10:$M$10,B75:M75,,0)))/$M$4)*$L$4+(IF($K$5=$L$10,$M$5-L75,IF($K$5=$G$10, $M$5-G75, _xlfn.XLOOKUP($K$5,$B$10:$M$10,B75:M75,,0)))/$M$5)*$L$5+(IF($K$6=$L$10,$M$6-L75,IF($K$6=$G$10,$M$6-G75,_xlfn.XLOOKUP($K$6,$B$10:$M$10,B75:M75,,0)))/$M$6)*$L$6)</f>
        <v>0</v>
      </c>
    </row>
    <row r="76" spans="2:14">
      <c r="B76" s="35"/>
      <c r="C76" s="35"/>
      <c r="D76" s="35"/>
      <c r="E76" s="35"/>
      <c r="F76" s="39"/>
      <c r="G76" s="187"/>
      <c r="H76" s="35"/>
      <c r="I76" s="20"/>
      <c r="J76" s="20"/>
      <c r="K76" s="20"/>
      <c r="L76" s="39"/>
      <c r="M76" s="20"/>
      <c r="N76" s="67">
        <f t="shared" si="1"/>
        <v>0</v>
      </c>
    </row>
    <row r="77" spans="2:14">
      <c r="B77" s="35"/>
      <c r="C77" s="35"/>
      <c r="D77" s="35"/>
      <c r="E77" s="35"/>
      <c r="F77" s="39"/>
      <c r="G77" s="187"/>
      <c r="H77" s="35"/>
      <c r="I77" s="20"/>
      <c r="J77" s="20"/>
      <c r="K77" s="20"/>
      <c r="L77" s="39"/>
      <c r="M77" s="20"/>
      <c r="N77" s="67">
        <f t="shared" si="1"/>
        <v>0</v>
      </c>
    </row>
    <row r="78" spans="2:14">
      <c r="B78" s="35"/>
      <c r="C78" s="35"/>
      <c r="D78" s="35"/>
      <c r="E78" s="35"/>
      <c r="F78" s="39"/>
      <c r="G78" s="187"/>
      <c r="H78" s="35"/>
      <c r="I78" s="20"/>
      <c r="J78" s="20"/>
      <c r="K78" s="20"/>
      <c r="L78" s="39"/>
      <c r="M78" s="20"/>
      <c r="N78" s="67">
        <f t="shared" si="1"/>
        <v>0</v>
      </c>
    </row>
    <row r="79" spans="2:14">
      <c r="B79" s="35"/>
      <c r="C79" s="35"/>
      <c r="D79" s="35"/>
      <c r="E79" s="35"/>
      <c r="F79" s="39"/>
      <c r="G79" s="187"/>
      <c r="H79" s="35"/>
      <c r="I79" s="20"/>
      <c r="J79" s="20"/>
      <c r="K79" s="20"/>
      <c r="L79" s="39"/>
      <c r="M79" s="20"/>
      <c r="N79" s="67">
        <f t="shared" si="1"/>
        <v>0</v>
      </c>
    </row>
    <row r="80" spans="2:14">
      <c r="B80" s="35"/>
      <c r="C80" s="35"/>
      <c r="D80" s="35"/>
      <c r="E80" s="35"/>
      <c r="F80" s="39"/>
      <c r="G80" s="187"/>
      <c r="H80" s="35"/>
      <c r="I80" s="20"/>
      <c r="J80" s="20"/>
      <c r="K80" s="20"/>
      <c r="L80" s="39"/>
      <c r="M80" s="20"/>
      <c r="N80" s="67">
        <f t="shared" si="1"/>
        <v>0</v>
      </c>
    </row>
    <row r="81" spans="2:14">
      <c r="B81" s="35"/>
      <c r="C81" s="35"/>
      <c r="D81" s="35"/>
      <c r="E81" s="35"/>
      <c r="F81" s="39"/>
      <c r="G81" s="187"/>
      <c r="H81" s="35"/>
      <c r="I81" s="20"/>
      <c r="J81" s="20"/>
      <c r="K81" s="20"/>
      <c r="L81" s="39"/>
      <c r="M81" s="20"/>
      <c r="N81" s="67">
        <f t="shared" si="1"/>
        <v>0</v>
      </c>
    </row>
    <row r="82" spans="2:14">
      <c r="B82" s="35"/>
      <c r="C82" s="35"/>
      <c r="D82" s="35"/>
      <c r="E82" s="35"/>
      <c r="F82" s="39"/>
      <c r="G82" s="187"/>
      <c r="H82" s="35"/>
      <c r="I82" s="20"/>
      <c r="J82" s="20"/>
      <c r="K82" s="20"/>
      <c r="L82" s="39"/>
      <c r="M82" s="20"/>
      <c r="N82" s="67">
        <f t="shared" si="1"/>
        <v>0</v>
      </c>
    </row>
    <row r="83" spans="2:14">
      <c r="B83" s="35"/>
      <c r="C83" s="35"/>
      <c r="D83" s="35"/>
      <c r="E83" s="35"/>
      <c r="F83" s="39"/>
      <c r="G83" s="187"/>
      <c r="H83" s="35"/>
      <c r="I83" s="20"/>
      <c r="J83" s="20"/>
      <c r="K83" s="20"/>
      <c r="L83" s="39"/>
      <c r="M83" s="20"/>
      <c r="N83" s="67">
        <f t="shared" si="1"/>
        <v>0</v>
      </c>
    </row>
    <row r="84" spans="2:14">
      <c r="B84" s="35"/>
      <c r="C84" s="35"/>
      <c r="D84" s="35"/>
      <c r="E84" s="35"/>
      <c r="F84" s="39"/>
      <c r="G84" s="187"/>
      <c r="H84" s="35"/>
      <c r="I84" s="20"/>
      <c r="J84" s="20"/>
      <c r="K84" s="20"/>
      <c r="L84" s="39"/>
      <c r="M84" s="20"/>
      <c r="N84" s="67">
        <f t="shared" si="1"/>
        <v>0</v>
      </c>
    </row>
    <row r="85" spans="2:14">
      <c r="B85" s="35"/>
      <c r="C85" s="35"/>
      <c r="D85" s="35"/>
      <c r="E85" s="35"/>
      <c r="F85" s="39"/>
      <c r="G85" s="187"/>
      <c r="H85" s="35"/>
      <c r="I85" s="20"/>
      <c r="J85" s="20"/>
      <c r="K85" s="20"/>
      <c r="L85" s="39"/>
      <c r="M85" s="20"/>
      <c r="N85" s="67">
        <f t="shared" si="1"/>
        <v>0</v>
      </c>
    </row>
    <row r="86" spans="2:14">
      <c r="B86" s="35"/>
      <c r="C86" s="35"/>
      <c r="D86" s="35"/>
      <c r="E86" s="35"/>
      <c r="F86" s="39"/>
      <c r="G86" s="187"/>
      <c r="H86" s="35"/>
      <c r="I86" s="20"/>
      <c r="J86" s="20"/>
      <c r="K86" s="20"/>
      <c r="L86" s="39"/>
      <c r="M86" s="20"/>
      <c r="N86" s="67">
        <f t="shared" si="1"/>
        <v>0</v>
      </c>
    </row>
    <row r="87" spans="2:14">
      <c r="B87" s="35"/>
      <c r="C87" s="35"/>
      <c r="D87" s="35"/>
      <c r="E87" s="35"/>
      <c r="F87" s="39"/>
      <c r="G87" s="187"/>
      <c r="H87" s="35"/>
      <c r="I87" s="20"/>
      <c r="J87" s="20"/>
      <c r="K87" s="20"/>
      <c r="L87" s="39"/>
      <c r="M87" s="20"/>
      <c r="N87" s="67">
        <f t="shared" si="1"/>
        <v>0</v>
      </c>
    </row>
    <row r="88" spans="2:14">
      <c r="B88" s="35"/>
      <c r="C88" s="35"/>
      <c r="D88" s="35"/>
      <c r="E88" s="35"/>
      <c r="F88" s="39"/>
      <c r="G88" s="187"/>
      <c r="H88" s="35"/>
      <c r="I88" s="20"/>
      <c r="J88" s="20"/>
      <c r="K88" s="20"/>
      <c r="L88" s="39"/>
      <c r="M88" s="20"/>
      <c r="N88" s="67">
        <f t="shared" si="1"/>
        <v>0</v>
      </c>
    </row>
    <row r="89" spans="2:14">
      <c r="B89" s="35"/>
      <c r="C89" s="35"/>
      <c r="D89" s="35"/>
      <c r="E89" s="35"/>
      <c r="F89" s="39"/>
      <c r="G89" s="187"/>
      <c r="H89" s="35"/>
      <c r="I89" s="20"/>
      <c r="J89" s="20"/>
      <c r="K89" s="20"/>
      <c r="L89" s="39"/>
      <c r="M89" s="20"/>
      <c r="N89" s="67">
        <f t="shared" si="1"/>
        <v>0</v>
      </c>
    </row>
    <row r="90" spans="2:14">
      <c r="B90" s="35"/>
      <c r="C90" s="35"/>
      <c r="D90" s="35"/>
      <c r="E90" s="35"/>
      <c r="F90" s="39"/>
      <c r="G90" s="187"/>
      <c r="H90" s="35"/>
      <c r="I90" s="20"/>
      <c r="J90" s="20"/>
      <c r="K90" s="20"/>
      <c r="L90" s="39"/>
      <c r="M90" s="20"/>
      <c r="N90" s="67">
        <f t="shared" si="1"/>
        <v>0</v>
      </c>
    </row>
    <row r="91" spans="2:14">
      <c r="B91" s="35"/>
      <c r="C91" s="35"/>
      <c r="D91" s="35"/>
      <c r="E91" s="35"/>
      <c r="F91" s="39"/>
      <c r="G91" s="187"/>
      <c r="H91" s="35"/>
      <c r="I91" s="20"/>
      <c r="J91" s="20"/>
      <c r="K91" s="20"/>
      <c r="L91" s="39"/>
      <c r="M91" s="20"/>
      <c r="N91" s="67">
        <f t="shared" si="1"/>
        <v>0</v>
      </c>
    </row>
    <row r="92" spans="2:14">
      <c r="B92" s="35"/>
      <c r="C92" s="35"/>
      <c r="D92" s="35"/>
      <c r="E92" s="35"/>
      <c r="F92" s="39"/>
      <c r="G92" s="187"/>
      <c r="H92" s="35"/>
      <c r="I92" s="20"/>
      <c r="J92" s="20"/>
      <c r="K92" s="20"/>
      <c r="L92" s="39"/>
      <c r="M92" s="20"/>
      <c r="N92" s="67">
        <f t="shared" si="1"/>
        <v>0</v>
      </c>
    </row>
    <row r="93" spans="2:14">
      <c r="B93" s="35"/>
      <c r="C93" s="35"/>
      <c r="D93" s="35"/>
      <c r="E93" s="35"/>
      <c r="F93" s="39"/>
      <c r="G93" s="187"/>
      <c r="H93" s="35"/>
      <c r="I93" s="20"/>
      <c r="J93" s="20"/>
      <c r="K93" s="20"/>
      <c r="L93" s="39"/>
      <c r="M93" s="20"/>
      <c r="N93" s="67">
        <f t="shared" si="1"/>
        <v>0</v>
      </c>
    </row>
    <row r="94" spans="2:14">
      <c r="B94" s="35"/>
      <c r="C94" s="35"/>
      <c r="D94" s="35"/>
      <c r="E94" s="35"/>
      <c r="F94" s="39"/>
      <c r="G94" s="187"/>
      <c r="H94" s="35"/>
      <c r="I94" s="20"/>
      <c r="J94" s="20"/>
      <c r="K94" s="20"/>
      <c r="L94" s="39"/>
      <c r="M94" s="20"/>
      <c r="N94" s="67">
        <f t="shared" si="1"/>
        <v>0</v>
      </c>
    </row>
    <row r="95" spans="2:14">
      <c r="B95" s="35"/>
      <c r="C95" s="35"/>
      <c r="D95" s="35"/>
      <c r="E95" s="35"/>
      <c r="F95" s="39"/>
      <c r="G95" s="187"/>
      <c r="H95" s="35"/>
      <c r="I95" s="20"/>
      <c r="J95" s="20"/>
      <c r="K95" s="20"/>
      <c r="L95" s="39"/>
      <c r="M95" s="20"/>
      <c r="N95" s="67">
        <f t="shared" si="1"/>
        <v>0</v>
      </c>
    </row>
    <row r="96" spans="2:14">
      <c r="B96" s="35"/>
      <c r="C96" s="35"/>
      <c r="D96" s="35"/>
      <c r="E96" s="35"/>
      <c r="F96" s="39"/>
      <c r="G96" s="187"/>
      <c r="H96" s="35"/>
      <c r="I96" s="20"/>
      <c r="J96" s="20"/>
      <c r="K96" s="20"/>
      <c r="L96" s="39"/>
      <c r="M96" s="20"/>
      <c r="N96" s="67">
        <f t="shared" si="1"/>
        <v>0</v>
      </c>
    </row>
    <row r="97" spans="2:14">
      <c r="B97" s="35"/>
      <c r="C97" s="35"/>
      <c r="D97" s="35"/>
      <c r="E97" s="35"/>
      <c r="F97" s="39"/>
      <c r="G97" s="187"/>
      <c r="H97" s="35"/>
      <c r="I97" s="20"/>
      <c r="J97" s="20"/>
      <c r="K97" s="20"/>
      <c r="L97" s="39"/>
      <c r="M97" s="20"/>
      <c r="N97" s="67">
        <f t="shared" si="1"/>
        <v>0</v>
      </c>
    </row>
    <row r="98" spans="2:14">
      <c r="B98" s="35"/>
      <c r="C98" s="35"/>
      <c r="D98" s="35"/>
      <c r="E98" s="35"/>
      <c r="F98" s="39"/>
      <c r="G98" s="187"/>
      <c r="H98" s="35"/>
      <c r="I98" s="20"/>
      <c r="J98" s="20"/>
      <c r="K98" s="20"/>
      <c r="L98" s="39"/>
      <c r="M98" s="20"/>
      <c r="N98" s="67">
        <f t="shared" si="1"/>
        <v>0</v>
      </c>
    </row>
    <row r="99" spans="2:14">
      <c r="B99" s="35"/>
      <c r="C99" s="35"/>
      <c r="D99" s="35"/>
      <c r="E99" s="35"/>
      <c r="F99" s="39"/>
      <c r="G99" s="187"/>
      <c r="H99" s="35"/>
      <c r="I99" s="20"/>
      <c r="J99" s="20"/>
      <c r="K99" s="20"/>
      <c r="L99" s="39"/>
      <c r="M99" s="20"/>
      <c r="N99" s="67">
        <f t="shared" si="1"/>
        <v>0</v>
      </c>
    </row>
    <row r="100" spans="2:14">
      <c r="B100" s="35"/>
      <c r="C100" s="35"/>
      <c r="D100" s="35"/>
      <c r="E100" s="35"/>
      <c r="F100" s="39"/>
      <c r="G100" s="187"/>
      <c r="H100" s="35"/>
      <c r="I100" s="20"/>
      <c r="J100" s="20"/>
      <c r="K100" s="20"/>
      <c r="L100" s="39"/>
      <c r="M100" s="20"/>
      <c r="N100" s="67">
        <f t="shared" si="1"/>
        <v>0</v>
      </c>
    </row>
    <row r="101" spans="2:14">
      <c r="B101" s="35"/>
      <c r="C101" s="35"/>
      <c r="D101" s="35"/>
      <c r="E101" s="35"/>
      <c r="F101" s="39"/>
      <c r="G101" s="187"/>
      <c r="H101" s="35"/>
      <c r="I101" s="20"/>
      <c r="J101" s="20"/>
      <c r="K101" s="20"/>
      <c r="L101" s="39"/>
      <c r="M101" s="20"/>
      <c r="N101" s="67">
        <f t="shared" si="1"/>
        <v>0</v>
      </c>
    </row>
    <row r="102" spans="2:14">
      <c r="B102" s="35"/>
      <c r="C102" s="35"/>
      <c r="D102" s="35"/>
      <c r="E102" s="35"/>
      <c r="F102" s="39"/>
      <c r="G102" s="187"/>
      <c r="H102" s="35"/>
      <c r="I102" s="20"/>
      <c r="J102" s="20"/>
      <c r="K102" s="20"/>
      <c r="L102" s="39"/>
      <c r="M102" s="20"/>
      <c r="N102" s="67">
        <f t="shared" si="1"/>
        <v>0</v>
      </c>
    </row>
    <row r="103" spans="2:14">
      <c r="B103" s="35"/>
      <c r="C103" s="35"/>
      <c r="D103" s="35"/>
      <c r="E103" s="35"/>
      <c r="F103" s="39"/>
      <c r="G103" s="187"/>
      <c r="H103" s="35"/>
      <c r="I103" s="20"/>
      <c r="J103" s="20"/>
      <c r="K103" s="20"/>
      <c r="L103" s="39"/>
      <c r="M103" s="20"/>
      <c r="N103" s="67">
        <f t="shared" si="1"/>
        <v>0</v>
      </c>
    </row>
    <row r="104" spans="2:14">
      <c r="B104" s="35"/>
      <c r="C104" s="35"/>
      <c r="D104" s="35"/>
      <c r="E104" s="35"/>
      <c r="F104" s="39"/>
      <c r="G104" s="187"/>
      <c r="H104" s="35"/>
      <c r="I104" s="20"/>
      <c r="J104" s="20"/>
      <c r="K104" s="20"/>
      <c r="L104" s="39"/>
      <c r="M104" s="20"/>
      <c r="N104" s="67">
        <f t="shared" si="1"/>
        <v>0</v>
      </c>
    </row>
    <row r="105" spans="2:14">
      <c r="B105" s="35"/>
      <c r="C105" s="35"/>
      <c r="D105" s="35"/>
      <c r="E105" s="35"/>
      <c r="F105" s="39"/>
      <c r="G105" s="187"/>
      <c r="H105" s="35"/>
      <c r="I105" s="20"/>
      <c r="J105" s="20"/>
      <c r="K105" s="20"/>
      <c r="L105" s="39"/>
      <c r="M105" s="20"/>
      <c r="N105" s="67">
        <f t="shared" si="1"/>
        <v>0</v>
      </c>
    </row>
    <row r="106" spans="2:14">
      <c r="B106" s="35"/>
      <c r="C106" s="35"/>
      <c r="D106" s="35"/>
      <c r="E106" s="35"/>
      <c r="F106" s="39"/>
      <c r="G106" s="187"/>
      <c r="H106" s="35"/>
      <c r="I106" s="20"/>
      <c r="J106" s="20"/>
      <c r="K106" s="20"/>
      <c r="L106" s="39"/>
      <c r="M106" s="20"/>
      <c r="N106" s="67">
        <f t="shared" si="1"/>
        <v>0</v>
      </c>
    </row>
    <row r="107" spans="2:14">
      <c r="B107" s="35"/>
      <c r="C107" s="35"/>
      <c r="D107" s="35"/>
      <c r="E107" s="35"/>
      <c r="F107" s="39"/>
      <c r="G107" s="187"/>
      <c r="H107" s="35"/>
      <c r="I107" s="20"/>
      <c r="J107" s="20"/>
      <c r="K107" s="20"/>
      <c r="L107" s="39"/>
      <c r="M107" s="20"/>
      <c r="N107" s="67">
        <f t="shared" si="1"/>
        <v>0</v>
      </c>
    </row>
    <row r="108" spans="2:14">
      <c r="B108" s="35"/>
      <c r="C108" s="35"/>
      <c r="D108" s="35"/>
      <c r="E108" s="35"/>
      <c r="F108" s="39"/>
      <c r="G108" s="187"/>
      <c r="H108" s="35"/>
      <c r="I108" s="20"/>
      <c r="J108" s="20"/>
      <c r="K108" s="20"/>
      <c r="L108" s="39"/>
      <c r="M108" s="20"/>
      <c r="N108" s="67">
        <f t="shared" si="1"/>
        <v>0</v>
      </c>
    </row>
    <row r="109" spans="2:14">
      <c r="B109" s="35"/>
      <c r="C109" s="35"/>
      <c r="D109" s="35"/>
      <c r="E109" s="35"/>
      <c r="F109" s="39"/>
      <c r="G109" s="187"/>
      <c r="H109" s="35"/>
      <c r="I109" s="20"/>
      <c r="J109" s="20"/>
      <c r="K109" s="20"/>
      <c r="L109" s="39"/>
      <c r="M109" s="20"/>
      <c r="N109" s="67">
        <f t="shared" si="1"/>
        <v>0</v>
      </c>
    </row>
    <row r="110" spans="2:14">
      <c r="B110" s="35"/>
      <c r="C110" s="35"/>
      <c r="D110" s="35"/>
      <c r="E110" s="35"/>
      <c r="F110" s="39"/>
      <c r="G110" s="187"/>
      <c r="H110" s="35"/>
      <c r="I110" s="20"/>
      <c r="J110" s="20"/>
      <c r="K110" s="20"/>
      <c r="L110" s="39"/>
      <c r="M110" s="20"/>
      <c r="N110" s="67">
        <f t="shared" si="1"/>
        <v>0</v>
      </c>
    </row>
    <row r="111" spans="2:14">
      <c r="B111" s="35"/>
      <c r="C111" s="35"/>
      <c r="D111" s="35"/>
      <c r="E111" s="35"/>
      <c r="F111" s="39"/>
      <c r="G111" s="187"/>
      <c r="H111" s="35"/>
      <c r="I111" s="20"/>
      <c r="J111" s="20"/>
      <c r="K111" s="20"/>
      <c r="L111" s="39"/>
      <c r="M111" s="20"/>
      <c r="N111" s="67">
        <f t="shared" si="1"/>
        <v>0</v>
      </c>
    </row>
    <row r="112" spans="2:14">
      <c r="B112" s="35"/>
      <c r="C112" s="35"/>
      <c r="D112" s="35"/>
      <c r="E112" s="35"/>
      <c r="F112" s="39"/>
      <c r="G112" s="187"/>
      <c r="H112" s="35"/>
      <c r="I112" s="20"/>
      <c r="J112" s="20"/>
      <c r="K112" s="20"/>
      <c r="L112" s="39"/>
      <c r="M112" s="20"/>
      <c r="N112" s="67">
        <f t="shared" si="1"/>
        <v>0</v>
      </c>
    </row>
    <row r="113" spans="2:14">
      <c r="B113" s="35"/>
      <c r="C113" s="35"/>
      <c r="D113" s="35"/>
      <c r="E113" s="35"/>
      <c r="F113" s="39"/>
      <c r="G113" s="187"/>
      <c r="H113" s="35"/>
      <c r="I113" s="20"/>
      <c r="J113" s="20"/>
      <c r="K113" s="20"/>
      <c r="L113" s="39"/>
      <c r="M113" s="20"/>
      <c r="N113" s="67">
        <f t="shared" si="1"/>
        <v>0</v>
      </c>
    </row>
    <row r="114" spans="2:14">
      <c r="B114" s="35"/>
      <c r="C114" s="35"/>
      <c r="D114" s="35"/>
      <c r="E114" s="35"/>
      <c r="F114" s="39"/>
      <c r="G114" s="187"/>
      <c r="H114" s="35"/>
      <c r="I114" s="20"/>
      <c r="J114" s="20"/>
      <c r="K114" s="20"/>
      <c r="L114" s="39"/>
      <c r="M114" s="20"/>
      <c r="N114" s="67">
        <f t="shared" si="1"/>
        <v>0</v>
      </c>
    </row>
    <row r="115" spans="2:14">
      <c r="B115" s="35"/>
      <c r="C115" s="35"/>
      <c r="D115" s="35"/>
      <c r="E115" s="35"/>
      <c r="F115" s="39"/>
      <c r="G115" s="187"/>
      <c r="H115" s="35"/>
      <c r="I115" s="20"/>
      <c r="J115" s="20"/>
      <c r="K115" s="20"/>
      <c r="L115" s="39"/>
      <c r="M115" s="20"/>
      <c r="N115" s="67">
        <f t="shared" si="1"/>
        <v>0</v>
      </c>
    </row>
    <row r="116" spans="2:14">
      <c r="B116" s="35"/>
      <c r="C116" s="35"/>
      <c r="D116" s="35"/>
      <c r="E116" s="35"/>
      <c r="F116" s="39"/>
      <c r="G116" s="187"/>
      <c r="H116" s="35"/>
      <c r="I116" s="20"/>
      <c r="J116" s="20"/>
      <c r="K116" s="20"/>
      <c r="L116" s="39"/>
      <c r="M116" s="20"/>
      <c r="N116" s="67">
        <f t="shared" si="1"/>
        <v>0</v>
      </c>
    </row>
    <row r="117" spans="2:14">
      <c r="B117" s="35"/>
      <c r="C117" s="35"/>
      <c r="D117" s="35"/>
      <c r="E117" s="35"/>
      <c r="F117" s="39"/>
      <c r="G117" s="187"/>
      <c r="H117" s="35"/>
      <c r="I117" s="20"/>
      <c r="J117" s="20"/>
      <c r="K117" s="20"/>
      <c r="L117" s="39"/>
      <c r="M117" s="20"/>
      <c r="N117" s="67">
        <f t="shared" si="1"/>
        <v>0</v>
      </c>
    </row>
    <row r="118" spans="2:14">
      <c r="B118" s="35"/>
      <c r="C118" s="35"/>
      <c r="D118" s="35"/>
      <c r="E118" s="35"/>
      <c r="F118" s="39"/>
      <c r="G118" s="187"/>
      <c r="H118" s="35"/>
      <c r="I118" s="20"/>
      <c r="J118" s="20"/>
      <c r="K118" s="20"/>
      <c r="L118" s="39"/>
      <c r="M118" s="20"/>
      <c r="N118" s="67">
        <f t="shared" si="1"/>
        <v>0</v>
      </c>
    </row>
    <row r="119" spans="2:14">
      <c r="B119" s="35"/>
      <c r="C119" s="35"/>
      <c r="D119" s="35"/>
      <c r="E119" s="35"/>
      <c r="F119" s="39"/>
      <c r="G119" s="187"/>
      <c r="H119" s="35"/>
      <c r="I119" s="20"/>
      <c r="J119" s="20"/>
      <c r="K119" s="20"/>
      <c r="L119" s="39"/>
      <c r="M119" s="20"/>
      <c r="N119" s="67">
        <f t="shared" si="1"/>
        <v>0</v>
      </c>
    </row>
    <row r="120" spans="2:14">
      <c r="B120" s="35"/>
      <c r="C120" s="35"/>
      <c r="D120" s="35"/>
      <c r="E120" s="35"/>
      <c r="F120" s="39"/>
      <c r="G120" s="187"/>
      <c r="H120" s="35"/>
      <c r="I120" s="20"/>
      <c r="J120" s="20"/>
      <c r="K120" s="20"/>
      <c r="L120" s="39"/>
      <c r="M120" s="20"/>
      <c r="N120" s="67">
        <f t="shared" si="1"/>
        <v>0</v>
      </c>
    </row>
    <row r="121" spans="2:14">
      <c r="B121" s="35"/>
      <c r="C121" s="35"/>
      <c r="D121" s="35"/>
      <c r="E121" s="35"/>
      <c r="F121" s="39"/>
      <c r="G121" s="187"/>
      <c r="H121" s="35"/>
      <c r="I121" s="20"/>
      <c r="J121" s="20"/>
      <c r="K121" s="20"/>
      <c r="L121" s="39"/>
      <c r="M121" s="20"/>
      <c r="N121" s="67">
        <f t="shared" si="1"/>
        <v>0</v>
      </c>
    </row>
    <row r="122" spans="2:14">
      <c r="B122" s="35"/>
      <c r="C122" s="35"/>
      <c r="D122" s="35"/>
      <c r="E122" s="35"/>
      <c r="F122" s="39"/>
      <c r="G122" s="187"/>
      <c r="H122" s="35"/>
      <c r="I122" s="20"/>
      <c r="J122" s="20"/>
      <c r="K122" s="20"/>
      <c r="L122" s="39"/>
      <c r="M122" s="20"/>
      <c r="N122" s="67">
        <f t="shared" si="1"/>
        <v>0</v>
      </c>
    </row>
    <row r="123" spans="2:14">
      <c r="B123" s="35"/>
      <c r="C123" s="35"/>
      <c r="D123" s="35"/>
      <c r="E123" s="35"/>
      <c r="F123" s="39"/>
      <c r="G123" s="187"/>
      <c r="H123" s="35"/>
      <c r="I123" s="20"/>
      <c r="J123" s="20"/>
      <c r="K123" s="20"/>
      <c r="L123" s="39"/>
      <c r="M123" s="20"/>
      <c r="N123" s="67">
        <f t="shared" si="1"/>
        <v>0</v>
      </c>
    </row>
    <row r="124" spans="2:14">
      <c r="B124" s="35"/>
      <c r="C124" s="35"/>
      <c r="D124" s="35"/>
      <c r="E124" s="35"/>
      <c r="F124" s="39"/>
      <c r="G124" s="187"/>
      <c r="H124" s="35"/>
      <c r="I124" s="20"/>
      <c r="J124" s="20"/>
      <c r="K124" s="20"/>
      <c r="L124" s="39"/>
      <c r="M124" s="20"/>
      <c r="N124" s="67">
        <f t="shared" si="1"/>
        <v>0</v>
      </c>
    </row>
    <row r="125" spans="2:14">
      <c r="B125" s="35"/>
      <c r="C125" s="35"/>
      <c r="D125" s="35"/>
      <c r="E125" s="35"/>
      <c r="F125" s="39"/>
      <c r="G125" s="187"/>
      <c r="H125" s="35"/>
      <c r="I125" s="20"/>
      <c r="J125" s="20"/>
      <c r="K125" s="20"/>
      <c r="L125" s="39"/>
      <c r="M125" s="20"/>
      <c r="N125" s="67">
        <f t="shared" si="1"/>
        <v>0</v>
      </c>
    </row>
    <row r="126" spans="2:14">
      <c r="B126" s="35"/>
      <c r="C126" s="35"/>
      <c r="D126" s="35"/>
      <c r="E126" s="35"/>
      <c r="F126" s="39"/>
      <c r="G126" s="187"/>
      <c r="H126" s="35"/>
      <c r="I126" s="20"/>
      <c r="J126" s="20"/>
      <c r="K126" s="20"/>
      <c r="L126" s="39"/>
      <c r="M126" s="20"/>
      <c r="N126" s="67">
        <f t="shared" si="1"/>
        <v>0</v>
      </c>
    </row>
    <row r="127" spans="2:14">
      <c r="B127" s="35"/>
      <c r="C127" s="35"/>
      <c r="D127" s="35"/>
      <c r="E127" s="35"/>
      <c r="F127" s="39"/>
      <c r="G127" s="187"/>
      <c r="H127" s="35"/>
      <c r="I127" s="20"/>
      <c r="J127" s="20"/>
      <c r="K127" s="20"/>
      <c r="L127" s="39"/>
      <c r="M127" s="20"/>
      <c r="N127" s="67">
        <f t="shared" si="1"/>
        <v>0</v>
      </c>
    </row>
    <row r="128" spans="2:14">
      <c r="B128" s="35"/>
      <c r="C128" s="35"/>
      <c r="D128" s="35"/>
      <c r="E128" s="35"/>
      <c r="F128" s="39"/>
      <c r="G128" s="187"/>
      <c r="H128" s="35"/>
      <c r="I128" s="20"/>
      <c r="J128" s="20"/>
      <c r="K128" s="20"/>
      <c r="L128" s="39"/>
      <c r="M128" s="20"/>
      <c r="N128" s="67">
        <f t="shared" si="1"/>
        <v>0</v>
      </c>
    </row>
    <row r="129" spans="2:14">
      <c r="B129" s="35"/>
      <c r="C129" s="35"/>
      <c r="D129" s="35"/>
      <c r="E129" s="35"/>
      <c r="F129" s="39"/>
      <c r="G129" s="187"/>
      <c r="H129" s="35"/>
      <c r="I129" s="20"/>
      <c r="J129" s="20"/>
      <c r="K129" s="20"/>
      <c r="L129" s="39"/>
      <c r="M129" s="20"/>
      <c r="N129" s="67">
        <f t="shared" si="1"/>
        <v>0</v>
      </c>
    </row>
    <row r="130" spans="2:14">
      <c r="B130" s="35"/>
      <c r="C130" s="35"/>
      <c r="D130" s="35"/>
      <c r="E130" s="35"/>
      <c r="F130" s="39"/>
      <c r="G130" s="187"/>
      <c r="H130" s="35"/>
      <c r="I130" s="20"/>
      <c r="J130" s="20"/>
      <c r="K130" s="20"/>
      <c r="L130" s="39"/>
      <c r="M130" s="20"/>
      <c r="N130" s="67">
        <f t="shared" si="1"/>
        <v>0</v>
      </c>
    </row>
    <row r="131" spans="2:14">
      <c r="B131" s="35"/>
      <c r="C131" s="35"/>
      <c r="D131" s="35"/>
      <c r="E131" s="35"/>
      <c r="F131" s="39"/>
      <c r="G131" s="187"/>
      <c r="H131" s="35"/>
      <c r="I131" s="20"/>
      <c r="J131" s="20"/>
      <c r="K131" s="20"/>
      <c r="L131" s="39"/>
      <c r="M131" s="20"/>
      <c r="N131" s="67">
        <f t="shared" si="1"/>
        <v>0</v>
      </c>
    </row>
    <row r="132" spans="2:14">
      <c r="B132" s="35"/>
      <c r="C132" s="35"/>
      <c r="D132" s="35"/>
      <c r="E132" s="35"/>
      <c r="F132" s="39"/>
      <c r="G132" s="187"/>
      <c r="H132" s="35"/>
      <c r="I132" s="20"/>
      <c r="J132" s="20"/>
      <c r="K132" s="20"/>
      <c r="L132" s="39"/>
      <c r="M132" s="20"/>
      <c r="N132" s="67">
        <f t="shared" si="1"/>
        <v>0</v>
      </c>
    </row>
    <row r="133" spans="2:14">
      <c r="B133" s="35"/>
      <c r="C133" s="35"/>
      <c r="D133" s="35"/>
      <c r="E133" s="35"/>
      <c r="F133" s="39"/>
      <c r="G133" s="187"/>
      <c r="H133" s="35"/>
      <c r="I133" s="20"/>
      <c r="J133" s="20"/>
      <c r="K133" s="20"/>
      <c r="L133" s="39"/>
      <c r="M133" s="20"/>
      <c r="N133" s="67">
        <f t="shared" si="1"/>
        <v>0</v>
      </c>
    </row>
    <row r="134" spans="2:14">
      <c r="B134" s="35"/>
      <c r="C134" s="35"/>
      <c r="D134" s="35"/>
      <c r="E134" s="35"/>
      <c r="F134" s="39"/>
      <c r="G134" s="187"/>
      <c r="H134" s="35"/>
      <c r="I134" s="20"/>
      <c r="J134" s="20"/>
      <c r="K134" s="20"/>
      <c r="L134" s="39"/>
      <c r="M134" s="20"/>
      <c r="N134" s="67">
        <f t="shared" si="1"/>
        <v>0</v>
      </c>
    </row>
    <row r="135" spans="2:14">
      <c r="B135" s="35"/>
      <c r="C135" s="35"/>
      <c r="D135" s="35"/>
      <c r="E135" s="35"/>
      <c r="F135" s="39"/>
      <c r="G135" s="187"/>
      <c r="H135" s="35"/>
      <c r="I135" s="20"/>
      <c r="J135" s="20"/>
      <c r="K135" s="20"/>
      <c r="L135" s="39"/>
      <c r="M135" s="20"/>
      <c r="N135" s="67">
        <f t="shared" si="1"/>
        <v>0</v>
      </c>
    </row>
    <row r="136" spans="2:14">
      <c r="B136" s="35"/>
      <c r="C136" s="35"/>
      <c r="D136" s="35"/>
      <c r="E136" s="35"/>
      <c r="F136" s="39"/>
      <c r="G136" s="187"/>
      <c r="H136" s="35"/>
      <c r="I136" s="20"/>
      <c r="J136" s="20"/>
      <c r="K136" s="20"/>
      <c r="L136" s="39"/>
      <c r="M136" s="20"/>
      <c r="N136" s="67">
        <f t="shared" si="1"/>
        <v>0</v>
      </c>
    </row>
    <row r="137" spans="2:14">
      <c r="B137" s="35"/>
      <c r="C137" s="35"/>
      <c r="D137" s="35"/>
      <c r="E137" s="35"/>
      <c r="F137" s="39"/>
      <c r="G137" s="187"/>
      <c r="H137" s="35"/>
      <c r="I137" s="20"/>
      <c r="J137" s="20"/>
      <c r="K137" s="20"/>
      <c r="L137" s="39"/>
      <c r="M137" s="20"/>
      <c r="N137" s="67">
        <f t="shared" si="1"/>
        <v>0</v>
      </c>
    </row>
    <row r="138" spans="2:14">
      <c r="B138" s="35"/>
      <c r="C138" s="35"/>
      <c r="D138" s="35"/>
      <c r="E138" s="35"/>
      <c r="F138" s="39"/>
      <c r="G138" s="187"/>
      <c r="H138" s="35"/>
      <c r="I138" s="20"/>
      <c r="J138" s="20"/>
      <c r="K138" s="20"/>
      <c r="L138" s="39"/>
      <c r="M138" s="20"/>
      <c r="N138" s="67">
        <f t="shared" si="1"/>
        <v>0</v>
      </c>
    </row>
    <row r="139" spans="2:14">
      <c r="B139" s="35"/>
      <c r="C139" s="35"/>
      <c r="D139" s="35"/>
      <c r="E139" s="35"/>
      <c r="F139" s="39"/>
      <c r="G139" s="187"/>
      <c r="H139" s="35"/>
      <c r="I139" s="20"/>
      <c r="J139" s="20"/>
      <c r="K139" s="20"/>
      <c r="L139" s="39"/>
      <c r="M139" s="20"/>
      <c r="N139" s="67">
        <f t="shared" ref="N139:N202" si="2">IF(ISBLANK(B139),0%,(IF($K$4=$L$10,$M$4-L139,IF($K$4=$G$10, $M$4-G139,_xlfn.XLOOKUP($K$4,$B$10:$M$10,B139:M139,,0)))/$M$4)*$L$4+(IF($K$5=$L$10,$M$5-L139,IF($K$5=$G$10, $M$5-G139, _xlfn.XLOOKUP($K$5,$B$10:$M$10,B139:M139,,0)))/$M$5)*$L$5+(IF($K$6=$L$10,$M$6-L139,IF($K$6=$G$10,$M$6-G139,_xlfn.XLOOKUP($K$6,$B$10:$M$10,B139:M139,,0)))/$M$6)*$L$6)</f>
        <v>0</v>
      </c>
    </row>
    <row r="140" spans="2:14">
      <c r="B140" s="35"/>
      <c r="C140" s="35"/>
      <c r="D140" s="35"/>
      <c r="E140" s="35"/>
      <c r="F140" s="39"/>
      <c r="G140" s="187"/>
      <c r="H140" s="35"/>
      <c r="I140" s="20"/>
      <c r="J140" s="20"/>
      <c r="K140" s="20"/>
      <c r="L140" s="39"/>
      <c r="M140" s="20"/>
      <c r="N140" s="67">
        <f t="shared" si="2"/>
        <v>0</v>
      </c>
    </row>
    <row r="141" spans="2:14">
      <c r="B141" s="35"/>
      <c r="C141" s="35"/>
      <c r="D141" s="35"/>
      <c r="E141" s="35"/>
      <c r="F141" s="39"/>
      <c r="G141" s="187"/>
      <c r="H141" s="35"/>
      <c r="I141" s="20"/>
      <c r="J141" s="20"/>
      <c r="K141" s="20"/>
      <c r="L141" s="39"/>
      <c r="M141" s="20"/>
      <c r="N141" s="67">
        <f t="shared" si="2"/>
        <v>0</v>
      </c>
    </row>
    <row r="142" spans="2:14">
      <c r="B142" s="35"/>
      <c r="C142" s="35"/>
      <c r="D142" s="35"/>
      <c r="E142" s="35"/>
      <c r="F142" s="39"/>
      <c r="G142" s="187"/>
      <c r="H142" s="35"/>
      <c r="I142" s="20"/>
      <c r="J142" s="20"/>
      <c r="K142" s="20"/>
      <c r="L142" s="39"/>
      <c r="M142" s="20"/>
      <c r="N142" s="67">
        <f t="shared" si="2"/>
        <v>0</v>
      </c>
    </row>
    <row r="143" spans="2:14">
      <c r="B143" s="35"/>
      <c r="C143" s="35"/>
      <c r="D143" s="35"/>
      <c r="E143" s="35"/>
      <c r="F143" s="39"/>
      <c r="G143" s="187"/>
      <c r="H143" s="35"/>
      <c r="I143" s="20"/>
      <c r="J143" s="20"/>
      <c r="K143" s="20"/>
      <c r="L143" s="39"/>
      <c r="M143" s="20"/>
      <c r="N143" s="67">
        <f t="shared" si="2"/>
        <v>0</v>
      </c>
    </row>
    <row r="144" spans="2:14">
      <c r="B144" s="35"/>
      <c r="C144" s="35"/>
      <c r="D144" s="35"/>
      <c r="E144" s="35"/>
      <c r="F144" s="39"/>
      <c r="G144" s="187"/>
      <c r="H144" s="35"/>
      <c r="I144" s="20"/>
      <c r="J144" s="20"/>
      <c r="K144" s="20"/>
      <c r="L144" s="39"/>
      <c r="M144" s="20"/>
      <c r="N144" s="67">
        <f t="shared" si="2"/>
        <v>0</v>
      </c>
    </row>
    <row r="145" spans="2:14">
      <c r="B145" s="35"/>
      <c r="C145" s="35"/>
      <c r="D145" s="35"/>
      <c r="E145" s="35"/>
      <c r="F145" s="39"/>
      <c r="G145" s="187"/>
      <c r="H145" s="35"/>
      <c r="I145" s="20"/>
      <c r="J145" s="20"/>
      <c r="K145" s="20"/>
      <c r="L145" s="39"/>
      <c r="M145" s="20"/>
      <c r="N145" s="67">
        <f t="shared" si="2"/>
        <v>0</v>
      </c>
    </row>
    <row r="146" spans="2:14">
      <c r="B146" s="35"/>
      <c r="C146" s="35"/>
      <c r="D146" s="35"/>
      <c r="E146" s="35"/>
      <c r="F146" s="39"/>
      <c r="G146" s="187"/>
      <c r="H146" s="35"/>
      <c r="I146" s="20"/>
      <c r="J146" s="20"/>
      <c r="K146" s="20"/>
      <c r="L146" s="39"/>
      <c r="M146" s="20"/>
      <c r="N146" s="67">
        <f t="shared" si="2"/>
        <v>0</v>
      </c>
    </row>
    <row r="147" spans="2:14">
      <c r="B147" s="35"/>
      <c r="C147" s="35"/>
      <c r="D147" s="35"/>
      <c r="E147" s="35"/>
      <c r="F147" s="39"/>
      <c r="G147" s="187"/>
      <c r="H147" s="35"/>
      <c r="I147" s="20"/>
      <c r="J147" s="20"/>
      <c r="K147" s="20"/>
      <c r="L147" s="39"/>
      <c r="M147" s="20"/>
      <c r="N147" s="67">
        <f t="shared" si="2"/>
        <v>0</v>
      </c>
    </row>
    <row r="148" spans="2:14">
      <c r="B148" s="35"/>
      <c r="C148" s="35"/>
      <c r="D148" s="35"/>
      <c r="E148" s="35"/>
      <c r="F148" s="39"/>
      <c r="G148" s="187"/>
      <c r="H148" s="35"/>
      <c r="I148" s="20"/>
      <c r="J148" s="20"/>
      <c r="K148" s="20"/>
      <c r="L148" s="39"/>
      <c r="M148" s="20"/>
      <c r="N148" s="67">
        <f t="shared" si="2"/>
        <v>0</v>
      </c>
    </row>
    <row r="149" spans="2:14">
      <c r="B149" s="35"/>
      <c r="C149" s="35"/>
      <c r="D149" s="35"/>
      <c r="E149" s="35"/>
      <c r="F149" s="39"/>
      <c r="G149" s="187"/>
      <c r="H149" s="35"/>
      <c r="I149" s="20"/>
      <c r="J149" s="20"/>
      <c r="K149" s="20"/>
      <c r="L149" s="39"/>
      <c r="M149" s="20"/>
      <c r="N149" s="67">
        <f t="shared" si="2"/>
        <v>0</v>
      </c>
    </row>
    <row r="150" spans="2:14">
      <c r="B150" s="35"/>
      <c r="C150" s="35"/>
      <c r="D150" s="35"/>
      <c r="E150" s="35"/>
      <c r="F150" s="39"/>
      <c r="G150" s="187"/>
      <c r="H150" s="35"/>
      <c r="I150" s="20"/>
      <c r="J150" s="20"/>
      <c r="K150" s="20"/>
      <c r="L150" s="39"/>
      <c r="M150" s="20"/>
      <c r="N150" s="67">
        <f t="shared" si="2"/>
        <v>0</v>
      </c>
    </row>
    <row r="151" spans="2:14">
      <c r="B151" s="35"/>
      <c r="C151" s="35"/>
      <c r="D151" s="35"/>
      <c r="E151" s="35"/>
      <c r="F151" s="39"/>
      <c r="G151" s="187"/>
      <c r="H151" s="35"/>
      <c r="I151" s="20"/>
      <c r="J151" s="20"/>
      <c r="K151" s="20"/>
      <c r="L151" s="39"/>
      <c r="M151" s="20"/>
      <c r="N151" s="67">
        <f t="shared" si="2"/>
        <v>0</v>
      </c>
    </row>
    <row r="152" spans="2:14">
      <c r="B152" s="35"/>
      <c r="C152" s="35"/>
      <c r="D152" s="35"/>
      <c r="E152" s="35"/>
      <c r="F152" s="39"/>
      <c r="G152" s="187"/>
      <c r="H152" s="35"/>
      <c r="I152" s="20"/>
      <c r="J152" s="20"/>
      <c r="K152" s="20"/>
      <c r="L152" s="39"/>
      <c r="M152" s="20"/>
      <c r="N152" s="67">
        <f t="shared" si="2"/>
        <v>0</v>
      </c>
    </row>
    <row r="153" spans="2:14">
      <c r="B153" s="35"/>
      <c r="C153" s="35"/>
      <c r="D153" s="35"/>
      <c r="E153" s="35"/>
      <c r="F153" s="39"/>
      <c r="G153" s="187"/>
      <c r="H153" s="35"/>
      <c r="I153" s="20"/>
      <c r="J153" s="20"/>
      <c r="K153" s="20"/>
      <c r="L153" s="39"/>
      <c r="M153" s="20"/>
      <c r="N153" s="67">
        <f t="shared" si="2"/>
        <v>0</v>
      </c>
    </row>
    <row r="154" spans="2:14">
      <c r="B154" s="35"/>
      <c r="C154" s="35"/>
      <c r="D154" s="35"/>
      <c r="E154" s="35"/>
      <c r="F154" s="39"/>
      <c r="G154" s="187"/>
      <c r="H154" s="35"/>
      <c r="I154" s="20"/>
      <c r="J154" s="20"/>
      <c r="K154" s="20"/>
      <c r="L154" s="39"/>
      <c r="M154" s="20"/>
      <c r="N154" s="67">
        <f t="shared" si="2"/>
        <v>0</v>
      </c>
    </row>
    <row r="155" spans="2:14">
      <c r="B155" s="35"/>
      <c r="C155" s="35"/>
      <c r="D155" s="35"/>
      <c r="E155" s="35"/>
      <c r="F155" s="39"/>
      <c r="G155" s="187"/>
      <c r="H155" s="35"/>
      <c r="I155" s="20"/>
      <c r="J155" s="20"/>
      <c r="K155" s="20"/>
      <c r="L155" s="39"/>
      <c r="M155" s="20"/>
      <c r="N155" s="67">
        <f t="shared" si="2"/>
        <v>0</v>
      </c>
    </row>
    <row r="156" spans="2:14">
      <c r="B156" s="35"/>
      <c r="C156" s="35"/>
      <c r="D156" s="35"/>
      <c r="E156" s="35"/>
      <c r="F156" s="39"/>
      <c r="G156" s="187"/>
      <c r="H156" s="35"/>
      <c r="I156" s="20"/>
      <c r="J156" s="20"/>
      <c r="K156" s="20"/>
      <c r="L156" s="39"/>
      <c r="M156" s="20"/>
      <c r="N156" s="67">
        <f t="shared" si="2"/>
        <v>0</v>
      </c>
    </row>
    <row r="157" spans="2:14">
      <c r="B157" s="35"/>
      <c r="C157" s="35"/>
      <c r="D157" s="35"/>
      <c r="E157" s="35"/>
      <c r="F157" s="39"/>
      <c r="G157" s="187"/>
      <c r="H157" s="35"/>
      <c r="I157" s="20"/>
      <c r="J157" s="20"/>
      <c r="K157" s="20"/>
      <c r="L157" s="39"/>
      <c r="M157" s="20"/>
      <c r="N157" s="67">
        <f t="shared" si="2"/>
        <v>0</v>
      </c>
    </row>
    <row r="158" spans="2:14">
      <c r="B158" s="35"/>
      <c r="C158" s="35"/>
      <c r="D158" s="35"/>
      <c r="E158" s="35"/>
      <c r="F158" s="39"/>
      <c r="G158" s="187"/>
      <c r="H158" s="35"/>
      <c r="I158" s="20"/>
      <c r="J158" s="20"/>
      <c r="K158" s="20"/>
      <c r="L158" s="39"/>
      <c r="M158" s="20"/>
      <c r="N158" s="67">
        <f t="shared" si="2"/>
        <v>0</v>
      </c>
    </row>
    <row r="159" spans="2:14">
      <c r="B159" s="35"/>
      <c r="C159" s="35"/>
      <c r="D159" s="35"/>
      <c r="E159" s="35"/>
      <c r="F159" s="39"/>
      <c r="G159" s="187"/>
      <c r="H159" s="35"/>
      <c r="I159" s="20"/>
      <c r="J159" s="20"/>
      <c r="K159" s="20"/>
      <c r="L159" s="39"/>
      <c r="M159" s="20"/>
      <c r="N159" s="67">
        <f t="shared" si="2"/>
        <v>0</v>
      </c>
    </row>
    <row r="160" spans="2:14">
      <c r="B160" s="35"/>
      <c r="C160" s="35"/>
      <c r="D160" s="35"/>
      <c r="E160" s="35"/>
      <c r="F160" s="39"/>
      <c r="G160" s="187"/>
      <c r="H160" s="35"/>
      <c r="I160" s="20"/>
      <c r="J160" s="20"/>
      <c r="K160" s="20"/>
      <c r="L160" s="39"/>
      <c r="M160" s="20"/>
      <c r="N160" s="67">
        <f t="shared" si="2"/>
        <v>0</v>
      </c>
    </row>
    <row r="161" spans="2:14">
      <c r="B161" s="35"/>
      <c r="C161" s="35"/>
      <c r="D161" s="35"/>
      <c r="E161" s="35"/>
      <c r="F161" s="39"/>
      <c r="G161" s="187"/>
      <c r="H161" s="35"/>
      <c r="I161" s="20"/>
      <c r="J161" s="20"/>
      <c r="K161" s="20"/>
      <c r="L161" s="39"/>
      <c r="M161" s="20"/>
      <c r="N161" s="67">
        <f t="shared" si="2"/>
        <v>0</v>
      </c>
    </row>
    <row r="162" spans="2:14">
      <c r="B162" s="35"/>
      <c r="C162" s="35"/>
      <c r="D162" s="35"/>
      <c r="E162" s="35"/>
      <c r="F162" s="39"/>
      <c r="G162" s="187"/>
      <c r="H162" s="35"/>
      <c r="I162" s="20"/>
      <c r="J162" s="20"/>
      <c r="K162" s="20"/>
      <c r="L162" s="39"/>
      <c r="M162" s="20"/>
      <c r="N162" s="67">
        <f t="shared" si="2"/>
        <v>0</v>
      </c>
    </row>
    <row r="163" spans="2:14">
      <c r="B163" s="35"/>
      <c r="C163" s="35"/>
      <c r="D163" s="35"/>
      <c r="E163" s="35"/>
      <c r="F163" s="39"/>
      <c r="G163" s="187"/>
      <c r="H163" s="35"/>
      <c r="I163" s="20"/>
      <c r="J163" s="20"/>
      <c r="K163" s="20"/>
      <c r="L163" s="39"/>
      <c r="M163" s="20"/>
      <c r="N163" s="67">
        <f t="shared" si="2"/>
        <v>0</v>
      </c>
    </row>
    <row r="164" spans="2:14">
      <c r="B164" s="35"/>
      <c r="C164" s="35"/>
      <c r="D164" s="35"/>
      <c r="E164" s="35"/>
      <c r="F164" s="39"/>
      <c r="G164" s="187"/>
      <c r="H164" s="35"/>
      <c r="I164" s="20"/>
      <c r="J164" s="20"/>
      <c r="K164" s="20"/>
      <c r="L164" s="39"/>
      <c r="M164" s="20"/>
      <c r="N164" s="67">
        <f t="shared" si="2"/>
        <v>0</v>
      </c>
    </row>
    <row r="165" spans="2:14">
      <c r="B165" s="35"/>
      <c r="C165" s="35"/>
      <c r="D165" s="35"/>
      <c r="E165" s="35"/>
      <c r="F165" s="39"/>
      <c r="G165" s="187"/>
      <c r="H165" s="35"/>
      <c r="I165" s="20"/>
      <c r="J165" s="20"/>
      <c r="K165" s="20"/>
      <c r="L165" s="39"/>
      <c r="M165" s="20"/>
      <c r="N165" s="67">
        <f t="shared" si="2"/>
        <v>0</v>
      </c>
    </row>
    <row r="166" spans="2:14">
      <c r="B166" s="35"/>
      <c r="C166" s="35"/>
      <c r="D166" s="35"/>
      <c r="E166" s="35"/>
      <c r="F166" s="39"/>
      <c r="G166" s="187"/>
      <c r="H166" s="35"/>
      <c r="I166" s="20"/>
      <c r="J166" s="20"/>
      <c r="K166" s="20"/>
      <c r="L166" s="39"/>
      <c r="M166" s="20"/>
      <c r="N166" s="67">
        <f t="shared" si="2"/>
        <v>0</v>
      </c>
    </row>
    <row r="167" spans="2:14">
      <c r="B167" s="35"/>
      <c r="C167" s="35"/>
      <c r="D167" s="35"/>
      <c r="E167" s="35"/>
      <c r="F167" s="39"/>
      <c r="G167" s="187"/>
      <c r="H167" s="35"/>
      <c r="I167" s="20"/>
      <c r="J167" s="20"/>
      <c r="K167" s="20"/>
      <c r="L167" s="39"/>
      <c r="M167" s="20"/>
      <c r="N167" s="67">
        <f t="shared" si="2"/>
        <v>0</v>
      </c>
    </row>
    <row r="168" spans="2:14">
      <c r="B168" s="35"/>
      <c r="C168" s="35"/>
      <c r="D168" s="35"/>
      <c r="E168" s="35"/>
      <c r="F168" s="39"/>
      <c r="G168" s="187"/>
      <c r="H168" s="35"/>
      <c r="I168" s="20"/>
      <c r="J168" s="20"/>
      <c r="K168" s="20"/>
      <c r="L168" s="39"/>
      <c r="M168" s="20"/>
      <c r="N168" s="67">
        <f t="shared" si="2"/>
        <v>0</v>
      </c>
    </row>
    <row r="169" spans="2:14">
      <c r="B169" s="35"/>
      <c r="C169" s="35"/>
      <c r="D169" s="35"/>
      <c r="E169" s="35"/>
      <c r="F169" s="39"/>
      <c r="G169" s="187"/>
      <c r="H169" s="35"/>
      <c r="I169" s="20"/>
      <c r="J169" s="20"/>
      <c r="K169" s="20"/>
      <c r="L169" s="39"/>
      <c r="M169" s="20"/>
      <c r="N169" s="67">
        <f t="shared" si="2"/>
        <v>0</v>
      </c>
    </row>
    <row r="170" spans="2:14">
      <c r="B170" s="35"/>
      <c r="C170" s="35"/>
      <c r="D170" s="35"/>
      <c r="E170" s="35"/>
      <c r="F170" s="39"/>
      <c r="G170" s="187"/>
      <c r="H170" s="35"/>
      <c r="I170" s="20"/>
      <c r="J170" s="20"/>
      <c r="K170" s="20"/>
      <c r="L170" s="39"/>
      <c r="M170" s="20"/>
      <c r="N170" s="67">
        <f t="shared" si="2"/>
        <v>0</v>
      </c>
    </row>
    <row r="171" spans="2:14">
      <c r="B171" s="35"/>
      <c r="C171" s="35"/>
      <c r="D171" s="35"/>
      <c r="E171" s="35"/>
      <c r="F171" s="39"/>
      <c r="G171" s="187"/>
      <c r="H171" s="35"/>
      <c r="I171" s="20"/>
      <c r="J171" s="20"/>
      <c r="K171" s="20"/>
      <c r="L171" s="39"/>
      <c r="M171" s="20"/>
      <c r="N171" s="67">
        <f t="shared" si="2"/>
        <v>0</v>
      </c>
    </row>
    <row r="172" spans="2:14">
      <c r="B172" s="35"/>
      <c r="C172" s="35"/>
      <c r="D172" s="35"/>
      <c r="E172" s="35"/>
      <c r="F172" s="39"/>
      <c r="G172" s="187"/>
      <c r="H172" s="35"/>
      <c r="I172" s="20"/>
      <c r="J172" s="20"/>
      <c r="K172" s="20"/>
      <c r="L172" s="39"/>
      <c r="M172" s="20"/>
      <c r="N172" s="67">
        <f t="shared" si="2"/>
        <v>0</v>
      </c>
    </row>
    <row r="173" spans="2:14">
      <c r="B173" s="35"/>
      <c r="C173" s="35"/>
      <c r="D173" s="35"/>
      <c r="E173" s="35"/>
      <c r="F173" s="39"/>
      <c r="G173" s="187"/>
      <c r="H173" s="35"/>
      <c r="I173" s="20"/>
      <c r="J173" s="20"/>
      <c r="K173" s="20"/>
      <c r="L173" s="39"/>
      <c r="M173" s="20"/>
      <c r="N173" s="67">
        <f t="shared" si="2"/>
        <v>0</v>
      </c>
    </row>
    <row r="174" spans="2:14">
      <c r="B174" s="35"/>
      <c r="C174" s="35"/>
      <c r="D174" s="35"/>
      <c r="E174" s="35"/>
      <c r="F174" s="39"/>
      <c r="G174" s="187"/>
      <c r="H174" s="35"/>
      <c r="I174" s="20"/>
      <c r="J174" s="20"/>
      <c r="K174" s="20"/>
      <c r="L174" s="39"/>
      <c r="M174" s="20"/>
      <c r="N174" s="67">
        <f t="shared" si="2"/>
        <v>0</v>
      </c>
    </row>
    <row r="175" spans="2:14">
      <c r="B175" s="35"/>
      <c r="C175" s="35"/>
      <c r="D175" s="35"/>
      <c r="E175" s="35"/>
      <c r="F175" s="39"/>
      <c r="G175" s="187"/>
      <c r="H175" s="35"/>
      <c r="I175" s="20"/>
      <c r="J175" s="20"/>
      <c r="K175" s="20"/>
      <c r="L175" s="39"/>
      <c r="M175" s="20"/>
      <c r="N175" s="67">
        <f t="shared" si="2"/>
        <v>0</v>
      </c>
    </row>
    <row r="176" spans="2:14">
      <c r="B176" s="35"/>
      <c r="C176" s="35"/>
      <c r="D176" s="35"/>
      <c r="E176" s="35"/>
      <c r="F176" s="39"/>
      <c r="G176" s="187"/>
      <c r="H176" s="35"/>
      <c r="I176" s="20"/>
      <c r="J176" s="20"/>
      <c r="K176" s="20"/>
      <c r="L176" s="39"/>
      <c r="M176" s="20"/>
      <c r="N176" s="67">
        <f t="shared" si="2"/>
        <v>0</v>
      </c>
    </row>
    <row r="177" spans="2:14">
      <c r="B177" s="35"/>
      <c r="C177" s="35"/>
      <c r="D177" s="35"/>
      <c r="E177" s="35"/>
      <c r="F177" s="39"/>
      <c r="G177" s="187"/>
      <c r="H177" s="35"/>
      <c r="I177" s="20"/>
      <c r="J177" s="20"/>
      <c r="K177" s="20"/>
      <c r="L177" s="39"/>
      <c r="M177" s="20"/>
      <c r="N177" s="67">
        <f t="shared" si="2"/>
        <v>0</v>
      </c>
    </row>
    <row r="178" spans="2:14">
      <c r="B178" s="35"/>
      <c r="C178" s="35"/>
      <c r="D178" s="35"/>
      <c r="E178" s="35"/>
      <c r="F178" s="39"/>
      <c r="G178" s="187"/>
      <c r="H178" s="35"/>
      <c r="I178" s="20"/>
      <c r="J178" s="20"/>
      <c r="K178" s="20"/>
      <c r="L178" s="39"/>
      <c r="M178" s="20"/>
      <c r="N178" s="67">
        <f t="shared" si="2"/>
        <v>0</v>
      </c>
    </row>
    <row r="179" spans="2:14">
      <c r="B179" s="35"/>
      <c r="C179" s="35"/>
      <c r="D179" s="35"/>
      <c r="E179" s="35"/>
      <c r="F179" s="39"/>
      <c r="G179" s="187"/>
      <c r="H179" s="35"/>
      <c r="I179" s="20"/>
      <c r="J179" s="20"/>
      <c r="K179" s="20"/>
      <c r="L179" s="39"/>
      <c r="M179" s="20"/>
      <c r="N179" s="67">
        <f t="shared" si="2"/>
        <v>0</v>
      </c>
    </row>
    <row r="180" spans="2:14">
      <c r="B180" s="35"/>
      <c r="C180" s="35"/>
      <c r="D180" s="35"/>
      <c r="E180" s="35"/>
      <c r="F180" s="39"/>
      <c r="G180" s="187"/>
      <c r="H180" s="35"/>
      <c r="I180" s="20"/>
      <c r="J180" s="20"/>
      <c r="K180" s="20"/>
      <c r="L180" s="39"/>
      <c r="M180" s="20"/>
      <c r="N180" s="67">
        <f t="shared" si="2"/>
        <v>0</v>
      </c>
    </row>
    <row r="181" spans="2:14">
      <c r="B181" s="35"/>
      <c r="C181" s="35"/>
      <c r="D181" s="35"/>
      <c r="E181" s="35"/>
      <c r="F181" s="39"/>
      <c r="G181" s="187"/>
      <c r="H181" s="35"/>
      <c r="I181" s="20"/>
      <c r="J181" s="20"/>
      <c r="K181" s="20"/>
      <c r="L181" s="39"/>
      <c r="M181" s="20"/>
      <c r="N181" s="67">
        <f t="shared" si="2"/>
        <v>0</v>
      </c>
    </row>
    <row r="182" spans="2:14">
      <c r="B182" s="35"/>
      <c r="C182" s="35"/>
      <c r="D182" s="35"/>
      <c r="E182" s="35"/>
      <c r="F182" s="39"/>
      <c r="G182" s="187"/>
      <c r="H182" s="35"/>
      <c r="I182" s="20"/>
      <c r="J182" s="20"/>
      <c r="K182" s="20"/>
      <c r="L182" s="39"/>
      <c r="M182" s="20"/>
      <c r="N182" s="67">
        <f t="shared" si="2"/>
        <v>0</v>
      </c>
    </row>
    <row r="183" spans="2:14">
      <c r="B183" s="35"/>
      <c r="C183" s="35"/>
      <c r="D183" s="35"/>
      <c r="E183" s="35"/>
      <c r="F183" s="39"/>
      <c r="G183" s="187"/>
      <c r="H183" s="35"/>
      <c r="I183" s="20"/>
      <c r="J183" s="20"/>
      <c r="K183" s="20"/>
      <c r="L183" s="39"/>
      <c r="M183" s="20"/>
      <c r="N183" s="67">
        <f t="shared" si="2"/>
        <v>0</v>
      </c>
    </row>
    <row r="184" spans="2:14">
      <c r="B184" s="35"/>
      <c r="C184" s="35"/>
      <c r="D184" s="35"/>
      <c r="E184" s="35"/>
      <c r="F184" s="39"/>
      <c r="G184" s="187"/>
      <c r="H184" s="35"/>
      <c r="I184" s="20"/>
      <c r="J184" s="20"/>
      <c r="K184" s="20"/>
      <c r="L184" s="39"/>
      <c r="M184" s="20"/>
      <c r="N184" s="67">
        <f t="shared" si="2"/>
        <v>0</v>
      </c>
    </row>
    <row r="185" spans="2:14">
      <c r="B185" s="35"/>
      <c r="C185" s="35"/>
      <c r="D185" s="35"/>
      <c r="E185" s="35"/>
      <c r="F185" s="39"/>
      <c r="G185" s="187"/>
      <c r="H185" s="35"/>
      <c r="I185" s="20"/>
      <c r="J185" s="20"/>
      <c r="K185" s="20"/>
      <c r="L185" s="39"/>
      <c r="M185" s="20"/>
      <c r="N185" s="67">
        <f t="shared" si="2"/>
        <v>0</v>
      </c>
    </row>
    <row r="186" spans="2:14">
      <c r="B186" s="35"/>
      <c r="C186" s="35"/>
      <c r="D186" s="35"/>
      <c r="E186" s="35"/>
      <c r="F186" s="39"/>
      <c r="G186" s="187"/>
      <c r="H186" s="35"/>
      <c r="I186" s="20"/>
      <c r="J186" s="20"/>
      <c r="K186" s="20"/>
      <c r="L186" s="39"/>
      <c r="M186" s="20"/>
      <c r="N186" s="67">
        <f t="shared" si="2"/>
        <v>0</v>
      </c>
    </row>
    <row r="187" spans="2:14">
      <c r="B187" s="35"/>
      <c r="C187" s="35"/>
      <c r="D187" s="35"/>
      <c r="E187" s="35"/>
      <c r="F187" s="39"/>
      <c r="G187" s="187"/>
      <c r="H187" s="35"/>
      <c r="I187" s="20"/>
      <c r="J187" s="20"/>
      <c r="K187" s="20"/>
      <c r="L187" s="39"/>
      <c r="M187" s="20"/>
      <c r="N187" s="67">
        <f t="shared" si="2"/>
        <v>0</v>
      </c>
    </row>
    <row r="188" spans="2:14">
      <c r="B188" s="35"/>
      <c r="C188" s="35"/>
      <c r="D188" s="35"/>
      <c r="E188" s="35"/>
      <c r="F188" s="39"/>
      <c r="G188" s="187"/>
      <c r="H188" s="35"/>
      <c r="I188" s="20"/>
      <c r="J188" s="20"/>
      <c r="K188" s="20"/>
      <c r="L188" s="39"/>
      <c r="M188" s="20"/>
      <c r="N188" s="67">
        <f t="shared" si="2"/>
        <v>0</v>
      </c>
    </row>
    <row r="189" spans="2:14">
      <c r="B189" s="35"/>
      <c r="C189" s="35"/>
      <c r="D189" s="35"/>
      <c r="E189" s="35"/>
      <c r="F189" s="39"/>
      <c r="G189" s="187"/>
      <c r="H189" s="35"/>
      <c r="I189" s="20"/>
      <c r="J189" s="20"/>
      <c r="K189" s="20"/>
      <c r="L189" s="39"/>
      <c r="M189" s="20"/>
      <c r="N189" s="67">
        <f t="shared" si="2"/>
        <v>0</v>
      </c>
    </row>
    <row r="190" spans="2:14">
      <c r="B190" s="35"/>
      <c r="C190" s="35"/>
      <c r="D190" s="35"/>
      <c r="E190" s="35"/>
      <c r="F190" s="39"/>
      <c r="G190" s="187"/>
      <c r="H190" s="35"/>
      <c r="I190" s="20"/>
      <c r="J190" s="20"/>
      <c r="K190" s="20"/>
      <c r="L190" s="39"/>
      <c r="M190" s="20"/>
      <c r="N190" s="67">
        <f t="shared" si="2"/>
        <v>0</v>
      </c>
    </row>
    <row r="191" spans="2:14">
      <c r="B191" s="35"/>
      <c r="C191" s="35"/>
      <c r="D191" s="35"/>
      <c r="E191" s="35"/>
      <c r="F191" s="39"/>
      <c r="G191" s="187"/>
      <c r="H191" s="35"/>
      <c r="I191" s="20"/>
      <c r="J191" s="20"/>
      <c r="K191" s="20"/>
      <c r="L191" s="39"/>
      <c r="M191" s="20"/>
      <c r="N191" s="67">
        <f t="shared" si="2"/>
        <v>0</v>
      </c>
    </row>
    <row r="192" spans="2:14">
      <c r="B192" s="35"/>
      <c r="C192" s="35"/>
      <c r="D192" s="35"/>
      <c r="E192" s="35"/>
      <c r="F192" s="39"/>
      <c r="G192" s="187"/>
      <c r="H192" s="35"/>
      <c r="I192" s="20"/>
      <c r="J192" s="20"/>
      <c r="K192" s="20"/>
      <c r="L192" s="39"/>
      <c r="M192" s="20"/>
      <c r="N192" s="67">
        <f t="shared" si="2"/>
        <v>0</v>
      </c>
    </row>
    <row r="193" spans="2:14">
      <c r="B193" s="35"/>
      <c r="C193" s="35"/>
      <c r="D193" s="35"/>
      <c r="E193" s="35"/>
      <c r="F193" s="39"/>
      <c r="G193" s="187"/>
      <c r="H193" s="35"/>
      <c r="I193" s="20"/>
      <c r="J193" s="20"/>
      <c r="K193" s="20"/>
      <c r="L193" s="39"/>
      <c r="M193" s="20"/>
      <c r="N193" s="67">
        <f t="shared" si="2"/>
        <v>0</v>
      </c>
    </row>
    <row r="194" spans="2:14">
      <c r="B194" s="35"/>
      <c r="C194" s="35"/>
      <c r="D194" s="35"/>
      <c r="E194" s="35"/>
      <c r="F194" s="39"/>
      <c r="G194" s="187"/>
      <c r="H194" s="35"/>
      <c r="I194" s="20"/>
      <c r="J194" s="20"/>
      <c r="K194" s="20"/>
      <c r="L194" s="39"/>
      <c r="M194" s="20"/>
      <c r="N194" s="67">
        <f t="shared" si="2"/>
        <v>0</v>
      </c>
    </row>
    <row r="195" spans="2:14">
      <c r="B195" s="35"/>
      <c r="C195" s="35"/>
      <c r="D195" s="35"/>
      <c r="E195" s="35"/>
      <c r="F195" s="39"/>
      <c r="G195" s="187"/>
      <c r="H195" s="35"/>
      <c r="I195" s="20"/>
      <c r="J195" s="20"/>
      <c r="K195" s="20"/>
      <c r="L195" s="39"/>
      <c r="M195" s="20"/>
      <c r="N195" s="67">
        <f t="shared" si="2"/>
        <v>0</v>
      </c>
    </row>
    <row r="196" spans="2:14">
      <c r="B196" s="35"/>
      <c r="C196" s="35"/>
      <c r="D196" s="35"/>
      <c r="E196" s="35"/>
      <c r="F196" s="39"/>
      <c r="G196" s="187"/>
      <c r="H196" s="35"/>
      <c r="I196" s="20"/>
      <c r="J196" s="20"/>
      <c r="K196" s="20"/>
      <c r="L196" s="39"/>
      <c r="M196" s="20"/>
      <c r="N196" s="67">
        <f t="shared" si="2"/>
        <v>0</v>
      </c>
    </row>
    <row r="197" spans="2:14">
      <c r="B197" s="35"/>
      <c r="C197" s="35"/>
      <c r="D197" s="35"/>
      <c r="E197" s="35"/>
      <c r="F197" s="39"/>
      <c r="G197" s="187"/>
      <c r="H197" s="35"/>
      <c r="I197" s="20"/>
      <c r="J197" s="20"/>
      <c r="K197" s="20"/>
      <c r="L197" s="39"/>
      <c r="M197" s="20"/>
      <c r="N197" s="67">
        <f t="shared" si="2"/>
        <v>0</v>
      </c>
    </row>
    <row r="198" spans="2:14">
      <c r="B198" s="35"/>
      <c r="C198" s="35"/>
      <c r="D198" s="35"/>
      <c r="E198" s="35"/>
      <c r="F198" s="39"/>
      <c r="G198" s="187"/>
      <c r="H198" s="35"/>
      <c r="I198" s="20"/>
      <c r="J198" s="20"/>
      <c r="K198" s="20"/>
      <c r="L198" s="39"/>
      <c r="M198" s="20"/>
      <c r="N198" s="67">
        <f t="shared" si="2"/>
        <v>0</v>
      </c>
    </row>
    <row r="199" spans="2:14">
      <c r="B199" s="35"/>
      <c r="C199" s="35"/>
      <c r="D199" s="35"/>
      <c r="E199" s="35"/>
      <c r="F199" s="39"/>
      <c r="G199" s="187"/>
      <c r="H199" s="35"/>
      <c r="I199" s="20"/>
      <c r="J199" s="20"/>
      <c r="K199" s="20"/>
      <c r="L199" s="39"/>
      <c r="M199" s="20"/>
      <c r="N199" s="67">
        <f t="shared" si="2"/>
        <v>0</v>
      </c>
    </row>
    <row r="200" spans="2:14">
      <c r="B200" s="35"/>
      <c r="C200" s="35"/>
      <c r="D200" s="35"/>
      <c r="E200" s="35"/>
      <c r="F200" s="39"/>
      <c r="G200" s="187"/>
      <c r="H200" s="35"/>
      <c r="I200" s="20"/>
      <c r="J200" s="20"/>
      <c r="K200" s="20"/>
      <c r="L200" s="39"/>
      <c r="M200" s="20"/>
      <c r="N200" s="67">
        <f t="shared" si="2"/>
        <v>0</v>
      </c>
    </row>
    <row r="201" spans="2:14">
      <c r="B201" s="35"/>
      <c r="C201" s="35"/>
      <c r="D201" s="35"/>
      <c r="E201" s="35"/>
      <c r="F201" s="39"/>
      <c r="G201" s="187"/>
      <c r="H201" s="35"/>
      <c r="I201" s="20"/>
      <c r="J201" s="20"/>
      <c r="K201" s="20"/>
      <c r="L201" s="39"/>
      <c r="M201" s="20"/>
      <c r="N201" s="67">
        <f t="shared" si="2"/>
        <v>0</v>
      </c>
    </row>
    <row r="202" spans="2:14">
      <c r="B202" s="35"/>
      <c r="C202" s="35"/>
      <c r="D202" s="35"/>
      <c r="E202" s="35"/>
      <c r="F202" s="39"/>
      <c r="G202" s="187"/>
      <c r="H202" s="35"/>
      <c r="I202" s="20"/>
      <c r="J202" s="20"/>
      <c r="K202" s="20"/>
      <c r="L202" s="39"/>
      <c r="M202" s="20"/>
      <c r="N202" s="67">
        <f t="shared" si="2"/>
        <v>0</v>
      </c>
    </row>
    <row r="203" spans="2:14">
      <c r="B203" s="35"/>
      <c r="C203" s="35"/>
      <c r="D203" s="35"/>
      <c r="E203" s="35"/>
      <c r="F203" s="39"/>
      <c r="G203" s="187"/>
      <c r="H203" s="35"/>
      <c r="I203" s="20"/>
      <c r="J203" s="20"/>
      <c r="K203" s="20"/>
      <c r="L203" s="39"/>
      <c r="M203" s="20"/>
      <c r="N203" s="67">
        <f t="shared" ref="N203:N266" si="3">IF(ISBLANK(B203),0%,(IF($K$4=$L$10,$M$4-L203,IF($K$4=$G$10, $M$4-G203,_xlfn.XLOOKUP($K$4,$B$10:$M$10,B203:M203,,0)))/$M$4)*$L$4+(IF($K$5=$L$10,$M$5-L203,IF($K$5=$G$10, $M$5-G203, _xlfn.XLOOKUP($K$5,$B$10:$M$10,B203:M203,,0)))/$M$5)*$L$5+(IF($K$6=$L$10,$M$6-L203,IF($K$6=$G$10,$M$6-G203,_xlfn.XLOOKUP($K$6,$B$10:$M$10,B203:M203,,0)))/$M$6)*$L$6)</f>
        <v>0</v>
      </c>
    </row>
    <row r="204" spans="2:14">
      <c r="B204" s="35"/>
      <c r="C204" s="35"/>
      <c r="D204" s="35"/>
      <c r="E204" s="35"/>
      <c r="F204" s="39"/>
      <c r="G204" s="187"/>
      <c r="H204" s="35"/>
      <c r="I204" s="20"/>
      <c r="J204" s="20"/>
      <c r="K204" s="20"/>
      <c r="L204" s="39"/>
      <c r="M204" s="20"/>
      <c r="N204" s="67">
        <f t="shared" si="3"/>
        <v>0</v>
      </c>
    </row>
    <row r="205" spans="2:14">
      <c r="B205" s="35"/>
      <c r="C205" s="35"/>
      <c r="D205" s="35"/>
      <c r="E205" s="35"/>
      <c r="F205" s="39"/>
      <c r="G205" s="187"/>
      <c r="H205" s="35"/>
      <c r="I205" s="20"/>
      <c r="J205" s="20"/>
      <c r="K205" s="20"/>
      <c r="L205" s="39"/>
      <c r="M205" s="20"/>
      <c r="N205" s="67">
        <f t="shared" si="3"/>
        <v>0</v>
      </c>
    </row>
    <row r="206" spans="2:14">
      <c r="B206" s="35"/>
      <c r="C206" s="35"/>
      <c r="D206" s="35"/>
      <c r="E206" s="35"/>
      <c r="F206" s="39"/>
      <c r="G206" s="187"/>
      <c r="H206" s="35"/>
      <c r="I206" s="20"/>
      <c r="J206" s="20"/>
      <c r="K206" s="20"/>
      <c r="L206" s="39"/>
      <c r="M206" s="20"/>
      <c r="N206" s="67">
        <f t="shared" si="3"/>
        <v>0</v>
      </c>
    </row>
    <row r="207" spans="2:14">
      <c r="B207" s="35"/>
      <c r="C207" s="35"/>
      <c r="D207" s="35"/>
      <c r="E207" s="35"/>
      <c r="F207" s="39"/>
      <c r="G207" s="187"/>
      <c r="H207" s="35"/>
      <c r="I207" s="20"/>
      <c r="J207" s="20"/>
      <c r="K207" s="20"/>
      <c r="L207" s="39"/>
      <c r="M207" s="20"/>
      <c r="N207" s="67">
        <f t="shared" si="3"/>
        <v>0</v>
      </c>
    </row>
    <row r="208" spans="2:14">
      <c r="B208" s="35"/>
      <c r="C208" s="35"/>
      <c r="D208" s="35"/>
      <c r="E208" s="35"/>
      <c r="F208" s="39"/>
      <c r="G208" s="187"/>
      <c r="H208" s="35"/>
      <c r="I208" s="20"/>
      <c r="J208" s="20"/>
      <c r="K208" s="20"/>
      <c r="L208" s="39"/>
      <c r="M208" s="20"/>
      <c r="N208" s="67">
        <f t="shared" si="3"/>
        <v>0</v>
      </c>
    </row>
    <row r="209" spans="2:14">
      <c r="B209" s="35"/>
      <c r="C209" s="35"/>
      <c r="D209" s="35"/>
      <c r="E209" s="35"/>
      <c r="F209" s="39"/>
      <c r="G209" s="187"/>
      <c r="H209" s="35"/>
      <c r="I209" s="20"/>
      <c r="J209" s="20"/>
      <c r="K209" s="20"/>
      <c r="L209" s="39"/>
      <c r="M209" s="20"/>
      <c r="N209" s="67">
        <f t="shared" si="3"/>
        <v>0</v>
      </c>
    </row>
    <row r="210" spans="2:14">
      <c r="B210" s="35"/>
      <c r="C210" s="35"/>
      <c r="D210" s="35"/>
      <c r="E210" s="35"/>
      <c r="F210" s="39"/>
      <c r="G210" s="187"/>
      <c r="H210" s="35"/>
      <c r="I210" s="20"/>
      <c r="J210" s="20"/>
      <c r="K210" s="20"/>
      <c r="L210" s="39"/>
      <c r="M210" s="20"/>
      <c r="N210" s="67">
        <f t="shared" si="3"/>
        <v>0</v>
      </c>
    </row>
    <row r="211" spans="2:14">
      <c r="B211" s="35"/>
      <c r="C211" s="35"/>
      <c r="D211" s="35"/>
      <c r="E211" s="35"/>
      <c r="F211" s="39"/>
      <c r="G211" s="187"/>
      <c r="H211" s="35"/>
      <c r="I211" s="20"/>
      <c r="J211" s="20"/>
      <c r="K211" s="20"/>
      <c r="L211" s="39"/>
      <c r="M211" s="20"/>
      <c r="N211" s="67">
        <f t="shared" si="3"/>
        <v>0</v>
      </c>
    </row>
    <row r="212" spans="2:14">
      <c r="B212" s="35"/>
      <c r="C212" s="35"/>
      <c r="D212" s="35"/>
      <c r="E212" s="35"/>
      <c r="F212" s="39"/>
      <c r="G212" s="187"/>
      <c r="H212" s="35"/>
      <c r="I212" s="20"/>
      <c r="J212" s="20"/>
      <c r="K212" s="20"/>
      <c r="L212" s="39"/>
      <c r="M212" s="20"/>
      <c r="N212" s="67">
        <f t="shared" si="3"/>
        <v>0</v>
      </c>
    </row>
    <row r="213" spans="2:14">
      <c r="B213" s="35"/>
      <c r="C213" s="35"/>
      <c r="D213" s="35"/>
      <c r="E213" s="35"/>
      <c r="F213" s="39"/>
      <c r="G213" s="187"/>
      <c r="H213" s="35"/>
      <c r="I213" s="20"/>
      <c r="J213" s="20"/>
      <c r="K213" s="20"/>
      <c r="L213" s="39"/>
      <c r="M213" s="20"/>
      <c r="N213" s="67">
        <f t="shared" si="3"/>
        <v>0</v>
      </c>
    </row>
    <row r="214" spans="2:14">
      <c r="B214" s="35"/>
      <c r="C214" s="35"/>
      <c r="D214" s="35"/>
      <c r="E214" s="35"/>
      <c r="F214" s="39"/>
      <c r="G214" s="187"/>
      <c r="H214" s="35"/>
      <c r="I214" s="20"/>
      <c r="J214" s="20"/>
      <c r="K214" s="20"/>
      <c r="L214" s="39"/>
      <c r="M214" s="20"/>
      <c r="N214" s="67">
        <f t="shared" si="3"/>
        <v>0</v>
      </c>
    </row>
    <row r="215" spans="2:14">
      <c r="B215" s="35"/>
      <c r="C215" s="35"/>
      <c r="D215" s="35"/>
      <c r="E215" s="35"/>
      <c r="F215" s="39"/>
      <c r="G215" s="187"/>
      <c r="H215" s="35"/>
      <c r="I215" s="20"/>
      <c r="J215" s="20"/>
      <c r="K215" s="20"/>
      <c r="L215" s="39"/>
      <c r="M215" s="20"/>
      <c r="N215" s="67">
        <f t="shared" si="3"/>
        <v>0</v>
      </c>
    </row>
    <row r="216" spans="2:14">
      <c r="B216" s="35"/>
      <c r="C216" s="35"/>
      <c r="D216" s="35"/>
      <c r="E216" s="35"/>
      <c r="F216" s="39"/>
      <c r="G216" s="187"/>
      <c r="H216" s="35"/>
      <c r="I216" s="20"/>
      <c r="J216" s="20"/>
      <c r="K216" s="20"/>
      <c r="L216" s="39"/>
      <c r="M216" s="20"/>
      <c r="N216" s="67">
        <f t="shared" si="3"/>
        <v>0</v>
      </c>
    </row>
    <row r="217" spans="2:14">
      <c r="B217" s="35"/>
      <c r="C217" s="35"/>
      <c r="D217" s="35"/>
      <c r="E217" s="35"/>
      <c r="F217" s="39"/>
      <c r="G217" s="187"/>
      <c r="H217" s="35"/>
      <c r="I217" s="20"/>
      <c r="J217" s="20"/>
      <c r="K217" s="20"/>
      <c r="L217" s="39"/>
      <c r="M217" s="20"/>
      <c r="N217" s="67">
        <f t="shared" si="3"/>
        <v>0</v>
      </c>
    </row>
    <row r="218" spans="2:14">
      <c r="B218" s="35"/>
      <c r="C218" s="35"/>
      <c r="D218" s="35"/>
      <c r="E218" s="35"/>
      <c r="F218" s="39"/>
      <c r="G218" s="187"/>
      <c r="H218" s="35"/>
      <c r="I218" s="20"/>
      <c r="J218" s="20"/>
      <c r="K218" s="20"/>
      <c r="L218" s="39"/>
      <c r="M218" s="20"/>
      <c r="N218" s="67">
        <f t="shared" si="3"/>
        <v>0</v>
      </c>
    </row>
    <row r="219" spans="2:14">
      <c r="B219" s="35"/>
      <c r="C219" s="35"/>
      <c r="D219" s="35"/>
      <c r="E219" s="35"/>
      <c r="F219" s="39"/>
      <c r="G219" s="187"/>
      <c r="H219" s="35"/>
      <c r="I219" s="20"/>
      <c r="J219" s="20"/>
      <c r="K219" s="20"/>
      <c r="L219" s="39"/>
      <c r="M219" s="20"/>
      <c r="N219" s="67">
        <f t="shared" si="3"/>
        <v>0</v>
      </c>
    </row>
    <row r="220" spans="2:14">
      <c r="B220" s="35"/>
      <c r="C220" s="35"/>
      <c r="D220" s="35"/>
      <c r="E220" s="35"/>
      <c r="F220" s="39"/>
      <c r="G220" s="187"/>
      <c r="H220" s="35"/>
      <c r="I220" s="20"/>
      <c r="J220" s="20"/>
      <c r="K220" s="20"/>
      <c r="L220" s="39"/>
      <c r="M220" s="20"/>
      <c r="N220" s="67">
        <f t="shared" si="3"/>
        <v>0</v>
      </c>
    </row>
    <row r="221" spans="2:14">
      <c r="B221" s="35"/>
      <c r="C221" s="35"/>
      <c r="D221" s="35"/>
      <c r="E221" s="35"/>
      <c r="F221" s="39"/>
      <c r="G221" s="187"/>
      <c r="H221" s="35"/>
      <c r="I221" s="20"/>
      <c r="J221" s="20"/>
      <c r="K221" s="20"/>
      <c r="L221" s="39"/>
      <c r="M221" s="20"/>
      <c r="N221" s="67">
        <f t="shared" si="3"/>
        <v>0</v>
      </c>
    </row>
    <row r="222" spans="2:14">
      <c r="B222" s="35"/>
      <c r="C222" s="35"/>
      <c r="D222" s="35"/>
      <c r="E222" s="35"/>
      <c r="F222" s="39"/>
      <c r="G222" s="187"/>
      <c r="H222" s="35"/>
      <c r="I222" s="20"/>
      <c r="J222" s="20"/>
      <c r="K222" s="20"/>
      <c r="L222" s="39"/>
      <c r="M222" s="20"/>
      <c r="N222" s="67">
        <f t="shared" si="3"/>
        <v>0</v>
      </c>
    </row>
    <row r="223" spans="2:14">
      <c r="B223" s="35"/>
      <c r="C223" s="35"/>
      <c r="D223" s="35"/>
      <c r="E223" s="35"/>
      <c r="F223" s="39"/>
      <c r="G223" s="187"/>
      <c r="H223" s="35"/>
      <c r="I223" s="20"/>
      <c r="J223" s="20"/>
      <c r="K223" s="20"/>
      <c r="L223" s="39"/>
      <c r="M223" s="20"/>
      <c r="N223" s="67">
        <f t="shared" si="3"/>
        <v>0</v>
      </c>
    </row>
    <row r="224" spans="2:14">
      <c r="B224" s="35"/>
      <c r="C224" s="35"/>
      <c r="D224" s="35"/>
      <c r="E224" s="35"/>
      <c r="F224" s="39"/>
      <c r="G224" s="187"/>
      <c r="H224" s="35"/>
      <c r="I224" s="20"/>
      <c r="J224" s="20"/>
      <c r="K224" s="20"/>
      <c r="L224" s="39"/>
      <c r="M224" s="20"/>
      <c r="N224" s="67">
        <f t="shared" si="3"/>
        <v>0</v>
      </c>
    </row>
    <row r="225" spans="2:14">
      <c r="B225" s="35"/>
      <c r="C225" s="35"/>
      <c r="D225" s="35"/>
      <c r="E225" s="35"/>
      <c r="F225" s="39"/>
      <c r="G225" s="187"/>
      <c r="H225" s="35"/>
      <c r="I225" s="20"/>
      <c r="J225" s="20"/>
      <c r="K225" s="20"/>
      <c r="L225" s="39"/>
      <c r="M225" s="20"/>
      <c r="N225" s="67">
        <f t="shared" si="3"/>
        <v>0</v>
      </c>
    </row>
    <row r="226" spans="2:14">
      <c r="B226" s="35"/>
      <c r="C226" s="35"/>
      <c r="D226" s="35"/>
      <c r="E226" s="35"/>
      <c r="F226" s="39"/>
      <c r="G226" s="187"/>
      <c r="H226" s="35"/>
      <c r="I226" s="20"/>
      <c r="J226" s="20"/>
      <c r="K226" s="20"/>
      <c r="L226" s="39"/>
      <c r="M226" s="20"/>
      <c r="N226" s="67">
        <f t="shared" si="3"/>
        <v>0</v>
      </c>
    </row>
    <row r="227" spans="2:14">
      <c r="B227" s="35"/>
      <c r="C227" s="35"/>
      <c r="D227" s="35"/>
      <c r="E227" s="35"/>
      <c r="F227" s="39"/>
      <c r="G227" s="187"/>
      <c r="H227" s="35"/>
      <c r="I227" s="20"/>
      <c r="J227" s="20"/>
      <c r="K227" s="20"/>
      <c r="L227" s="39"/>
      <c r="M227" s="20"/>
      <c r="N227" s="67">
        <f t="shared" si="3"/>
        <v>0</v>
      </c>
    </row>
    <row r="228" spans="2:14">
      <c r="B228" s="35"/>
      <c r="C228" s="35"/>
      <c r="D228" s="35"/>
      <c r="E228" s="35"/>
      <c r="F228" s="39"/>
      <c r="G228" s="187"/>
      <c r="H228" s="35"/>
      <c r="I228" s="20"/>
      <c r="J228" s="20"/>
      <c r="K228" s="20"/>
      <c r="L228" s="39"/>
      <c r="M228" s="20"/>
      <c r="N228" s="67">
        <f t="shared" si="3"/>
        <v>0</v>
      </c>
    </row>
    <row r="229" spans="2:14">
      <c r="B229" s="35"/>
      <c r="C229" s="35"/>
      <c r="D229" s="35"/>
      <c r="E229" s="35"/>
      <c r="F229" s="39"/>
      <c r="G229" s="187"/>
      <c r="H229" s="35"/>
      <c r="I229" s="20"/>
      <c r="J229" s="20"/>
      <c r="K229" s="20"/>
      <c r="L229" s="39"/>
      <c r="M229" s="20"/>
      <c r="N229" s="67">
        <f t="shared" si="3"/>
        <v>0</v>
      </c>
    </row>
    <row r="230" spans="2:14">
      <c r="B230" s="35"/>
      <c r="C230" s="35"/>
      <c r="D230" s="35"/>
      <c r="E230" s="35"/>
      <c r="F230" s="39"/>
      <c r="G230" s="187"/>
      <c r="H230" s="35"/>
      <c r="I230" s="20"/>
      <c r="J230" s="20"/>
      <c r="K230" s="20"/>
      <c r="L230" s="39"/>
      <c r="M230" s="20"/>
      <c r="N230" s="67">
        <f t="shared" si="3"/>
        <v>0</v>
      </c>
    </row>
    <row r="231" spans="2:14">
      <c r="B231" s="35"/>
      <c r="C231" s="35"/>
      <c r="D231" s="35"/>
      <c r="E231" s="35"/>
      <c r="F231" s="39"/>
      <c r="G231" s="187"/>
      <c r="H231" s="35"/>
      <c r="I231" s="20"/>
      <c r="J231" s="20"/>
      <c r="K231" s="20"/>
      <c r="L231" s="39"/>
      <c r="M231" s="20"/>
      <c r="N231" s="67">
        <f t="shared" si="3"/>
        <v>0</v>
      </c>
    </row>
    <row r="232" spans="2:14">
      <c r="B232" s="35"/>
      <c r="C232" s="35"/>
      <c r="D232" s="35"/>
      <c r="E232" s="35"/>
      <c r="F232" s="39"/>
      <c r="G232" s="187"/>
      <c r="H232" s="35"/>
      <c r="I232" s="20"/>
      <c r="J232" s="20"/>
      <c r="K232" s="20"/>
      <c r="L232" s="39"/>
      <c r="M232" s="20"/>
      <c r="N232" s="67">
        <f t="shared" si="3"/>
        <v>0</v>
      </c>
    </row>
    <row r="233" spans="2:14">
      <c r="B233" s="35"/>
      <c r="C233" s="35"/>
      <c r="D233" s="35"/>
      <c r="E233" s="35"/>
      <c r="F233" s="39"/>
      <c r="G233" s="187"/>
      <c r="H233" s="35"/>
      <c r="I233" s="20"/>
      <c r="J233" s="20"/>
      <c r="K233" s="20"/>
      <c r="L233" s="39"/>
      <c r="M233" s="20"/>
      <c r="N233" s="67">
        <f t="shared" si="3"/>
        <v>0</v>
      </c>
    </row>
    <row r="234" spans="2:14">
      <c r="B234" s="35"/>
      <c r="C234" s="35"/>
      <c r="D234" s="35"/>
      <c r="E234" s="35"/>
      <c r="F234" s="39"/>
      <c r="G234" s="187"/>
      <c r="H234" s="35"/>
      <c r="I234" s="20"/>
      <c r="J234" s="20"/>
      <c r="K234" s="20"/>
      <c r="L234" s="39"/>
      <c r="M234" s="20"/>
      <c r="N234" s="67">
        <f t="shared" si="3"/>
        <v>0</v>
      </c>
    </row>
    <row r="235" spans="2:14">
      <c r="B235" s="35"/>
      <c r="C235" s="35"/>
      <c r="D235" s="35"/>
      <c r="E235" s="35"/>
      <c r="F235" s="39"/>
      <c r="G235" s="187"/>
      <c r="H235" s="35"/>
      <c r="I235" s="20"/>
      <c r="J235" s="20"/>
      <c r="K235" s="20"/>
      <c r="L235" s="39"/>
      <c r="M235" s="20"/>
      <c r="N235" s="67">
        <f t="shared" si="3"/>
        <v>0</v>
      </c>
    </row>
    <row r="236" spans="2:14">
      <c r="B236" s="35"/>
      <c r="C236" s="35"/>
      <c r="D236" s="35"/>
      <c r="E236" s="35"/>
      <c r="F236" s="39"/>
      <c r="G236" s="187"/>
      <c r="H236" s="35"/>
      <c r="I236" s="20"/>
      <c r="J236" s="20"/>
      <c r="K236" s="20"/>
      <c r="L236" s="39"/>
      <c r="M236" s="20"/>
      <c r="N236" s="67">
        <f t="shared" si="3"/>
        <v>0</v>
      </c>
    </row>
    <row r="237" spans="2:14">
      <c r="B237" s="35"/>
      <c r="C237" s="35"/>
      <c r="D237" s="35"/>
      <c r="E237" s="35"/>
      <c r="F237" s="39"/>
      <c r="G237" s="187"/>
      <c r="H237" s="35"/>
      <c r="I237" s="20"/>
      <c r="J237" s="20"/>
      <c r="K237" s="20"/>
      <c r="L237" s="39"/>
      <c r="M237" s="20"/>
      <c r="N237" s="67">
        <f t="shared" si="3"/>
        <v>0</v>
      </c>
    </row>
    <row r="238" spans="2:14">
      <c r="B238" s="35"/>
      <c r="C238" s="35"/>
      <c r="D238" s="35"/>
      <c r="E238" s="35"/>
      <c r="F238" s="39"/>
      <c r="G238" s="187"/>
      <c r="H238" s="35"/>
      <c r="I238" s="20"/>
      <c r="J238" s="20"/>
      <c r="K238" s="20"/>
      <c r="L238" s="39"/>
      <c r="M238" s="20"/>
      <c r="N238" s="67">
        <f t="shared" si="3"/>
        <v>0</v>
      </c>
    </row>
    <row r="239" spans="2:14">
      <c r="B239" s="35"/>
      <c r="C239" s="35"/>
      <c r="D239" s="35"/>
      <c r="E239" s="35"/>
      <c r="F239" s="39"/>
      <c r="G239" s="187"/>
      <c r="H239" s="35"/>
      <c r="I239" s="20"/>
      <c r="J239" s="20"/>
      <c r="K239" s="20"/>
      <c r="L239" s="39"/>
      <c r="M239" s="20"/>
      <c r="N239" s="67">
        <f t="shared" si="3"/>
        <v>0</v>
      </c>
    </row>
    <row r="240" spans="2:14">
      <c r="B240" s="35"/>
      <c r="C240" s="35"/>
      <c r="D240" s="35"/>
      <c r="E240" s="35"/>
      <c r="F240" s="39"/>
      <c r="G240" s="187"/>
      <c r="H240" s="35"/>
      <c r="I240" s="20"/>
      <c r="J240" s="20"/>
      <c r="K240" s="20"/>
      <c r="L240" s="39"/>
      <c r="M240" s="20"/>
      <c r="N240" s="67">
        <f t="shared" si="3"/>
        <v>0</v>
      </c>
    </row>
    <row r="241" spans="2:14">
      <c r="B241" s="35"/>
      <c r="C241" s="35"/>
      <c r="D241" s="35"/>
      <c r="E241" s="35"/>
      <c r="F241" s="39"/>
      <c r="G241" s="187"/>
      <c r="H241" s="35"/>
      <c r="I241" s="20"/>
      <c r="J241" s="20"/>
      <c r="K241" s="20"/>
      <c r="L241" s="39"/>
      <c r="M241" s="20"/>
      <c r="N241" s="67">
        <f t="shared" si="3"/>
        <v>0</v>
      </c>
    </row>
    <row r="242" spans="2:14">
      <c r="B242" s="35"/>
      <c r="C242" s="35"/>
      <c r="D242" s="35"/>
      <c r="E242" s="35"/>
      <c r="F242" s="39"/>
      <c r="G242" s="187"/>
      <c r="H242" s="35"/>
      <c r="I242" s="20"/>
      <c r="J242" s="20"/>
      <c r="K242" s="20"/>
      <c r="L242" s="39"/>
      <c r="M242" s="20"/>
      <c r="N242" s="67">
        <f t="shared" si="3"/>
        <v>0</v>
      </c>
    </row>
    <row r="243" spans="2:14">
      <c r="B243" s="35"/>
      <c r="C243" s="35"/>
      <c r="D243" s="35"/>
      <c r="E243" s="35"/>
      <c r="F243" s="39"/>
      <c r="G243" s="187"/>
      <c r="H243" s="35"/>
      <c r="I243" s="20"/>
      <c r="J243" s="20"/>
      <c r="K243" s="20"/>
      <c r="L243" s="39"/>
      <c r="M243" s="20"/>
      <c r="N243" s="67">
        <f t="shared" si="3"/>
        <v>0</v>
      </c>
    </row>
    <row r="244" spans="2:14">
      <c r="B244" s="35"/>
      <c r="C244" s="35"/>
      <c r="D244" s="35"/>
      <c r="E244" s="35"/>
      <c r="F244" s="39"/>
      <c r="G244" s="187"/>
      <c r="H244" s="35"/>
      <c r="I244" s="20"/>
      <c r="J244" s="20"/>
      <c r="K244" s="20"/>
      <c r="L244" s="39"/>
      <c r="M244" s="20"/>
      <c r="N244" s="67">
        <f t="shared" si="3"/>
        <v>0</v>
      </c>
    </row>
    <row r="245" spans="2:14">
      <c r="B245" s="35"/>
      <c r="C245" s="35"/>
      <c r="D245" s="35"/>
      <c r="E245" s="35"/>
      <c r="F245" s="39"/>
      <c r="G245" s="187"/>
      <c r="H245" s="35"/>
      <c r="I245" s="20"/>
      <c r="J245" s="20"/>
      <c r="K245" s="20"/>
      <c r="L245" s="39"/>
      <c r="M245" s="20"/>
      <c r="N245" s="67">
        <f t="shared" si="3"/>
        <v>0</v>
      </c>
    </row>
    <row r="246" spans="2:14">
      <c r="B246" s="35"/>
      <c r="C246" s="35"/>
      <c r="D246" s="35"/>
      <c r="E246" s="35"/>
      <c r="F246" s="39"/>
      <c r="G246" s="187"/>
      <c r="H246" s="35"/>
      <c r="I246" s="20"/>
      <c r="J246" s="20"/>
      <c r="K246" s="20"/>
      <c r="L246" s="39"/>
      <c r="M246" s="20"/>
      <c r="N246" s="67">
        <f t="shared" si="3"/>
        <v>0</v>
      </c>
    </row>
    <row r="247" spans="2:14">
      <c r="B247" s="35"/>
      <c r="C247" s="35"/>
      <c r="D247" s="35"/>
      <c r="E247" s="35"/>
      <c r="F247" s="39"/>
      <c r="G247" s="187"/>
      <c r="H247" s="35"/>
      <c r="I247" s="20"/>
      <c r="J247" s="20"/>
      <c r="K247" s="20"/>
      <c r="L247" s="39"/>
      <c r="M247" s="20"/>
      <c r="N247" s="67">
        <f t="shared" si="3"/>
        <v>0</v>
      </c>
    </row>
    <row r="248" spans="2:14">
      <c r="B248" s="35"/>
      <c r="C248" s="35"/>
      <c r="D248" s="35"/>
      <c r="E248" s="35"/>
      <c r="F248" s="39"/>
      <c r="G248" s="187"/>
      <c r="H248" s="35"/>
      <c r="I248" s="20"/>
      <c r="J248" s="20"/>
      <c r="K248" s="20"/>
      <c r="L248" s="39"/>
      <c r="M248" s="20"/>
      <c r="N248" s="67">
        <f t="shared" si="3"/>
        <v>0</v>
      </c>
    </row>
    <row r="249" spans="2:14">
      <c r="B249" s="35"/>
      <c r="C249" s="35"/>
      <c r="D249" s="35"/>
      <c r="E249" s="35"/>
      <c r="F249" s="39"/>
      <c r="G249" s="187"/>
      <c r="H249" s="35"/>
      <c r="I249" s="20"/>
      <c r="J249" s="20"/>
      <c r="K249" s="20"/>
      <c r="L249" s="39"/>
      <c r="M249" s="20"/>
      <c r="N249" s="67">
        <f t="shared" si="3"/>
        <v>0</v>
      </c>
    </row>
    <row r="250" spans="2:14">
      <c r="B250" s="35"/>
      <c r="C250" s="35"/>
      <c r="D250" s="35"/>
      <c r="E250" s="35"/>
      <c r="F250" s="39"/>
      <c r="G250" s="187"/>
      <c r="H250" s="35"/>
      <c r="I250" s="20"/>
      <c r="J250" s="20"/>
      <c r="K250" s="20"/>
      <c r="L250" s="39"/>
      <c r="M250" s="20"/>
      <c r="N250" s="67">
        <f t="shared" si="3"/>
        <v>0</v>
      </c>
    </row>
    <row r="251" spans="2:14">
      <c r="B251" s="35"/>
      <c r="C251" s="35"/>
      <c r="D251" s="35"/>
      <c r="E251" s="35"/>
      <c r="F251" s="39"/>
      <c r="G251" s="187"/>
      <c r="H251" s="35"/>
      <c r="I251" s="20"/>
      <c r="J251" s="20"/>
      <c r="K251" s="20"/>
      <c r="L251" s="39"/>
      <c r="M251" s="20"/>
      <c r="N251" s="67">
        <f t="shared" si="3"/>
        <v>0</v>
      </c>
    </row>
    <row r="252" spans="2:14">
      <c r="B252" s="35"/>
      <c r="C252" s="35"/>
      <c r="D252" s="35"/>
      <c r="E252" s="35"/>
      <c r="F252" s="39"/>
      <c r="G252" s="187"/>
      <c r="H252" s="35"/>
      <c r="I252" s="20"/>
      <c r="J252" s="20"/>
      <c r="K252" s="20"/>
      <c r="L252" s="39"/>
      <c r="M252" s="20"/>
      <c r="N252" s="67">
        <f t="shared" si="3"/>
        <v>0</v>
      </c>
    </row>
    <row r="253" spans="2:14">
      <c r="B253" s="35"/>
      <c r="C253" s="35"/>
      <c r="D253" s="35"/>
      <c r="E253" s="35"/>
      <c r="F253" s="39"/>
      <c r="G253" s="187"/>
      <c r="H253" s="35"/>
      <c r="I253" s="20"/>
      <c r="J253" s="20"/>
      <c r="K253" s="20"/>
      <c r="L253" s="39"/>
      <c r="M253" s="20"/>
      <c r="N253" s="67">
        <f t="shared" si="3"/>
        <v>0</v>
      </c>
    </row>
    <row r="254" spans="2:14">
      <c r="B254" s="35"/>
      <c r="C254" s="35"/>
      <c r="D254" s="35"/>
      <c r="E254" s="35"/>
      <c r="F254" s="39"/>
      <c r="G254" s="187"/>
      <c r="H254" s="35"/>
      <c r="I254" s="20"/>
      <c r="J254" s="20"/>
      <c r="K254" s="20"/>
      <c r="L254" s="39"/>
      <c r="M254" s="20"/>
      <c r="N254" s="67">
        <f t="shared" si="3"/>
        <v>0</v>
      </c>
    </row>
    <row r="255" spans="2:14">
      <c r="B255" s="35"/>
      <c r="C255" s="35"/>
      <c r="D255" s="35"/>
      <c r="E255" s="35"/>
      <c r="F255" s="39"/>
      <c r="G255" s="187"/>
      <c r="H255" s="35"/>
      <c r="I255" s="20"/>
      <c r="J255" s="20"/>
      <c r="K255" s="20"/>
      <c r="L255" s="39"/>
      <c r="M255" s="20"/>
      <c r="N255" s="67">
        <f t="shared" si="3"/>
        <v>0</v>
      </c>
    </row>
    <row r="256" spans="2:14">
      <c r="B256" s="35"/>
      <c r="C256" s="35"/>
      <c r="D256" s="35"/>
      <c r="E256" s="35"/>
      <c r="F256" s="39"/>
      <c r="G256" s="187"/>
      <c r="H256" s="35"/>
      <c r="I256" s="20"/>
      <c r="J256" s="20"/>
      <c r="K256" s="20"/>
      <c r="L256" s="39"/>
      <c r="M256" s="20"/>
      <c r="N256" s="67">
        <f t="shared" si="3"/>
        <v>0</v>
      </c>
    </row>
    <row r="257" spans="2:14">
      <c r="B257" s="35"/>
      <c r="C257" s="35"/>
      <c r="D257" s="35"/>
      <c r="E257" s="35"/>
      <c r="F257" s="39"/>
      <c r="G257" s="187"/>
      <c r="H257" s="35"/>
      <c r="I257" s="20"/>
      <c r="J257" s="20"/>
      <c r="K257" s="20"/>
      <c r="L257" s="39"/>
      <c r="M257" s="20"/>
      <c r="N257" s="67">
        <f t="shared" si="3"/>
        <v>0</v>
      </c>
    </row>
    <row r="258" spans="2:14">
      <c r="B258" s="35"/>
      <c r="C258" s="35"/>
      <c r="D258" s="35"/>
      <c r="E258" s="35"/>
      <c r="F258" s="39"/>
      <c r="G258" s="187"/>
      <c r="H258" s="35"/>
      <c r="I258" s="20"/>
      <c r="J258" s="20"/>
      <c r="K258" s="20"/>
      <c r="L258" s="39"/>
      <c r="M258" s="20"/>
      <c r="N258" s="67">
        <f t="shared" si="3"/>
        <v>0</v>
      </c>
    </row>
    <row r="259" spans="2:14">
      <c r="B259" s="35"/>
      <c r="C259" s="35"/>
      <c r="D259" s="35"/>
      <c r="E259" s="35"/>
      <c r="F259" s="39"/>
      <c r="G259" s="187"/>
      <c r="H259" s="35"/>
      <c r="I259" s="20"/>
      <c r="J259" s="20"/>
      <c r="K259" s="20"/>
      <c r="L259" s="39"/>
      <c r="M259" s="20"/>
      <c r="N259" s="67">
        <f t="shared" si="3"/>
        <v>0</v>
      </c>
    </row>
    <row r="260" spans="2:14">
      <c r="B260" s="35"/>
      <c r="C260" s="35"/>
      <c r="D260" s="35"/>
      <c r="E260" s="35"/>
      <c r="F260" s="39"/>
      <c r="G260" s="187"/>
      <c r="H260" s="35"/>
      <c r="I260" s="20"/>
      <c r="J260" s="20"/>
      <c r="K260" s="20"/>
      <c r="L260" s="39"/>
      <c r="M260" s="20"/>
      <c r="N260" s="67">
        <f t="shared" si="3"/>
        <v>0</v>
      </c>
    </row>
    <row r="261" spans="2:14">
      <c r="B261" s="35"/>
      <c r="C261" s="35"/>
      <c r="D261" s="35"/>
      <c r="E261" s="35"/>
      <c r="F261" s="39"/>
      <c r="G261" s="187"/>
      <c r="H261" s="35"/>
      <c r="I261" s="20"/>
      <c r="J261" s="20"/>
      <c r="K261" s="20"/>
      <c r="L261" s="39"/>
      <c r="M261" s="20"/>
      <c r="N261" s="67">
        <f t="shared" si="3"/>
        <v>0</v>
      </c>
    </row>
    <row r="262" spans="2:14">
      <c r="B262" s="35"/>
      <c r="C262" s="35"/>
      <c r="D262" s="35"/>
      <c r="E262" s="35"/>
      <c r="F262" s="39"/>
      <c r="G262" s="187"/>
      <c r="H262" s="35"/>
      <c r="I262" s="20"/>
      <c r="J262" s="20"/>
      <c r="K262" s="20"/>
      <c r="L262" s="39"/>
      <c r="M262" s="20"/>
      <c r="N262" s="67">
        <f t="shared" si="3"/>
        <v>0</v>
      </c>
    </row>
    <row r="263" spans="2:14">
      <c r="B263" s="35"/>
      <c r="C263" s="35"/>
      <c r="D263" s="35"/>
      <c r="E263" s="35"/>
      <c r="F263" s="39"/>
      <c r="G263" s="187"/>
      <c r="H263" s="35"/>
      <c r="I263" s="20"/>
      <c r="J263" s="20"/>
      <c r="K263" s="20"/>
      <c r="L263" s="39"/>
      <c r="M263" s="20"/>
      <c r="N263" s="67">
        <f t="shared" si="3"/>
        <v>0</v>
      </c>
    </row>
    <row r="264" spans="2:14">
      <c r="B264" s="35"/>
      <c r="C264" s="35"/>
      <c r="D264" s="35"/>
      <c r="E264" s="35"/>
      <c r="F264" s="39"/>
      <c r="G264" s="187"/>
      <c r="H264" s="35"/>
      <c r="I264" s="20"/>
      <c r="J264" s="20"/>
      <c r="K264" s="20"/>
      <c r="L264" s="39"/>
      <c r="M264" s="20"/>
      <c r="N264" s="67">
        <f t="shared" si="3"/>
        <v>0</v>
      </c>
    </row>
    <row r="265" spans="2:14">
      <c r="B265" s="35"/>
      <c r="C265" s="35"/>
      <c r="D265" s="35"/>
      <c r="E265" s="35"/>
      <c r="F265" s="39"/>
      <c r="G265" s="187"/>
      <c r="H265" s="35"/>
      <c r="I265" s="20"/>
      <c r="J265" s="20"/>
      <c r="K265" s="20"/>
      <c r="L265" s="39"/>
      <c r="M265" s="20"/>
      <c r="N265" s="67">
        <f t="shared" si="3"/>
        <v>0</v>
      </c>
    </row>
    <row r="266" spans="2:14">
      <c r="B266" s="35"/>
      <c r="C266" s="35"/>
      <c r="D266" s="35"/>
      <c r="E266" s="35"/>
      <c r="F266" s="39"/>
      <c r="G266" s="187"/>
      <c r="H266" s="35"/>
      <c r="I266" s="20"/>
      <c r="J266" s="20"/>
      <c r="K266" s="20"/>
      <c r="L266" s="39"/>
      <c r="M266" s="20"/>
      <c r="N266" s="67">
        <f t="shared" si="3"/>
        <v>0</v>
      </c>
    </row>
    <row r="267" spans="2:14">
      <c r="B267" s="35"/>
      <c r="C267" s="35"/>
      <c r="D267" s="35"/>
      <c r="E267" s="35"/>
      <c r="F267" s="39"/>
      <c r="G267" s="187"/>
      <c r="H267" s="35"/>
      <c r="I267" s="20"/>
      <c r="J267" s="20"/>
      <c r="K267" s="20"/>
      <c r="L267" s="39"/>
      <c r="M267" s="20"/>
      <c r="N267" s="67">
        <f t="shared" ref="N267:N330" si="4">IF(ISBLANK(B267),0%,(IF($K$4=$L$10,$M$4-L267,IF($K$4=$G$10, $M$4-G267,_xlfn.XLOOKUP($K$4,$B$10:$M$10,B267:M267,,0)))/$M$4)*$L$4+(IF($K$5=$L$10,$M$5-L267,IF($K$5=$G$10, $M$5-G267, _xlfn.XLOOKUP($K$5,$B$10:$M$10,B267:M267,,0)))/$M$5)*$L$5+(IF($K$6=$L$10,$M$6-L267,IF($K$6=$G$10,$M$6-G267,_xlfn.XLOOKUP($K$6,$B$10:$M$10,B267:M267,,0)))/$M$6)*$L$6)</f>
        <v>0</v>
      </c>
    </row>
    <row r="268" spans="2:14">
      <c r="B268" s="35"/>
      <c r="C268" s="35"/>
      <c r="D268" s="35"/>
      <c r="E268" s="35"/>
      <c r="F268" s="39"/>
      <c r="G268" s="187"/>
      <c r="H268" s="35"/>
      <c r="I268" s="20"/>
      <c r="J268" s="20"/>
      <c r="K268" s="20"/>
      <c r="L268" s="39"/>
      <c r="M268" s="20"/>
      <c r="N268" s="67">
        <f t="shared" si="4"/>
        <v>0</v>
      </c>
    </row>
    <row r="269" spans="2:14">
      <c r="B269" s="35"/>
      <c r="C269" s="35"/>
      <c r="D269" s="35"/>
      <c r="E269" s="35"/>
      <c r="F269" s="39"/>
      <c r="G269" s="187"/>
      <c r="H269" s="35"/>
      <c r="I269" s="20"/>
      <c r="J269" s="20"/>
      <c r="K269" s="20"/>
      <c r="L269" s="39"/>
      <c r="M269" s="20"/>
      <c r="N269" s="67">
        <f t="shared" si="4"/>
        <v>0</v>
      </c>
    </row>
    <row r="270" spans="2:14">
      <c r="B270" s="35"/>
      <c r="C270" s="35"/>
      <c r="D270" s="35"/>
      <c r="E270" s="35"/>
      <c r="F270" s="39"/>
      <c r="G270" s="187"/>
      <c r="H270" s="35"/>
      <c r="I270" s="20"/>
      <c r="J270" s="20"/>
      <c r="K270" s="20"/>
      <c r="L270" s="39"/>
      <c r="M270" s="20"/>
      <c r="N270" s="67">
        <f t="shared" si="4"/>
        <v>0</v>
      </c>
    </row>
    <row r="271" spans="2:14">
      <c r="B271" s="35"/>
      <c r="C271" s="35"/>
      <c r="D271" s="35"/>
      <c r="E271" s="35"/>
      <c r="F271" s="39"/>
      <c r="G271" s="187"/>
      <c r="H271" s="35"/>
      <c r="I271" s="20"/>
      <c r="J271" s="20"/>
      <c r="K271" s="20"/>
      <c r="L271" s="39"/>
      <c r="M271" s="20"/>
      <c r="N271" s="67">
        <f t="shared" si="4"/>
        <v>0</v>
      </c>
    </row>
    <row r="272" spans="2:14">
      <c r="B272" s="35"/>
      <c r="C272" s="35"/>
      <c r="D272" s="35"/>
      <c r="E272" s="35"/>
      <c r="F272" s="39"/>
      <c r="G272" s="187"/>
      <c r="H272" s="35"/>
      <c r="I272" s="20"/>
      <c r="J272" s="20"/>
      <c r="K272" s="20"/>
      <c r="L272" s="39"/>
      <c r="M272" s="20"/>
      <c r="N272" s="67">
        <f t="shared" si="4"/>
        <v>0</v>
      </c>
    </row>
    <row r="273" spans="2:14">
      <c r="B273" s="35"/>
      <c r="C273" s="35"/>
      <c r="D273" s="35"/>
      <c r="E273" s="35"/>
      <c r="F273" s="39"/>
      <c r="G273" s="187"/>
      <c r="H273" s="35"/>
      <c r="I273" s="20"/>
      <c r="J273" s="20"/>
      <c r="K273" s="20"/>
      <c r="L273" s="39"/>
      <c r="M273" s="20"/>
      <c r="N273" s="67">
        <f t="shared" si="4"/>
        <v>0</v>
      </c>
    </row>
    <row r="274" spans="2:14">
      <c r="B274" s="35"/>
      <c r="C274" s="35"/>
      <c r="D274" s="35"/>
      <c r="E274" s="35"/>
      <c r="F274" s="39"/>
      <c r="G274" s="187"/>
      <c r="H274" s="35"/>
      <c r="I274" s="20"/>
      <c r="J274" s="20"/>
      <c r="K274" s="20"/>
      <c r="L274" s="39"/>
      <c r="M274" s="20"/>
      <c r="N274" s="67">
        <f t="shared" si="4"/>
        <v>0</v>
      </c>
    </row>
    <row r="275" spans="2:14">
      <c r="B275" s="35"/>
      <c r="C275" s="35"/>
      <c r="D275" s="35"/>
      <c r="E275" s="35"/>
      <c r="F275" s="39"/>
      <c r="G275" s="187"/>
      <c r="H275" s="35"/>
      <c r="I275" s="20"/>
      <c r="J275" s="20"/>
      <c r="K275" s="20"/>
      <c r="L275" s="39"/>
      <c r="M275" s="20"/>
      <c r="N275" s="67">
        <f t="shared" si="4"/>
        <v>0</v>
      </c>
    </row>
    <row r="276" spans="2:14">
      <c r="B276" s="35"/>
      <c r="C276" s="35"/>
      <c r="D276" s="35"/>
      <c r="E276" s="35"/>
      <c r="F276" s="39"/>
      <c r="G276" s="187"/>
      <c r="H276" s="35"/>
      <c r="I276" s="20"/>
      <c r="J276" s="20"/>
      <c r="K276" s="20"/>
      <c r="L276" s="39"/>
      <c r="M276" s="20"/>
      <c r="N276" s="67">
        <f t="shared" si="4"/>
        <v>0</v>
      </c>
    </row>
    <row r="277" spans="2:14">
      <c r="B277" s="35"/>
      <c r="C277" s="35"/>
      <c r="D277" s="35"/>
      <c r="E277" s="35"/>
      <c r="F277" s="39"/>
      <c r="G277" s="187"/>
      <c r="H277" s="35"/>
      <c r="I277" s="20"/>
      <c r="J277" s="20"/>
      <c r="K277" s="20"/>
      <c r="L277" s="39"/>
      <c r="M277" s="20"/>
      <c r="N277" s="67">
        <f t="shared" si="4"/>
        <v>0</v>
      </c>
    </row>
    <row r="278" spans="2:14">
      <c r="B278" s="35"/>
      <c r="C278" s="35"/>
      <c r="D278" s="35"/>
      <c r="E278" s="35"/>
      <c r="F278" s="39"/>
      <c r="G278" s="187"/>
      <c r="H278" s="35"/>
      <c r="I278" s="20"/>
      <c r="J278" s="20"/>
      <c r="K278" s="20"/>
      <c r="L278" s="39"/>
      <c r="M278" s="20"/>
      <c r="N278" s="67">
        <f t="shared" si="4"/>
        <v>0</v>
      </c>
    </row>
    <row r="279" spans="2:14">
      <c r="B279" s="35"/>
      <c r="C279" s="35"/>
      <c r="D279" s="35"/>
      <c r="E279" s="35"/>
      <c r="F279" s="39"/>
      <c r="G279" s="187"/>
      <c r="H279" s="35"/>
      <c r="I279" s="20"/>
      <c r="J279" s="20"/>
      <c r="K279" s="20"/>
      <c r="L279" s="39"/>
      <c r="M279" s="20"/>
      <c r="N279" s="67">
        <f t="shared" si="4"/>
        <v>0</v>
      </c>
    </row>
    <row r="280" spans="2:14">
      <c r="B280" s="35"/>
      <c r="C280" s="35"/>
      <c r="D280" s="35"/>
      <c r="E280" s="35"/>
      <c r="F280" s="39"/>
      <c r="G280" s="187"/>
      <c r="H280" s="35"/>
      <c r="I280" s="20"/>
      <c r="J280" s="20"/>
      <c r="K280" s="20"/>
      <c r="L280" s="39"/>
      <c r="M280" s="20"/>
      <c r="N280" s="67">
        <f t="shared" si="4"/>
        <v>0</v>
      </c>
    </row>
    <row r="281" spans="2:14">
      <c r="B281" s="35"/>
      <c r="C281" s="35"/>
      <c r="D281" s="35"/>
      <c r="E281" s="35"/>
      <c r="F281" s="39"/>
      <c r="G281" s="187"/>
      <c r="H281" s="35"/>
      <c r="I281" s="20"/>
      <c r="J281" s="20"/>
      <c r="K281" s="20"/>
      <c r="L281" s="39"/>
      <c r="M281" s="20"/>
      <c r="N281" s="67">
        <f t="shared" si="4"/>
        <v>0</v>
      </c>
    </row>
    <row r="282" spans="2:14">
      <c r="B282" s="35"/>
      <c r="C282" s="35"/>
      <c r="D282" s="35"/>
      <c r="E282" s="35"/>
      <c r="F282" s="39"/>
      <c r="G282" s="187"/>
      <c r="H282" s="35"/>
      <c r="I282" s="20"/>
      <c r="J282" s="20"/>
      <c r="K282" s="20"/>
      <c r="L282" s="39"/>
      <c r="M282" s="20"/>
      <c r="N282" s="67">
        <f t="shared" si="4"/>
        <v>0</v>
      </c>
    </row>
    <row r="283" spans="2:14">
      <c r="B283" s="35"/>
      <c r="C283" s="35"/>
      <c r="D283" s="35"/>
      <c r="E283" s="35"/>
      <c r="F283" s="39"/>
      <c r="G283" s="187"/>
      <c r="H283" s="35"/>
      <c r="I283" s="20"/>
      <c r="J283" s="20"/>
      <c r="K283" s="20"/>
      <c r="L283" s="39"/>
      <c r="M283" s="20"/>
      <c r="N283" s="67">
        <f t="shared" si="4"/>
        <v>0</v>
      </c>
    </row>
    <row r="284" spans="2:14">
      <c r="B284" s="35"/>
      <c r="C284" s="35"/>
      <c r="D284" s="35"/>
      <c r="E284" s="35"/>
      <c r="F284" s="39"/>
      <c r="G284" s="187"/>
      <c r="H284" s="35"/>
      <c r="I284" s="20"/>
      <c r="J284" s="20"/>
      <c r="K284" s="20"/>
      <c r="L284" s="39"/>
      <c r="M284" s="20"/>
      <c r="N284" s="67">
        <f t="shared" si="4"/>
        <v>0</v>
      </c>
    </row>
    <row r="285" spans="2:14">
      <c r="B285" s="35"/>
      <c r="C285" s="35"/>
      <c r="D285" s="35"/>
      <c r="E285" s="35"/>
      <c r="F285" s="39"/>
      <c r="G285" s="187"/>
      <c r="H285" s="35"/>
      <c r="I285" s="20"/>
      <c r="J285" s="20"/>
      <c r="K285" s="20"/>
      <c r="L285" s="39"/>
      <c r="M285" s="20"/>
      <c r="N285" s="67">
        <f t="shared" si="4"/>
        <v>0</v>
      </c>
    </row>
    <row r="286" spans="2:14">
      <c r="B286" s="35"/>
      <c r="C286" s="35"/>
      <c r="D286" s="35"/>
      <c r="E286" s="35"/>
      <c r="F286" s="39"/>
      <c r="G286" s="187"/>
      <c r="H286" s="35"/>
      <c r="I286" s="20"/>
      <c r="J286" s="20"/>
      <c r="K286" s="20"/>
      <c r="L286" s="39"/>
      <c r="M286" s="20"/>
      <c r="N286" s="67">
        <f t="shared" si="4"/>
        <v>0</v>
      </c>
    </row>
    <row r="287" spans="2:14">
      <c r="B287" s="35"/>
      <c r="C287" s="35"/>
      <c r="D287" s="35"/>
      <c r="E287" s="35"/>
      <c r="F287" s="39"/>
      <c r="G287" s="187"/>
      <c r="H287" s="35"/>
      <c r="I287" s="20"/>
      <c r="J287" s="20"/>
      <c r="K287" s="20"/>
      <c r="L287" s="39"/>
      <c r="M287" s="20"/>
      <c r="N287" s="67">
        <f t="shared" si="4"/>
        <v>0</v>
      </c>
    </row>
    <row r="288" spans="2:14">
      <c r="B288" s="35"/>
      <c r="C288" s="35"/>
      <c r="D288" s="35"/>
      <c r="E288" s="35"/>
      <c r="F288" s="39"/>
      <c r="G288" s="187"/>
      <c r="H288" s="35"/>
      <c r="I288" s="20"/>
      <c r="J288" s="20"/>
      <c r="K288" s="20"/>
      <c r="L288" s="39"/>
      <c r="M288" s="20"/>
      <c r="N288" s="67">
        <f t="shared" si="4"/>
        <v>0</v>
      </c>
    </row>
    <row r="289" spans="2:14">
      <c r="B289" s="35"/>
      <c r="C289" s="35"/>
      <c r="D289" s="35"/>
      <c r="E289" s="35"/>
      <c r="F289" s="39"/>
      <c r="G289" s="187"/>
      <c r="H289" s="35"/>
      <c r="I289" s="20"/>
      <c r="J289" s="20"/>
      <c r="K289" s="20"/>
      <c r="L289" s="39"/>
      <c r="M289" s="20"/>
      <c r="N289" s="67">
        <f t="shared" si="4"/>
        <v>0</v>
      </c>
    </row>
    <row r="290" spans="2:14">
      <c r="B290" s="35"/>
      <c r="C290" s="35"/>
      <c r="D290" s="35"/>
      <c r="E290" s="35"/>
      <c r="F290" s="39"/>
      <c r="G290" s="187"/>
      <c r="H290" s="35"/>
      <c r="I290" s="20"/>
      <c r="J290" s="20"/>
      <c r="K290" s="20"/>
      <c r="L290" s="39"/>
      <c r="M290" s="20"/>
      <c r="N290" s="67">
        <f t="shared" si="4"/>
        <v>0</v>
      </c>
    </row>
    <row r="291" spans="2:14">
      <c r="B291" s="35"/>
      <c r="C291" s="35"/>
      <c r="D291" s="35"/>
      <c r="E291" s="35"/>
      <c r="F291" s="39"/>
      <c r="G291" s="187"/>
      <c r="H291" s="35"/>
      <c r="I291" s="20"/>
      <c r="J291" s="20"/>
      <c r="K291" s="20"/>
      <c r="L291" s="39"/>
      <c r="M291" s="20"/>
      <c r="N291" s="67">
        <f t="shared" si="4"/>
        <v>0</v>
      </c>
    </row>
    <row r="292" spans="2:14">
      <c r="B292" s="35"/>
      <c r="C292" s="35"/>
      <c r="D292" s="35"/>
      <c r="E292" s="35"/>
      <c r="F292" s="39"/>
      <c r="G292" s="187"/>
      <c r="H292" s="35"/>
      <c r="I292" s="20"/>
      <c r="J292" s="20"/>
      <c r="K292" s="20"/>
      <c r="L292" s="39"/>
      <c r="M292" s="20"/>
      <c r="N292" s="67">
        <f t="shared" si="4"/>
        <v>0</v>
      </c>
    </row>
    <row r="293" spans="2:14">
      <c r="B293" s="35"/>
      <c r="C293" s="35"/>
      <c r="D293" s="35"/>
      <c r="E293" s="35"/>
      <c r="F293" s="39"/>
      <c r="G293" s="187"/>
      <c r="H293" s="35"/>
      <c r="I293" s="20"/>
      <c r="J293" s="20"/>
      <c r="K293" s="20"/>
      <c r="L293" s="39"/>
      <c r="M293" s="20"/>
      <c r="N293" s="67">
        <f t="shared" si="4"/>
        <v>0</v>
      </c>
    </row>
    <row r="294" spans="2:14">
      <c r="B294" s="35"/>
      <c r="C294" s="35"/>
      <c r="D294" s="35"/>
      <c r="E294" s="35"/>
      <c r="F294" s="39"/>
      <c r="G294" s="187"/>
      <c r="H294" s="35"/>
      <c r="I294" s="20"/>
      <c r="J294" s="20"/>
      <c r="K294" s="20"/>
      <c r="L294" s="39"/>
      <c r="M294" s="20"/>
      <c r="N294" s="67">
        <f t="shared" si="4"/>
        <v>0</v>
      </c>
    </row>
    <row r="295" spans="2:14">
      <c r="B295" s="35"/>
      <c r="C295" s="35"/>
      <c r="D295" s="35"/>
      <c r="E295" s="35"/>
      <c r="F295" s="39"/>
      <c r="G295" s="187"/>
      <c r="H295" s="35"/>
      <c r="I295" s="20"/>
      <c r="J295" s="20"/>
      <c r="K295" s="20"/>
      <c r="L295" s="39"/>
      <c r="M295" s="20"/>
      <c r="N295" s="67">
        <f t="shared" si="4"/>
        <v>0</v>
      </c>
    </row>
    <row r="296" spans="2:14">
      <c r="B296" s="35"/>
      <c r="C296" s="35"/>
      <c r="D296" s="35"/>
      <c r="E296" s="35"/>
      <c r="F296" s="39"/>
      <c r="G296" s="187"/>
      <c r="H296" s="35"/>
      <c r="I296" s="20"/>
      <c r="J296" s="20"/>
      <c r="K296" s="20"/>
      <c r="L296" s="39"/>
      <c r="M296" s="20"/>
      <c r="N296" s="67">
        <f t="shared" si="4"/>
        <v>0</v>
      </c>
    </row>
    <row r="297" spans="2:14">
      <c r="B297" s="35"/>
      <c r="C297" s="35"/>
      <c r="D297" s="35"/>
      <c r="E297" s="35"/>
      <c r="F297" s="39"/>
      <c r="G297" s="187"/>
      <c r="H297" s="35"/>
      <c r="I297" s="20"/>
      <c r="J297" s="20"/>
      <c r="K297" s="20"/>
      <c r="L297" s="39"/>
      <c r="M297" s="20"/>
      <c r="N297" s="67">
        <f t="shared" si="4"/>
        <v>0</v>
      </c>
    </row>
    <row r="298" spans="2:14">
      <c r="B298" s="35"/>
      <c r="C298" s="35"/>
      <c r="D298" s="35"/>
      <c r="E298" s="35"/>
      <c r="F298" s="39"/>
      <c r="G298" s="187"/>
      <c r="H298" s="35"/>
      <c r="I298" s="20"/>
      <c r="J298" s="20"/>
      <c r="K298" s="20"/>
      <c r="L298" s="39"/>
      <c r="M298" s="20"/>
      <c r="N298" s="67">
        <f t="shared" si="4"/>
        <v>0</v>
      </c>
    </row>
    <row r="299" spans="2:14">
      <c r="B299" s="35"/>
      <c r="C299" s="35"/>
      <c r="D299" s="35"/>
      <c r="E299" s="35"/>
      <c r="F299" s="39"/>
      <c r="G299" s="187"/>
      <c r="H299" s="35"/>
      <c r="I299" s="20"/>
      <c r="J299" s="20"/>
      <c r="K299" s="20"/>
      <c r="L299" s="39"/>
      <c r="M299" s="20"/>
      <c r="N299" s="67">
        <f t="shared" si="4"/>
        <v>0</v>
      </c>
    </row>
    <row r="300" spans="2:14">
      <c r="B300" s="35"/>
      <c r="C300" s="35"/>
      <c r="D300" s="35"/>
      <c r="E300" s="35"/>
      <c r="F300" s="39"/>
      <c r="G300" s="187"/>
      <c r="H300" s="35"/>
      <c r="I300" s="20"/>
      <c r="J300" s="20"/>
      <c r="K300" s="20"/>
      <c r="L300" s="39"/>
      <c r="M300" s="20"/>
      <c r="N300" s="67">
        <f t="shared" si="4"/>
        <v>0</v>
      </c>
    </row>
    <row r="301" spans="2:14">
      <c r="B301" s="35"/>
      <c r="C301" s="35"/>
      <c r="D301" s="35"/>
      <c r="E301" s="35"/>
      <c r="F301" s="39"/>
      <c r="G301" s="187"/>
      <c r="H301" s="35"/>
      <c r="I301" s="20"/>
      <c r="J301" s="20"/>
      <c r="K301" s="20"/>
      <c r="L301" s="39"/>
      <c r="M301" s="20"/>
      <c r="N301" s="67">
        <f t="shared" si="4"/>
        <v>0</v>
      </c>
    </row>
    <row r="302" spans="2:14">
      <c r="B302" s="35"/>
      <c r="C302" s="35"/>
      <c r="D302" s="35"/>
      <c r="E302" s="35"/>
      <c r="F302" s="39"/>
      <c r="G302" s="187"/>
      <c r="H302" s="35"/>
      <c r="I302" s="20"/>
      <c r="J302" s="20"/>
      <c r="K302" s="20"/>
      <c r="L302" s="39"/>
      <c r="M302" s="20"/>
      <c r="N302" s="67">
        <f t="shared" si="4"/>
        <v>0</v>
      </c>
    </row>
    <row r="303" spans="2:14">
      <c r="B303" s="35"/>
      <c r="C303" s="35"/>
      <c r="D303" s="35"/>
      <c r="E303" s="35"/>
      <c r="F303" s="39"/>
      <c r="G303" s="187"/>
      <c r="H303" s="35"/>
      <c r="I303" s="20"/>
      <c r="J303" s="20"/>
      <c r="K303" s="20"/>
      <c r="L303" s="39"/>
      <c r="M303" s="20"/>
      <c r="N303" s="67">
        <f t="shared" si="4"/>
        <v>0</v>
      </c>
    </row>
    <row r="304" spans="2:14">
      <c r="B304" s="35"/>
      <c r="C304" s="35"/>
      <c r="D304" s="35"/>
      <c r="E304" s="35"/>
      <c r="F304" s="39"/>
      <c r="G304" s="187"/>
      <c r="H304" s="35"/>
      <c r="I304" s="20"/>
      <c r="J304" s="20"/>
      <c r="K304" s="20"/>
      <c r="L304" s="39"/>
      <c r="M304" s="20"/>
      <c r="N304" s="67">
        <f t="shared" si="4"/>
        <v>0</v>
      </c>
    </row>
    <row r="305" spans="2:14">
      <c r="B305" s="35"/>
      <c r="C305" s="35"/>
      <c r="D305" s="35"/>
      <c r="E305" s="35"/>
      <c r="F305" s="39"/>
      <c r="G305" s="187"/>
      <c r="H305" s="35"/>
      <c r="I305" s="20"/>
      <c r="J305" s="20"/>
      <c r="K305" s="20"/>
      <c r="L305" s="39"/>
      <c r="M305" s="20"/>
      <c r="N305" s="67">
        <f t="shared" si="4"/>
        <v>0</v>
      </c>
    </row>
    <row r="306" spans="2:14">
      <c r="B306" s="35"/>
      <c r="C306" s="35"/>
      <c r="D306" s="35"/>
      <c r="E306" s="35"/>
      <c r="F306" s="39"/>
      <c r="G306" s="187"/>
      <c r="H306" s="35"/>
      <c r="I306" s="20"/>
      <c r="J306" s="20"/>
      <c r="K306" s="20"/>
      <c r="L306" s="39"/>
      <c r="M306" s="20"/>
      <c r="N306" s="67">
        <f t="shared" si="4"/>
        <v>0</v>
      </c>
    </row>
    <row r="307" spans="2:14">
      <c r="B307" s="35"/>
      <c r="C307" s="35"/>
      <c r="D307" s="35"/>
      <c r="E307" s="35"/>
      <c r="F307" s="39"/>
      <c r="G307" s="187"/>
      <c r="H307" s="35"/>
      <c r="I307" s="20"/>
      <c r="J307" s="20"/>
      <c r="K307" s="20"/>
      <c r="L307" s="39"/>
      <c r="M307" s="20"/>
      <c r="N307" s="67">
        <f t="shared" si="4"/>
        <v>0</v>
      </c>
    </row>
    <row r="308" spans="2:14">
      <c r="B308" s="35"/>
      <c r="C308" s="35"/>
      <c r="D308" s="35"/>
      <c r="E308" s="35"/>
      <c r="F308" s="39"/>
      <c r="G308" s="187"/>
      <c r="H308" s="35"/>
      <c r="I308" s="20"/>
      <c r="J308" s="20"/>
      <c r="K308" s="20"/>
      <c r="L308" s="39"/>
      <c r="M308" s="20"/>
      <c r="N308" s="67">
        <f t="shared" si="4"/>
        <v>0</v>
      </c>
    </row>
    <row r="309" spans="2:14">
      <c r="B309" s="35"/>
      <c r="C309" s="35"/>
      <c r="D309" s="35"/>
      <c r="E309" s="35"/>
      <c r="F309" s="39"/>
      <c r="G309" s="187"/>
      <c r="H309" s="35"/>
      <c r="I309" s="20"/>
      <c r="J309" s="20"/>
      <c r="K309" s="20"/>
      <c r="L309" s="39"/>
      <c r="M309" s="20"/>
      <c r="N309" s="67">
        <f t="shared" si="4"/>
        <v>0</v>
      </c>
    </row>
    <row r="310" spans="2:14">
      <c r="B310" s="35"/>
      <c r="C310" s="35"/>
      <c r="D310" s="35"/>
      <c r="E310" s="35"/>
      <c r="F310" s="39"/>
      <c r="G310" s="187"/>
      <c r="H310" s="35"/>
      <c r="I310" s="20"/>
      <c r="J310" s="20"/>
      <c r="K310" s="20"/>
      <c r="L310" s="39"/>
      <c r="M310" s="20"/>
      <c r="N310" s="67">
        <f t="shared" si="4"/>
        <v>0</v>
      </c>
    </row>
    <row r="311" spans="2:14">
      <c r="B311" s="35"/>
      <c r="C311" s="35"/>
      <c r="D311" s="35"/>
      <c r="E311" s="35"/>
      <c r="F311" s="39"/>
      <c r="G311" s="187"/>
      <c r="H311" s="35"/>
      <c r="I311" s="20"/>
      <c r="J311" s="20"/>
      <c r="K311" s="20"/>
      <c r="L311" s="39"/>
      <c r="M311" s="20"/>
      <c r="N311" s="67">
        <f t="shared" si="4"/>
        <v>0</v>
      </c>
    </row>
    <row r="312" spans="2:14">
      <c r="B312" s="35"/>
      <c r="C312" s="35"/>
      <c r="D312" s="35"/>
      <c r="E312" s="35"/>
      <c r="F312" s="39"/>
      <c r="G312" s="187"/>
      <c r="H312" s="35"/>
      <c r="I312" s="20"/>
      <c r="J312" s="20"/>
      <c r="K312" s="20"/>
      <c r="L312" s="39"/>
      <c r="M312" s="20"/>
      <c r="N312" s="67">
        <f t="shared" si="4"/>
        <v>0</v>
      </c>
    </row>
    <row r="313" spans="2:14">
      <c r="B313" s="35"/>
      <c r="C313" s="35"/>
      <c r="D313" s="35"/>
      <c r="E313" s="35"/>
      <c r="F313" s="39"/>
      <c r="G313" s="187"/>
      <c r="H313" s="35"/>
      <c r="I313" s="20"/>
      <c r="J313" s="20"/>
      <c r="K313" s="20"/>
      <c r="L313" s="39"/>
      <c r="M313" s="20"/>
      <c r="N313" s="67">
        <f t="shared" si="4"/>
        <v>0</v>
      </c>
    </row>
    <row r="314" spans="2:14">
      <c r="B314" s="35"/>
      <c r="C314" s="35"/>
      <c r="D314" s="35"/>
      <c r="E314" s="35"/>
      <c r="F314" s="39"/>
      <c r="G314" s="187"/>
      <c r="H314" s="35"/>
      <c r="I314" s="20"/>
      <c r="J314" s="20"/>
      <c r="K314" s="20"/>
      <c r="L314" s="39"/>
      <c r="M314" s="20"/>
      <c r="N314" s="67">
        <f t="shared" si="4"/>
        <v>0</v>
      </c>
    </row>
    <row r="315" spans="2:14">
      <c r="B315" s="35"/>
      <c r="C315" s="35"/>
      <c r="D315" s="35"/>
      <c r="E315" s="35"/>
      <c r="F315" s="39"/>
      <c r="G315" s="187"/>
      <c r="H315" s="35"/>
      <c r="I315" s="20"/>
      <c r="J315" s="20"/>
      <c r="K315" s="20"/>
      <c r="L315" s="39"/>
      <c r="M315" s="20"/>
      <c r="N315" s="67">
        <f t="shared" si="4"/>
        <v>0</v>
      </c>
    </row>
    <row r="316" spans="2:14">
      <c r="B316" s="35"/>
      <c r="C316" s="35"/>
      <c r="D316" s="35"/>
      <c r="E316" s="35"/>
      <c r="F316" s="39"/>
      <c r="G316" s="187"/>
      <c r="H316" s="35"/>
      <c r="I316" s="20"/>
      <c r="J316" s="20"/>
      <c r="K316" s="20"/>
      <c r="L316" s="39"/>
      <c r="M316" s="20"/>
      <c r="N316" s="67">
        <f t="shared" si="4"/>
        <v>0</v>
      </c>
    </row>
    <row r="317" spans="2:14">
      <c r="B317" s="35"/>
      <c r="C317" s="35"/>
      <c r="D317" s="35"/>
      <c r="E317" s="35"/>
      <c r="F317" s="39"/>
      <c r="G317" s="187"/>
      <c r="H317" s="35"/>
      <c r="I317" s="20"/>
      <c r="J317" s="20"/>
      <c r="K317" s="20"/>
      <c r="L317" s="39"/>
      <c r="M317" s="20"/>
      <c r="N317" s="67">
        <f t="shared" si="4"/>
        <v>0</v>
      </c>
    </row>
    <row r="318" spans="2:14">
      <c r="B318" s="35"/>
      <c r="C318" s="35"/>
      <c r="D318" s="35"/>
      <c r="E318" s="35"/>
      <c r="F318" s="39"/>
      <c r="G318" s="187"/>
      <c r="H318" s="35"/>
      <c r="I318" s="20"/>
      <c r="J318" s="20"/>
      <c r="K318" s="20"/>
      <c r="L318" s="39"/>
      <c r="M318" s="20"/>
      <c r="N318" s="67">
        <f t="shared" si="4"/>
        <v>0</v>
      </c>
    </row>
    <row r="319" spans="2:14">
      <c r="B319" s="35"/>
      <c r="C319" s="35"/>
      <c r="D319" s="35"/>
      <c r="E319" s="35"/>
      <c r="F319" s="39"/>
      <c r="G319" s="187"/>
      <c r="H319" s="35"/>
      <c r="I319" s="20"/>
      <c r="J319" s="20"/>
      <c r="K319" s="20"/>
      <c r="L319" s="39"/>
      <c r="M319" s="20"/>
      <c r="N319" s="67">
        <f t="shared" si="4"/>
        <v>0</v>
      </c>
    </row>
    <row r="320" spans="2:14">
      <c r="B320" s="35"/>
      <c r="C320" s="35"/>
      <c r="D320" s="35"/>
      <c r="E320" s="35"/>
      <c r="F320" s="39"/>
      <c r="G320" s="187"/>
      <c r="H320" s="35"/>
      <c r="I320" s="20"/>
      <c r="J320" s="20"/>
      <c r="K320" s="20"/>
      <c r="L320" s="39"/>
      <c r="M320" s="20"/>
      <c r="N320" s="67">
        <f t="shared" si="4"/>
        <v>0</v>
      </c>
    </row>
    <row r="321" spans="2:14">
      <c r="B321" s="35"/>
      <c r="C321" s="35"/>
      <c r="D321" s="35"/>
      <c r="E321" s="35"/>
      <c r="F321" s="39"/>
      <c r="G321" s="187"/>
      <c r="H321" s="35"/>
      <c r="I321" s="20"/>
      <c r="J321" s="20"/>
      <c r="K321" s="20"/>
      <c r="L321" s="39"/>
      <c r="M321" s="20"/>
      <c r="N321" s="67">
        <f t="shared" si="4"/>
        <v>0</v>
      </c>
    </row>
    <row r="322" spans="2:14">
      <c r="B322" s="35"/>
      <c r="C322" s="35"/>
      <c r="D322" s="35"/>
      <c r="E322" s="35"/>
      <c r="F322" s="39"/>
      <c r="G322" s="187"/>
      <c r="H322" s="35"/>
      <c r="I322" s="20"/>
      <c r="J322" s="20"/>
      <c r="K322" s="20"/>
      <c r="L322" s="39"/>
      <c r="M322" s="20"/>
      <c r="N322" s="67">
        <f t="shared" si="4"/>
        <v>0</v>
      </c>
    </row>
    <row r="323" spans="2:14">
      <c r="B323" s="35"/>
      <c r="C323" s="35"/>
      <c r="D323" s="35"/>
      <c r="E323" s="35"/>
      <c r="F323" s="39"/>
      <c r="G323" s="187"/>
      <c r="H323" s="35"/>
      <c r="I323" s="20"/>
      <c r="J323" s="20"/>
      <c r="K323" s="20"/>
      <c r="L323" s="39"/>
      <c r="M323" s="20"/>
      <c r="N323" s="67">
        <f t="shared" si="4"/>
        <v>0</v>
      </c>
    </row>
    <row r="324" spans="2:14">
      <c r="B324" s="35"/>
      <c r="C324" s="35"/>
      <c r="D324" s="35"/>
      <c r="E324" s="35"/>
      <c r="F324" s="39"/>
      <c r="G324" s="187"/>
      <c r="H324" s="35"/>
      <c r="I324" s="20"/>
      <c r="J324" s="20"/>
      <c r="K324" s="20"/>
      <c r="L324" s="39"/>
      <c r="M324" s="20"/>
      <c r="N324" s="67">
        <f t="shared" si="4"/>
        <v>0</v>
      </c>
    </row>
    <row r="325" spans="2:14">
      <c r="B325" s="35"/>
      <c r="C325" s="35"/>
      <c r="D325" s="35"/>
      <c r="E325" s="35"/>
      <c r="F325" s="39"/>
      <c r="G325" s="187"/>
      <c r="H325" s="35"/>
      <c r="I325" s="20"/>
      <c r="J325" s="20"/>
      <c r="K325" s="20"/>
      <c r="L325" s="39"/>
      <c r="M325" s="20"/>
      <c r="N325" s="67">
        <f t="shared" si="4"/>
        <v>0</v>
      </c>
    </row>
    <row r="326" spans="2:14">
      <c r="B326" s="35"/>
      <c r="C326" s="35"/>
      <c r="D326" s="35"/>
      <c r="E326" s="35"/>
      <c r="F326" s="39"/>
      <c r="G326" s="187"/>
      <c r="H326" s="35"/>
      <c r="I326" s="20"/>
      <c r="J326" s="20"/>
      <c r="K326" s="20"/>
      <c r="L326" s="39"/>
      <c r="M326" s="20"/>
      <c r="N326" s="67">
        <f t="shared" si="4"/>
        <v>0</v>
      </c>
    </row>
    <row r="327" spans="2:14">
      <c r="B327" s="35"/>
      <c r="C327" s="35"/>
      <c r="D327" s="35"/>
      <c r="E327" s="35"/>
      <c r="F327" s="39"/>
      <c r="G327" s="11"/>
      <c r="H327" s="35"/>
      <c r="I327" s="20"/>
      <c r="J327" s="20"/>
      <c r="K327" s="20"/>
      <c r="L327" s="39"/>
      <c r="M327" s="20"/>
      <c r="N327" s="67">
        <f t="shared" si="4"/>
        <v>0</v>
      </c>
    </row>
    <row r="328" spans="2:14">
      <c r="B328" s="35"/>
      <c r="C328" s="35"/>
      <c r="D328" s="35"/>
      <c r="E328" s="35"/>
      <c r="F328" s="39"/>
      <c r="G328" s="11"/>
      <c r="H328" s="35"/>
      <c r="I328" s="20"/>
      <c r="J328" s="20"/>
      <c r="K328" s="20"/>
      <c r="L328" s="39"/>
      <c r="M328" s="20"/>
      <c r="N328" s="67">
        <f t="shared" si="4"/>
        <v>0</v>
      </c>
    </row>
    <row r="329" spans="2:14">
      <c r="B329" s="35"/>
      <c r="C329" s="35"/>
      <c r="D329" s="35"/>
      <c r="E329" s="35"/>
      <c r="F329" s="39"/>
      <c r="G329" s="11"/>
      <c r="H329" s="35"/>
      <c r="I329" s="20"/>
      <c r="J329" s="20"/>
      <c r="K329" s="20"/>
      <c r="L329" s="39"/>
      <c r="M329" s="20"/>
      <c r="N329" s="67">
        <f t="shared" si="4"/>
        <v>0</v>
      </c>
    </row>
    <row r="330" spans="2:14">
      <c r="B330" s="35"/>
      <c r="C330" s="35"/>
      <c r="D330" s="35"/>
      <c r="E330" s="35"/>
      <c r="F330" s="39"/>
      <c r="G330" s="11"/>
      <c r="H330" s="35"/>
      <c r="I330" s="20"/>
      <c r="J330" s="20"/>
      <c r="K330" s="20"/>
      <c r="L330" s="39"/>
      <c r="M330" s="20"/>
      <c r="N330" s="67">
        <f t="shared" si="4"/>
        <v>0</v>
      </c>
    </row>
    <row r="331" spans="2:14">
      <c r="B331" s="35"/>
      <c r="C331" s="35"/>
      <c r="D331" s="35"/>
      <c r="E331" s="35"/>
      <c r="F331" s="39"/>
      <c r="G331" s="11"/>
      <c r="H331" s="35"/>
      <c r="I331" s="20"/>
      <c r="J331" s="20"/>
      <c r="K331" s="20"/>
      <c r="L331" s="39"/>
      <c r="M331" s="20"/>
      <c r="N331" s="67">
        <f t="shared" ref="N331" si="5">IF(ISBLANK(B331),0%,(IF($K$4=$L$10,$M$4-L331,IF($K$4=$G$10, $M$4-G331,_xlfn.XLOOKUP($K$4,$B$10:$M$10,B331:M331,,0)))/$M$4)*$L$4+(IF($K$5=$L$10,$M$5-L331,IF($K$5=$G$10, $M$5-G331, _xlfn.XLOOKUP($K$5,$B$10:$M$10,B331:M331,,0)))/$M$5)*$L$5+(IF($K$6=$L$10,$M$6-L331,IF($K$6=$G$10,$M$6-G331,_xlfn.XLOOKUP($K$6,$B$10:$M$10,B331:M331,,0)))/$M$6)*$L$6)</f>
        <v>0</v>
      </c>
    </row>
  </sheetData>
  <sheetProtection selectLockedCells="1" selectUnlockedCells="1"/>
  <autoFilter ref="B10:N331" xr:uid="{BA996482-4046-8B40-81FD-D5A9195387C3}">
    <sortState xmlns:xlrd2="http://schemas.microsoft.com/office/spreadsheetml/2017/richdata2" ref="B11:N331">
      <sortCondition descending="1" ref="N10:N331"/>
    </sortState>
  </autoFilter>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4B089-28AF-4FC8-A80F-7A6052ADE7D3}">
  <sheetPr codeName="Sheet2"/>
  <dimension ref="B1:Z163"/>
  <sheetViews>
    <sheetView showGridLines="0" topLeftCell="A7" zoomScale="85" zoomScaleNormal="85" workbookViewId="0">
      <selection activeCell="F24" sqref="F24:H24"/>
    </sheetView>
  </sheetViews>
  <sheetFormatPr defaultColWidth="8.875" defaultRowHeight="15"/>
  <cols>
    <col min="1" max="1" width="3.375" style="95" customWidth="1"/>
    <col min="2" max="12" width="8.875" style="95"/>
    <col min="13" max="14" width="8.375" style="95" customWidth="1"/>
    <col min="15" max="15" width="8.875" style="95"/>
    <col min="16" max="16" width="13.5" style="95" customWidth="1"/>
    <col min="17" max="21" width="8.875" style="95"/>
    <col min="22" max="22" width="12" style="95" bestFit="1" customWidth="1"/>
    <col min="23" max="23" width="11.875" style="95" customWidth="1"/>
    <col min="24" max="25" width="10.5" style="95" bestFit="1" customWidth="1"/>
    <col min="26" max="26" width="9.5" style="95" bestFit="1" customWidth="1"/>
    <col min="27" max="16384" width="8.875" style="95"/>
  </cols>
  <sheetData>
    <row r="1" spans="2:18" ht="18.75">
      <c r="B1" s="98" t="s">
        <v>193</v>
      </c>
    </row>
    <row r="3" spans="2:18">
      <c r="B3" s="113" t="s">
        <v>194</v>
      </c>
    </row>
    <row r="4" spans="2:18" ht="15.75" thickBot="1"/>
    <row r="5" spans="2:18" ht="15.75" thickBot="1">
      <c r="B5" s="266" t="s">
        <v>195</v>
      </c>
      <c r="C5" s="266"/>
      <c r="D5" s="266"/>
      <c r="E5" s="268"/>
      <c r="F5" s="279" t="str">
        <f>_xlfn.XLOOKUP('User Interface'!E72,'User Interface'!B64:B68,'User Interface'!I64:I68,,0)</f>
        <v>512 ANG MO KIO AVE 8</v>
      </c>
      <c r="G5" s="280"/>
      <c r="H5" s="281"/>
      <c r="N5" s="266" t="s">
        <v>196</v>
      </c>
      <c r="O5" s="266"/>
      <c r="P5" s="114">
        <v>0.3</v>
      </c>
      <c r="R5" s="95" t="str">
        <f>_xlfn.CONCAT("MSR should not exceed $",F9*P5)</f>
        <v>MSR should not exceed $1800</v>
      </c>
    </row>
    <row r="6" spans="2:18">
      <c r="B6" s="266" t="s">
        <v>197</v>
      </c>
      <c r="C6" s="266"/>
      <c r="D6" s="266"/>
      <c r="E6" s="266"/>
      <c r="F6" s="278">
        <f>_xlfn.XLOOKUP(F5,'User Interface'!I64:I68,'User Interface'!H64:H68,,0)</f>
        <v>538000</v>
      </c>
      <c r="G6" s="278"/>
      <c r="H6" s="278"/>
      <c r="I6" s="115" t="s">
        <v>198</v>
      </c>
      <c r="N6" s="266" t="s">
        <v>199</v>
      </c>
      <c r="O6" s="266"/>
      <c r="P6" s="114">
        <v>0.55000000000000004</v>
      </c>
      <c r="R6" s="95" t="str">
        <f>_xlfn.CONCAT("TDSR should not exceed  $",F9*P6)</f>
        <v>TDSR should not exceed  $3300</v>
      </c>
    </row>
    <row r="7" spans="2:18">
      <c r="B7" s="266" t="s">
        <v>200</v>
      </c>
      <c r="C7" s="266"/>
      <c r="D7" s="266"/>
      <c r="E7" s="266"/>
      <c r="F7" s="240">
        <f>F6-'User Interface'!C84</f>
        <v>488000</v>
      </c>
      <c r="G7" s="240"/>
      <c r="H7" s="240"/>
      <c r="I7" s="115" t="s">
        <v>201</v>
      </c>
    </row>
    <row r="9" spans="2:18">
      <c r="B9" s="266" t="s">
        <v>202</v>
      </c>
      <c r="C9" s="266"/>
      <c r="D9" s="266"/>
      <c r="E9" s="266"/>
      <c r="F9" s="240">
        <f>'User Interface'!C10</f>
        <v>6000</v>
      </c>
      <c r="G9" s="240"/>
      <c r="H9" s="240"/>
    </row>
    <row r="10" spans="2:18">
      <c r="B10" s="266" t="s">
        <v>203</v>
      </c>
      <c r="C10" s="266"/>
      <c r="D10" s="266"/>
      <c r="E10" s="266"/>
      <c r="F10" s="286">
        <f>'User Interface'!C11</f>
        <v>800</v>
      </c>
      <c r="G10" s="286"/>
      <c r="H10" s="286"/>
    </row>
    <row r="11" spans="2:18">
      <c r="B11" s="282" t="s">
        <v>204</v>
      </c>
      <c r="C11" s="282"/>
      <c r="D11" s="282"/>
      <c r="E11" s="282"/>
      <c r="F11" s="283">
        <f>'User Interface'!C12</f>
        <v>0</v>
      </c>
      <c r="G11" s="283"/>
      <c r="H11" s="283"/>
    </row>
    <row r="12" spans="2:18">
      <c r="B12" s="284" t="s">
        <v>205</v>
      </c>
      <c r="C12" s="284"/>
      <c r="D12" s="284"/>
      <c r="E12" s="284"/>
      <c r="F12" s="285">
        <f>'User Interface'!C14</f>
        <v>5000</v>
      </c>
      <c r="G12" s="285"/>
      <c r="H12" s="285"/>
    </row>
    <row r="13" spans="2:18">
      <c r="B13" s="127" t="s">
        <v>206</v>
      </c>
      <c r="C13" s="127"/>
      <c r="D13" s="127"/>
      <c r="E13" s="127"/>
      <c r="F13" s="278">
        <f>MAX(MIN(IF(F9*P6-F10&gt;F9*P5,F9*P5,F9*P6-F10),'User Interface'!C14),0)</f>
        <v>1800</v>
      </c>
      <c r="G13" s="278"/>
      <c r="H13" s="278"/>
      <c r="I13" s="116" t="str">
        <f>_xlfn.CONCAT("Maximum input is $",IF(F9*P6-F10&gt;F9*P5,F9*P5,F9*P6-F10)," to fulfill MSR and TDSR requirement")</f>
        <v>Maximum input is $1800 to fulfill MSR and TDSR requirement</v>
      </c>
      <c r="J13" s="116"/>
      <c r="K13" s="116"/>
    </row>
    <row r="16" spans="2:18">
      <c r="B16" s="117" t="s">
        <v>207</v>
      </c>
    </row>
    <row r="18" spans="2:20" ht="18.75">
      <c r="B18" s="98" t="s">
        <v>208</v>
      </c>
    </row>
    <row r="19" spans="2:20" ht="15.75" thickBot="1">
      <c r="B19" s="115" t="str">
        <f>IF(AND(IF('User Interface'!C5="Single",IF('HDB Lease Calculator'!F9&lt;='Data Validation Tables M2'!L28, TRUE,FALSE),IF('HDB Lease Calculator'!F9&lt;='Data Validation Tables M2'!L27,TRUE,FALSE)),'User Interface'!C15="No"),"Eligible","Not Eligible")</f>
        <v>Not Eligible</v>
      </c>
      <c r="M19" s="118"/>
      <c r="N19" s="118"/>
      <c r="O19" s="118"/>
      <c r="P19" s="118"/>
    </row>
    <row r="20" spans="2:20" ht="15.75" thickBot="1">
      <c r="B20" s="266" t="s">
        <v>209</v>
      </c>
      <c r="C20" s="266"/>
      <c r="D20" s="266"/>
      <c r="E20" s="268"/>
      <c r="F20" s="279">
        <f>'User Interface'!C16</f>
        <v>6</v>
      </c>
      <c r="G20" s="280"/>
      <c r="H20" s="281"/>
      <c r="I20" s="135" t="str">
        <f>"years (maximum "&amp;MIN(25, 65-'Data Validation Tables M2'!L34,'Data Validation Tables M2'!L33-20)&amp;" years)"</f>
        <v>years (maximum 25 years)</v>
      </c>
      <c r="N20" s="277" t="s">
        <v>210</v>
      </c>
      <c r="O20" s="277"/>
      <c r="P20" s="119">
        <v>2.5999999999999999E-2</v>
      </c>
      <c r="Q20" s="115" t="s">
        <v>211</v>
      </c>
      <c r="R20" s="115" t="s">
        <v>212</v>
      </c>
    </row>
    <row r="21" spans="2:20">
      <c r="B21" s="266" t="s">
        <v>70</v>
      </c>
      <c r="C21" s="266"/>
      <c r="D21" s="266"/>
      <c r="E21" s="266"/>
      <c r="F21" s="278">
        <f>MAX(0.2*F7,'User Interface'!C13)</f>
        <v>200000</v>
      </c>
      <c r="G21" s="278"/>
      <c r="H21" s="278"/>
      <c r="I21" s="115" t="str">
        <f>_xlfn.CONCAT("Minimum downpayment for HDB loan is $",F7*0.2," (20%)")</f>
        <v>Minimum downpayment for HDB loan is $97600 (20%)</v>
      </c>
      <c r="M21" s="104"/>
      <c r="N21" s="104"/>
      <c r="O21" s="103"/>
      <c r="P21" s="103"/>
    </row>
    <row r="22" spans="2:20">
      <c r="B22" s="266" t="s">
        <v>213</v>
      </c>
      <c r="C22" s="266"/>
      <c r="D22" s="266"/>
      <c r="E22" s="266"/>
      <c r="F22" s="240">
        <f>F7-F21</f>
        <v>288000</v>
      </c>
      <c r="G22" s="240"/>
      <c r="H22" s="240"/>
      <c r="M22" s="104"/>
      <c r="N22" s="104"/>
      <c r="O22" s="103"/>
      <c r="P22" s="103"/>
    </row>
    <row r="23" spans="2:20">
      <c r="T23" s="102"/>
    </row>
    <row r="24" spans="2:20">
      <c r="B24" s="241" t="s">
        <v>214</v>
      </c>
      <c r="C24" s="242"/>
      <c r="D24" s="242"/>
      <c r="E24" s="243"/>
      <c r="F24" s="247">
        <f>-PMT(P20/12,F20*12,F7-F21)</f>
        <v>4324.4317172186802</v>
      </c>
      <c r="G24" s="245"/>
      <c r="H24" s="246"/>
      <c r="I24" s="120" t="str">
        <f>IF(F24&lt;=F13,"","Monthly repayment exceed budget")</f>
        <v>Monthly repayment exceed budget</v>
      </c>
      <c r="M24" s="104"/>
      <c r="N24" s="104"/>
      <c r="O24" s="103"/>
      <c r="P24" s="103"/>
    </row>
    <row r="25" spans="2:20">
      <c r="B25" s="241" t="s">
        <v>215</v>
      </c>
      <c r="C25" s="242"/>
      <c r="D25" s="242"/>
      <c r="E25" s="243"/>
      <c r="F25" s="247">
        <f>F24*12*F20</f>
        <v>311359.08363974496</v>
      </c>
      <c r="G25" s="245"/>
      <c r="H25" s="246"/>
    </row>
    <row r="26" spans="2:20">
      <c r="B26" s="241" t="s">
        <v>75</v>
      </c>
      <c r="C26" s="242"/>
      <c r="D26" s="242"/>
      <c r="E26" s="243"/>
      <c r="F26" s="247">
        <f>F25-F7+F21</f>
        <v>23359.08363974496</v>
      </c>
      <c r="G26" s="245"/>
      <c r="H26" s="246"/>
    </row>
    <row r="29" spans="2:20" ht="18.75">
      <c r="B29" s="98" t="s">
        <v>216</v>
      </c>
    </row>
    <row r="30" spans="2:20" ht="15.75" thickBot="1"/>
    <row r="31" spans="2:20" ht="15.75" thickBot="1">
      <c r="B31" s="266" t="s">
        <v>209</v>
      </c>
      <c r="C31" s="266"/>
      <c r="D31" s="266"/>
      <c r="E31" s="268"/>
      <c r="F31" s="279">
        <f>'User Interface'!C17</f>
        <v>20</v>
      </c>
      <c r="G31" s="280"/>
      <c r="H31" s="281"/>
      <c r="I31" s="115" t="s">
        <v>217</v>
      </c>
    </row>
    <row r="32" spans="2:20">
      <c r="B32" s="277" t="s">
        <v>70</v>
      </c>
      <c r="C32" s="277"/>
      <c r="D32" s="277"/>
      <c r="E32" s="277"/>
      <c r="F32" s="278">
        <f>MAX(IF(F31&gt;25,F7*INDEX('Data Validation Tables M2'!I9:I11,MATCH('HDB Lease Calculator'!F11,'Data Validation Tables M2'!F9:F11,1)),F7*INDEX('Data Validation Tables M2'!D9:D11,MATCH('HDB Lease Calculator'!F11,'Data Validation Tables M2'!A9:A11,1))),'User Interface'!C13)</f>
        <v>200000</v>
      </c>
      <c r="G32" s="278"/>
      <c r="H32" s="278"/>
      <c r="I32" s="115" t="str">
        <f>_xlfn.CONCAT("Minimum downpayment for bank loan is $",IF(F31&gt;25,F7*INDEX('Data Validation Tables M2'!I9:I11,MATCH('HDB Lease Calculator'!F11,'Data Validation Tables M2'!F9:F11,1)),F7*INDEX('Data Validation Tables M2'!D9:D11,MATCH('HDB Lease Calculator'!F11,'Data Validation Tables M2'!A9:A11,0)))," (",IF(F31&gt;25,INDEX('Data Validation Tables M2'!I9:I11,MATCH('HDB Lease Calculator'!F11,'Data Validation Tables M2'!F9:F11,1)),INDEX('Data Validation Tables M2'!D9:D11,MATCH('HDB Lease Calculator'!F11,'Data Validation Tables M2'!A9:A11,0)))*100, "%)")</f>
        <v>Minimum downpayment for bank loan is $122000 (25%)</v>
      </c>
      <c r="N32" s="115" t="s">
        <v>218</v>
      </c>
    </row>
    <row r="33" spans="2:26">
      <c r="B33" s="277" t="s">
        <v>213</v>
      </c>
      <c r="C33" s="277"/>
      <c r="D33" s="277"/>
      <c r="E33" s="277"/>
      <c r="F33" s="278">
        <f>F7-F32</f>
        <v>288000</v>
      </c>
      <c r="G33" s="278"/>
      <c r="H33" s="278"/>
    </row>
    <row r="35" spans="2:26">
      <c r="Z35" s="121"/>
    </row>
    <row r="36" spans="2:26" ht="18.75">
      <c r="B36" s="98" t="s">
        <v>219</v>
      </c>
    </row>
    <row r="38" spans="2:26">
      <c r="B38" s="95" t="s">
        <v>220</v>
      </c>
      <c r="C38" s="115" t="str">
        <f>IF(F33&lt;'Data Validation Tables M2'!K18,"Not Eligible","Eligible")</f>
        <v>Eligible</v>
      </c>
      <c r="F38" s="257" t="s">
        <v>221</v>
      </c>
      <c r="G38" s="257"/>
      <c r="H38" s="257"/>
      <c r="I38" s="257" t="s">
        <v>222</v>
      </c>
      <c r="J38" s="257"/>
      <c r="K38" s="257"/>
      <c r="L38" s="257" t="s">
        <v>223</v>
      </c>
      <c r="M38" s="257"/>
      <c r="N38" s="257"/>
      <c r="O38" s="257" t="s">
        <v>224</v>
      </c>
      <c r="P38" s="257"/>
      <c r="Q38" s="257"/>
      <c r="R38" s="258" t="s">
        <v>225</v>
      </c>
      <c r="S38" s="258"/>
      <c r="T38" s="258"/>
    </row>
    <row r="39" spans="2:26">
      <c r="B39" s="241" t="s">
        <v>214</v>
      </c>
      <c r="C39" s="242"/>
      <c r="D39" s="242"/>
      <c r="E39" s="243"/>
      <c r="F39" s="247">
        <f>-PMT('Data Validation Tables M2'!C17/12,F31*12,F7-F32)</f>
        <v>1798.7939083749229</v>
      </c>
      <c r="G39" s="245"/>
      <c r="H39" s="246"/>
      <c r="I39" s="259">
        <f>-PMT('Data Validation Tables M2'!C18/12,(F31-1)*12,F7-F32-(F40-F41))</f>
        <v>1765.4992213453518</v>
      </c>
      <c r="J39" s="260"/>
      <c r="K39" s="261"/>
      <c r="L39" s="247">
        <f>-PMT('Data Validation Tables M2'!C19/12,(F31-2)*12,F7-F32-(F40-F41+I40-I41))</f>
        <v>1753.0333816219372</v>
      </c>
      <c r="M39" s="245"/>
      <c r="N39" s="246"/>
      <c r="O39" s="250">
        <f>-PMT('Data Validation Tables M2'!C20/12, (F31-3)*12,F7-F32-(L40-L41+I40-I41+F40-F41))</f>
        <v>1744.798651371779</v>
      </c>
      <c r="P39" s="265"/>
      <c r="Q39" s="265"/>
      <c r="R39" s="264"/>
      <c r="S39" s="258"/>
      <c r="T39" s="258"/>
    </row>
    <row r="40" spans="2:26">
      <c r="B40" s="241" t="s">
        <v>215</v>
      </c>
      <c r="C40" s="242"/>
      <c r="D40" s="242"/>
      <c r="E40" s="243"/>
      <c r="F40" s="247">
        <f>F39*12</f>
        <v>21585.526900499077</v>
      </c>
      <c r="G40" s="248"/>
      <c r="H40" s="249"/>
      <c r="I40" s="247">
        <f>I39*12</f>
        <v>21185.990656144222</v>
      </c>
      <c r="J40" s="248"/>
      <c r="K40" s="249"/>
      <c r="L40" s="247">
        <f>L39*12</f>
        <v>21036.400579463247</v>
      </c>
      <c r="M40" s="248"/>
      <c r="N40" s="249"/>
      <c r="O40" s="250">
        <f>O39*((F31-3)*12)</f>
        <v>355938.9248798429</v>
      </c>
      <c r="P40" s="250"/>
      <c r="Q40" s="250"/>
      <c r="R40" s="251">
        <f>SUM(F40:Q40)</f>
        <v>419746.84301594947</v>
      </c>
      <c r="S40" s="251"/>
      <c r="T40" s="251"/>
    </row>
    <row r="41" spans="2:26">
      <c r="B41" s="241" t="s">
        <v>75</v>
      </c>
      <c r="C41" s="242"/>
      <c r="D41" s="242"/>
      <c r="E41" s="243"/>
      <c r="F41" s="247">
        <f>F40-(-PMT(0,$F$31*12,$F$7-$F$32)*12)</f>
        <v>7185.5269004990769</v>
      </c>
      <c r="G41" s="248"/>
      <c r="H41" s="249"/>
      <c r="I41" s="247">
        <f>I40-(-PMT(0,(F31-1)*12,F7-F32-(F40-F41))*12)</f>
        <v>6785.9906561442222</v>
      </c>
      <c r="J41" s="248"/>
      <c r="K41" s="249"/>
      <c r="L41" s="247">
        <f>L40-(-PMT(0,(F31-2)*12,F7-F32-(F40-F41+I40-I41))*12)</f>
        <v>6636.4005794632467</v>
      </c>
      <c r="M41" s="248"/>
      <c r="N41" s="249"/>
      <c r="O41" s="250">
        <f>O40-(-PMT(0, (F31-3)*12,F7-F32-(L40-L41+I40-I41+F40-F41))*12*(F31-3))</f>
        <v>111138.9248798429</v>
      </c>
      <c r="P41" s="250"/>
      <c r="Q41" s="250"/>
      <c r="R41" s="251">
        <f>SUM(F41:Q41)</f>
        <v>131746.84301594945</v>
      </c>
      <c r="S41" s="251"/>
      <c r="T41" s="251"/>
      <c r="V41" s="121">
        <f>R40-(F7-F32)</f>
        <v>131746.84301594947</v>
      </c>
    </row>
    <row r="42" spans="2:26">
      <c r="X42" s="121"/>
    </row>
    <row r="44" spans="2:26">
      <c r="B44" s="95" t="s">
        <v>226</v>
      </c>
      <c r="D44" s="115" t="str">
        <f>IF(F33&lt;'Data Validation Tables M2'!K19,"Not Eligible","Eligible")</f>
        <v>Eligible</v>
      </c>
      <c r="F44" s="257" t="s">
        <v>221</v>
      </c>
      <c r="G44" s="257"/>
      <c r="H44" s="257"/>
      <c r="I44" s="257" t="s">
        <v>222</v>
      </c>
      <c r="J44" s="257"/>
      <c r="K44" s="257"/>
      <c r="L44" s="257" t="s">
        <v>223</v>
      </c>
      <c r="M44" s="257"/>
      <c r="N44" s="257"/>
      <c r="O44" s="257" t="s">
        <v>224</v>
      </c>
      <c r="P44" s="257"/>
      <c r="Q44" s="257"/>
      <c r="R44" s="258" t="s">
        <v>225</v>
      </c>
      <c r="S44" s="258"/>
      <c r="T44" s="258"/>
    </row>
    <row r="45" spans="2:26">
      <c r="B45" s="241" t="s">
        <v>214</v>
      </c>
      <c r="C45" s="242"/>
      <c r="D45" s="242"/>
      <c r="E45" s="243"/>
      <c r="F45" s="247">
        <f>-PMT('Data Validation Tables M2'!C23/12,F31*12,F7-F32)</f>
        <v>1707.5183470854406</v>
      </c>
      <c r="G45" s="245"/>
      <c r="H45" s="246"/>
      <c r="I45" s="247">
        <f>-PMT('Data Validation Tables M2'!C24/12,(F31-1)*12,F7-F32-(F46-F47))</f>
        <v>1679.6380618264027</v>
      </c>
      <c r="J45" s="245"/>
      <c r="K45" s="246"/>
      <c r="L45" s="247">
        <f>-PMT('Data Validation Tables M2'!C25/12,(F31-2)*12,F7-F32-(F46-F47+I46-I47))</f>
        <v>1780.5456716339261</v>
      </c>
      <c r="M45" s="245"/>
      <c r="N45" s="246"/>
      <c r="O45" s="247">
        <f>-PMT('Data Validation Tables M2'!C26/12,(F31-3)*12,F7-F32-(F46-F47+I46-I47+L46-L47))</f>
        <v>1744.798651371779</v>
      </c>
      <c r="P45" s="245"/>
      <c r="Q45" s="246"/>
    </row>
    <row r="46" spans="2:26">
      <c r="B46" s="241" t="s">
        <v>215</v>
      </c>
      <c r="C46" s="242"/>
      <c r="D46" s="242"/>
      <c r="E46" s="243"/>
      <c r="F46" s="247">
        <f>F45*12</f>
        <v>20490.220165025286</v>
      </c>
      <c r="G46" s="248"/>
      <c r="H46" s="249"/>
      <c r="I46" s="247">
        <f>I45*12</f>
        <v>20155.656741916831</v>
      </c>
      <c r="J46" s="248"/>
      <c r="K46" s="249"/>
      <c r="L46" s="247">
        <f>L45*12</f>
        <v>21366.548059607114</v>
      </c>
      <c r="M46" s="248"/>
      <c r="N46" s="249"/>
      <c r="O46" s="247">
        <f>O45*12*(F31-3)</f>
        <v>355938.9248798429</v>
      </c>
      <c r="P46" s="248"/>
      <c r="Q46" s="249"/>
      <c r="R46" s="251">
        <f>SUM(F46:Q46)</f>
        <v>417951.34984639211</v>
      </c>
      <c r="S46" s="272"/>
      <c r="T46" s="272"/>
    </row>
    <row r="47" spans="2:26">
      <c r="B47" s="241" t="s">
        <v>75</v>
      </c>
      <c r="C47" s="242"/>
      <c r="D47" s="242"/>
      <c r="E47" s="243"/>
      <c r="F47" s="247">
        <f>F46-(-PMT(0,F31*12,F7-F32)*12)</f>
        <v>6090.2201650252864</v>
      </c>
      <c r="G47" s="248"/>
      <c r="H47" s="249"/>
      <c r="I47" s="247">
        <f>I46-(-PMT(0,(F31-1)*12,F7-F32-(F46-F47))*12)</f>
        <v>5755.6567419168314</v>
      </c>
      <c r="J47" s="248"/>
      <c r="K47" s="249"/>
      <c r="L47" s="247">
        <f>L46-(-PMT(0,(F31-2)*12,F7-F32-(F46-F47+I46-I47))*12)</f>
        <v>6966.5480596071138</v>
      </c>
      <c r="M47" s="248"/>
      <c r="N47" s="249"/>
      <c r="O47" s="247">
        <f>O46-(-PMT(0,(F31-3)*12,F7-F32-(F46-F47+I46-I47+L46-L47))*12*(F31-3))</f>
        <v>111138.9248798429</v>
      </c>
      <c r="P47" s="248"/>
      <c r="Q47" s="249"/>
      <c r="R47" s="251">
        <f>SUM(F47:Q47)</f>
        <v>129951.34984639214</v>
      </c>
      <c r="S47" s="272"/>
      <c r="T47" s="272"/>
      <c r="V47" s="121">
        <f>R46-(F7-F32)</f>
        <v>129951.34984639211</v>
      </c>
    </row>
    <row r="51" spans="2:23" ht="18.75">
      <c r="B51" s="98" t="s">
        <v>227</v>
      </c>
      <c r="D51" s="123"/>
      <c r="E51" s="123"/>
      <c r="F51" s="122"/>
      <c r="G51" s="97"/>
      <c r="H51" s="97"/>
    </row>
    <row r="53" spans="2:23">
      <c r="B53" s="95" t="s">
        <v>220</v>
      </c>
      <c r="C53" s="115" t="str">
        <f>IF(F33&lt;'Data Validation Tables M2'!K20,"Not Eligible","Eligible")</f>
        <v>Eligible</v>
      </c>
      <c r="F53" s="257" t="s">
        <v>221</v>
      </c>
      <c r="G53" s="257"/>
      <c r="H53" s="257"/>
      <c r="I53" s="257" t="s">
        <v>222</v>
      </c>
      <c r="J53" s="257"/>
      <c r="K53" s="257"/>
      <c r="L53" s="257" t="s">
        <v>223</v>
      </c>
      <c r="M53" s="257"/>
      <c r="N53" s="257"/>
      <c r="O53" s="257" t="s">
        <v>224</v>
      </c>
      <c r="P53" s="257"/>
      <c r="Q53" s="257"/>
      <c r="R53" s="258" t="s">
        <v>225</v>
      </c>
      <c r="S53" s="258"/>
      <c r="T53" s="258"/>
    </row>
    <row r="54" spans="2:23">
      <c r="B54" s="241" t="s">
        <v>214</v>
      </c>
      <c r="C54" s="242"/>
      <c r="D54" s="242"/>
      <c r="E54" s="243"/>
      <c r="F54" s="247">
        <f>-PMT('Data Validation Tables M2'!C29/12,F31*12,F7-F32)</f>
        <v>1853.2687688437982</v>
      </c>
      <c r="G54" s="245"/>
      <c r="H54" s="246"/>
      <c r="I54" s="259">
        <f>-PMT('Data Validation Tables M2'!C30/12,(F31-1)*12,F7-F32-(F55-F56))</f>
        <v>1816.7034720294671</v>
      </c>
      <c r="J54" s="260"/>
      <c r="K54" s="261"/>
      <c r="L54" s="247">
        <f>-PMT('Data Validation Tables M2'!C31/12,(F31-2)*12,F7-F32-(F55-F56+I55-I56))</f>
        <v>1780.5456716339261</v>
      </c>
      <c r="M54" s="245"/>
      <c r="N54" s="246"/>
      <c r="O54" s="250">
        <f>-PMT('Data Validation Tables M2'!C32/12,(F31-3)*12,F7-F32-(F55-F56+I55-I56+L55-L56))</f>
        <v>1744.798651371779</v>
      </c>
      <c r="P54" s="265"/>
      <c r="Q54" s="265"/>
      <c r="R54" s="264"/>
      <c r="S54" s="258"/>
      <c r="T54" s="258"/>
    </row>
    <row r="55" spans="2:23">
      <c r="B55" s="241" t="s">
        <v>215</v>
      </c>
      <c r="C55" s="242"/>
      <c r="D55" s="242"/>
      <c r="E55" s="243"/>
      <c r="F55" s="247">
        <f>F54*12</f>
        <v>22239.225226125578</v>
      </c>
      <c r="G55" s="248"/>
      <c r="H55" s="249"/>
      <c r="I55" s="247">
        <f t="shared" ref="I55" si="0">I54*12</f>
        <v>21800.441664353606</v>
      </c>
      <c r="J55" s="248"/>
      <c r="K55" s="249"/>
      <c r="L55" s="247">
        <f t="shared" ref="L55" si="1">L54*12</f>
        <v>21366.548059607114</v>
      </c>
      <c r="M55" s="248"/>
      <c r="N55" s="249"/>
      <c r="O55" s="247">
        <f>O54*12*(F31-3)</f>
        <v>355938.9248798429</v>
      </c>
      <c r="P55" s="248"/>
      <c r="Q55" s="249"/>
      <c r="R55" s="251">
        <f>SUM(F55:Q55)</f>
        <v>421345.13982992922</v>
      </c>
      <c r="S55" s="251"/>
      <c r="T55" s="251"/>
      <c r="W55" s="121">
        <v>515306.29127912142</v>
      </c>
    </row>
    <row r="56" spans="2:23">
      <c r="B56" s="241" t="s">
        <v>75</v>
      </c>
      <c r="C56" s="242"/>
      <c r="D56" s="242"/>
      <c r="E56" s="243"/>
      <c r="F56" s="247">
        <f>F55-(-PMT(0,F31*12,F7-F32)*12)</f>
        <v>7839.225226125578</v>
      </c>
      <c r="G56" s="248"/>
      <c r="H56" s="249"/>
      <c r="I56" s="247">
        <f>I55-(-PMT(0,(F31-1)*12,F7-F32-(F55-F56))*12)</f>
        <v>7400.441664353606</v>
      </c>
      <c r="J56" s="248"/>
      <c r="K56" s="249"/>
      <c r="L56" s="247">
        <f>L55-(-PMT(0,(F31-2)*12,F7-F32-(F55-F56+I55-I56))*12)</f>
        <v>6966.5480596071138</v>
      </c>
      <c r="M56" s="248"/>
      <c r="N56" s="249"/>
      <c r="O56" s="250">
        <f>O55-(-PMT(0,(F31-3)*12,F7-F32-(F55-F56+I55-I56+L55-L56))*12*(F31-3))</f>
        <v>111138.9248798429</v>
      </c>
      <c r="P56" s="250"/>
      <c r="Q56" s="250"/>
      <c r="R56" s="251">
        <f>SUM(F56:Q56)</f>
        <v>133345.13982992919</v>
      </c>
      <c r="S56" s="251"/>
      <c r="T56" s="251"/>
      <c r="V56" s="121">
        <f>R55-(F7-F32)</f>
        <v>133345.13982992922</v>
      </c>
    </row>
    <row r="58" spans="2:23" ht="15.75" thickBot="1"/>
    <row r="59" spans="2:23" ht="15.75" thickBot="1">
      <c r="B59" s="275" t="s">
        <v>226</v>
      </c>
      <c r="C59" s="276"/>
      <c r="D59" s="115" t="str">
        <f>IF(F33&lt;'Data Validation Tables M2'!K21,"Not Eligible","Eligible")</f>
        <v>Eligible</v>
      </c>
      <c r="F59" s="257" t="s">
        <v>221</v>
      </c>
      <c r="G59" s="257"/>
      <c r="H59" s="257"/>
      <c r="I59" s="257" t="s">
        <v>222</v>
      </c>
      <c r="J59" s="257"/>
      <c r="K59" s="257"/>
      <c r="L59" s="257" t="s">
        <v>223</v>
      </c>
      <c r="M59" s="257"/>
      <c r="N59" s="257"/>
      <c r="O59" s="257" t="s">
        <v>224</v>
      </c>
      <c r="P59" s="257"/>
      <c r="Q59" s="257"/>
      <c r="R59" s="258" t="s">
        <v>225</v>
      </c>
      <c r="S59" s="258"/>
      <c r="T59" s="258"/>
    </row>
    <row r="60" spans="2:23">
      <c r="B60" s="273" t="s">
        <v>214</v>
      </c>
      <c r="C60" s="274"/>
      <c r="D60" s="242"/>
      <c r="E60" s="243"/>
      <c r="F60" s="247" cm="1">
        <f t="array" ref="F60">-PMT(_xlfn.IFS(B59="2 Years Fixed",'Data Validation Tables M2'!$C$35,B59="3 Years Fixed",'Data Validation Tables M2'!$C$41,B59="4 Years Fixed",'Data Validation Tables M2'!$C$47)/12,$F$31*12,$F$7-$F$32)</f>
        <v>1707.5183470854406</v>
      </c>
      <c r="G60" s="245"/>
      <c r="H60" s="246"/>
      <c r="I60" s="247" cm="1">
        <f t="array" ref="I60">-PMT(_xlfn.IFS(B59="2 Years Fixed",'Data Validation Tables M2'!$C$36,B59="3 Years Fixed",'Data Validation Tables M2'!$C$42,B59="4 Years Fixed",'Data Validation Tables M2'!$C$48)/12,($F$31-1)*12,$F$7-$F$32-(F61-F62))</f>
        <v>1679.6380618264027</v>
      </c>
      <c r="J60" s="245"/>
      <c r="K60" s="246"/>
      <c r="L60" s="247" cm="1">
        <f t="array" ref="L60">-PMT(_xlfn.IFS(B59="2 Years Fixed",'Data Validation Tables M2'!$C$37,B59="3 Years Fixed",'Data Validation Tables M2'!C43,B59="4 Years Fixed",'Data Validation Tables M2'!$C$49)/12,($F$31-2)*12,$F$7-$F$32-(F61-F62+I61-I62))</f>
        <v>1780.5456716339261</v>
      </c>
      <c r="M60" s="245"/>
      <c r="N60" s="246"/>
      <c r="O60" s="247">
        <v>1351.1646626435645</v>
      </c>
      <c r="P60" s="245"/>
      <c r="Q60" s="246"/>
    </row>
    <row r="61" spans="2:23">
      <c r="B61" s="241" t="s">
        <v>215</v>
      </c>
      <c r="C61" s="242"/>
      <c r="D61" s="242"/>
      <c r="E61" s="243"/>
      <c r="F61" s="247">
        <f>F60*12</f>
        <v>20490.220165025286</v>
      </c>
      <c r="G61" s="248"/>
      <c r="H61" s="249"/>
      <c r="I61" s="247">
        <f>I60*12</f>
        <v>20155.656741916831</v>
      </c>
      <c r="J61" s="248"/>
      <c r="K61" s="249"/>
      <c r="L61" s="247">
        <f>L60*12</f>
        <v>21366.548059607114</v>
      </c>
      <c r="M61" s="248"/>
      <c r="N61" s="249"/>
      <c r="O61" s="247">
        <f>O60*12*($F$31-3)</f>
        <v>275637.59117928718</v>
      </c>
      <c r="P61" s="248"/>
      <c r="Q61" s="249"/>
      <c r="R61" s="251">
        <f>SUM(F61:Q61)</f>
        <v>337650.01614583639</v>
      </c>
      <c r="S61" s="272"/>
      <c r="T61" s="272"/>
    </row>
    <row r="62" spans="2:23">
      <c r="B62" s="241" t="s">
        <v>75</v>
      </c>
      <c r="C62" s="242"/>
      <c r="D62" s="242"/>
      <c r="E62" s="243"/>
      <c r="F62" s="247">
        <f>F61-(-PMT(0,$F$31*12,$F$7-$F$32)*12)</f>
        <v>6090.2201650252864</v>
      </c>
      <c r="G62" s="248"/>
      <c r="H62" s="249"/>
      <c r="I62" s="247">
        <f>I61-(-PMT(0,($F$31-1)*12,$F$7-$F$32-(F61-F62))*12)</f>
        <v>5755.6567419168314</v>
      </c>
      <c r="J62" s="248"/>
      <c r="K62" s="249"/>
      <c r="L62" s="247">
        <f>L61-(-PMT(0,($F$31-2)*12,$F$7-$F$32-(F61-F62+I61-I62))*12)</f>
        <v>6966.5480596071138</v>
      </c>
      <c r="M62" s="248"/>
      <c r="N62" s="249"/>
      <c r="O62" s="247">
        <f>O61-(-PMT(0,($F$31-3)*12,$F$7-$F$32-(F61-F62+I61-I62+L61-L62))*12*($F$31-3))</f>
        <v>30837.591179287178</v>
      </c>
      <c r="P62" s="248"/>
      <c r="Q62" s="249"/>
      <c r="R62" s="251">
        <f>SUM(F62:Q62)</f>
        <v>49650.016145836409</v>
      </c>
      <c r="S62" s="272"/>
      <c r="T62" s="272"/>
      <c r="V62" s="121">
        <f>R61-($F$7-$F$32)</f>
        <v>49650.016145836387</v>
      </c>
    </row>
    <row r="64" spans="2:23" ht="15.75" thickBot="1"/>
    <row r="65" spans="2:22" ht="15.75" thickBot="1">
      <c r="B65" s="275" t="s">
        <v>228</v>
      </c>
      <c r="C65" s="276"/>
      <c r="D65" s="115" t="str">
        <f>IF(F33&lt;'Data Validation Tables M2'!K21,"Not Eligible","Eligible")</f>
        <v>Eligible</v>
      </c>
      <c r="F65" s="257" t="s">
        <v>221</v>
      </c>
      <c r="G65" s="257"/>
      <c r="H65" s="257"/>
      <c r="I65" s="257" t="s">
        <v>222</v>
      </c>
      <c r="J65" s="257"/>
      <c r="K65" s="257"/>
      <c r="L65" s="257" t="s">
        <v>223</v>
      </c>
      <c r="M65" s="257"/>
      <c r="N65" s="257"/>
      <c r="O65" s="257" t="s">
        <v>224</v>
      </c>
      <c r="P65" s="257"/>
      <c r="Q65" s="257"/>
      <c r="R65" s="258" t="s">
        <v>225</v>
      </c>
      <c r="S65" s="258"/>
      <c r="T65" s="258"/>
    </row>
    <row r="66" spans="2:22">
      <c r="B66" s="273" t="s">
        <v>214</v>
      </c>
      <c r="C66" s="274"/>
      <c r="D66" s="242"/>
      <c r="E66" s="243"/>
      <c r="F66" s="247" cm="1">
        <f t="array" ref="F66">-PMT(_xlfn.IFS(B65="2 Years Fixed",'Data Validation Tables M2'!$C$35,B65="3 Years Fixed",'Data Validation Tables M2'!$C$41,B65="4 Years Fixed",'Data Validation Tables M2'!$C$47)/12,$F$31*12,$F$7-$F$32)</f>
        <v>1707.5183470854406</v>
      </c>
      <c r="G66" s="245"/>
      <c r="H66" s="246"/>
      <c r="I66" s="247" cm="1">
        <f t="array" ref="I66">-PMT(_xlfn.IFS(B65="2 Years Fixed",'Data Validation Tables M2'!$C$36,B65="3 Years Fixed",'Data Validation Tables M2'!$C$42,B65="4 Years Fixed",'Data Validation Tables M2'!$C$48)/12,($F$31-1)*12,$F$7-$F$32-(F67-F68))</f>
        <v>1679.6380618264027</v>
      </c>
      <c r="J66" s="245"/>
      <c r="K66" s="246"/>
      <c r="L66" s="247" cm="1">
        <f t="array" ref="L66">-PMT(_xlfn.IFS(B65="2 Years Fixed",'Data Validation Tables M2'!$C$37,B65="3 Years Fixed",'Data Validation Tables M2'!C49,B65="4 Years Fixed",'Data Validation Tables M2'!$C$49)/12,($F$31-2)*12,$F$7-$F$32-(F67-F68+I67-I68))</f>
        <v>1652.0247896201697</v>
      </c>
      <c r="M66" s="245"/>
      <c r="N66" s="246"/>
      <c r="O66" s="247" cm="1">
        <f t="array" ref="O66">-PMT(_xlfn.IFS(B65="2 Years Fixed",'Data Validation Tables M2'!$C$38,B65="3 Years Fixed",'Data Validation Tables M2'!$C$44,B65="4 Years Fixed",'Data Validation Tables M2'!$C$50)/12,($F$31-3)*12,$F$7-$F$32-(F67-F68+I67-I68+L67-L68))</f>
        <v>1744.798651371779</v>
      </c>
      <c r="P66" s="245"/>
      <c r="Q66" s="246"/>
    </row>
    <row r="67" spans="2:22">
      <c r="B67" s="241" t="s">
        <v>215</v>
      </c>
      <c r="C67" s="242"/>
      <c r="D67" s="242"/>
      <c r="E67" s="243"/>
      <c r="F67" s="247">
        <f>F66*12</f>
        <v>20490.220165025286</v>
      </c>
      <c r="G67" s="248"/>
      <c r="H67" s="249"/>
      <c r="I67" s="247">
        <f>I66*12</f>
        <v>20155.656741916831</v>
      </c>
      <c r="J67" s="248"/>
      <c r="K67" s="249"/>
      <c r="L67" s="247">
        <f>L66*12</f>
        <v>19824.297475442036</v>
      </c>
      <c r="M67" s="248"/>
      <c r="N67" s="249"/>
      <c r="O67" s="247">
        <f>O66*12*($F$31-3)</f>
        <v>355938.9248798429</v>
      </c>
      <c r="P67" s="248"/>
      <c r="Q67" s="249"/>
      <c r="R67" s="251">
        <f>SUM(F67:Q67)</f>
        <v>416409.09926222707</v>
      </c>
      <c r="S67" s="272"/>
      <c r="T67" s="272"/>
    </row>
    <row r="68" spans="2:22">
      <c r="B68" s="241" t="s">
        <v>75</v>
      </c>
      <c r="C68" s="242"/>
      <c r="D68" s="242"/>
      <c r="E68" s="243"/>
      <c r="F68" s="247">
        <f>F67-(-PMT(0,$F$31*12,$F$7-$F$32)*12)</f>
        <v>6090.2201650252864</v>
      </c>
      <c r="G68" s="248"/>
      <c r="H68" s="249"/>
      <c r="I68" s="247">
        <f>I67-(-PMT(0,($F$31-1)*12,$F$7-$F$32-(F67-F68))*12)</f>
        <v>5755.6567419168314</v>
      </c>
      <c r="J68" s="248"/>
      <c r="K68" s="249"/>
      <c r="L68" s="247">
        <f>L67-(-PMT(0,($F$31-2)*12,$F$7-$F$32-(F67-F68+I67-I68))*12)</f>
        <v>5424.2974754420356</v>
      </c>
      <c r="M68" s="248"/>
      <c r="N68" s="249"/>
      <c r="O68" s="247">
        <f>O67-(-PMT(0,($F$31-3)*12,$F$7-$F$32-(F67-F68+I67-I68+L67-L68))*12*($F$31-3))</f>
        <v>111138.9248798429</v>
      </c>
      <c r="P68" s="248"/>
      <c r="Q68" s="249"/>
      <c r="R68" s="251">
        <f>SUM(F68:Q68)</f>
        <v>128409.09926222706</v>
      </c>
      <c r="S68" s="272"/>
      <c r="T68" s="272"/>
      <c r="V68" s="121">
        <f>R67-($F$7-$F$32)</f>
        <v>128409.09926222707</v>
      </c>
    </row>
    <row r="69" spans="2:22">
      <c r="B69" s="123"/>
      <c r="C69" s="123"/>
      <c r="D69" s="123"/>
      <c r="E69" s="123"/>
      <c r="F69" s="122"/>
      <c r="G69" s="122"/>
      <c r="H69" s="122"/>
      <c r="I69" s="122"/>
      <c r="J69" s="122"/>
      <c r="K69" s="122"/>
      <c r="L69" s="122"/>
      <c r="M69" s="122"/>
      <c r="N69" s="122"/>
      <c r="O69" s="122"/>
      <c r="P69" s="122"/>
      <c r="Q69" s="122"/>
      <c r="R69" s="122"/>
      <c r="S69" s="122"/>
      <c r="T69" s="122"/>
      <c r="V69" s="121"/>
    </row>
    <row r="70" spans="2:22" ht="15.75" thickBot="1">
      <c r="B70" s="123"/>
      <c r="C70" s="123"/>
      <c r="D70" s="123"/>
      <c r="E70" s="123"/>
      <c r="F70" s="122"/>
      <c r="G70" s="122"/>
      <c r="H70" s="122"/>
      <c r="I70" s="122"/>
      <c r="J70" s="122"/>
      <c r="K70" s="122"/>
      <c r="L70" s="122"/>
      <c r="M70" s="122"/>
      <c r="N70" s="122"/>
      <c r="O70" s="122"/>
      <c r="P70" s="122"/>
      <c r="Q70" s="122"/>
      <c r="R70" s="122"/>
      <c r="S70" s="122"/>
      <c r="T70" s="122"/>
      <c r="V70" s="121"/>
    </row>
    <row r="71" spans="2:22" ht="15.75" thickBot="1">
      <c r="B71" s="275" t="s">
        <v>229</v>
      </c>
      <c r="C71" s="276"/>
      <c r="D71" s="115" t="str">
        <f>IF(F33&lt;'Data Validation Tables M2'!K21,"Not Eligible","Eligible")</f>
        <v>Eligible</v>
      </c>
      <c r="F71" s="257" t="s">
        <v>221</v>
      </c>
      <c r="G71" s="257"/>
      <c r="H71" s="257"/>
      <c r="I71" s="257" t="s">
        <v>222</v>
      </c>
      <c r="J71" s="257"/>
      <c r="K71" s="257"/>
      <c r="L71" s="257" t="s">
        <v>223</v>
      </c>
      <c r="M71" s="257"/>
      <c r="N71" s="257"/>
      <c r="O71" s="257" t="s">
        <v>224</v>
      </c>
      <c r="P71" s="257"/>
      <c r="Q71" s="257"/>
      <c r="R71" s="258" t="s">
        <v>225</v>
      </c>
      <c r="S71" s="258"/>
      <c r="T71" s="258"/>
    </row>
    <row r="72" spans="2:22">
      <c r="B72" s="273" t="s">
        <v>214</v>
      </c>
      <c r="C72" s="274"/>
      <c r="D72" s="242"/>
      <c r="E72" s="243"/>
      <c r="F72" s="247" cm="1">
        <f t="array" ref="F72">-PMT(_xlfn.IFS(B71="2 Years Fixed",'Data Validation Tables M2'!$C$35,B71="3 Years Fixed",'Data Validation Tables M2'!$C$41,B71="4 Years Fixed",'Data Validation Tables M2'!$C$47)/12,$F$31*12,$F$7-$F$32)</f>
        <v>1707.5183470854406</v>
      </c>
      <c r="G72" s="245"/>
      <c r="H72" s="246"/>
      <c r="I72" s="247" cm="1">
        <f t="array" ref="I72">-PMT(_xlfn.IFS(B71="2 Years Fixed",'Data Validation Tables M2'!$C$36,B71="3 Years Fixed",'Data Validation Tables M2'!$C$42,B71="4 Years Fixed",'Data Validation Tables M2'!$C$48)/12,($F$31-1)*12,$F$7-$F$32-(F73-F74))</f>
        <v>1679.6380618264027</v>
      </c>
      <c r="J72" s="245"/>
      <c r="K72" s="246"/>
      <c r="L72" s="247" cm="1">
        <f t="array" ref="L72">-PMT(_xlfn.IFS(B71="2 Years Fixed",'Data Validation Tables M2'!$C$37,B71="3 Years Fixed",'Data Validation Tables M2'!C55,B71="4 Years Fixed",'Data Validation Tables M2'!$C$49)/12,($F$31-2)*12,$F$7-$F$32-(F73-F74+I73-I74))</f>
        <v>1652.0247896201697</v>
      </c>
      <c r="M72" s="245"/>
      <c r="N72" s="246"/>
      <c r="O72" s="247" cm="1">
        <f t="array" ref="O72">-PMT(_xlfn.IFS(B71="2 Years Fixed",'Data Validation Tables M2'!$C$38,B71="3 Years Fixed",'Data Validation Tables M2'!$C$44,B71="4 Years Fixed",'Data Validation Tables M2'!$C$50)/12,($F$31-3)*12,$F$7-$F$32-(F73-F74+I73-I74+L73-L74))</f>
        <v>1624.6799063766091</v>
      </c>
      <c r="P72" s="245"/>
      <c r="Q72" s="246"/>
    </row>
    <row r="73" spans="2:22">
      <c r="B73" s="241" t="s">
        <v>215</v>
      </c>
      <c r="C73" s="242"/>
      <c r="D73" s="242"/>
      <c r="E73" s="243"/>
      <c r="F73" s="247">
        <f>F72*12</f>
        <v>20490.220165025286</v>
      </c>
      <c r="G73" s="248"/>
      <c r="H73" s="249"/>
      <c r="I73" s="247">
        <f>I72*12</f>
        <v>20155.656741916831</v>
      </c>
      <c r="J73" s="248"/>
      <c r="K73" s="249"/>
      <c r="L73" s="247">
        <f>L72*12</f>
        <v>19824.297475442036</v>
      </c>
      <c r="M73" s="248"/>
      <c r="N73" s="249"/>
      <c r="O73" s="247">
        <f>O72*12*($F$31-3)</f>
        <v>331434.70090082823</v>
      </c>
      <c r="P73" s="248"/>
      <c r="Q73" s="249"/>
      <c r="R73" s="251">
        <f>SUM(F73:Q73)</f>
        <v>391904.8752832124</v>
      </c>
      <c r="S73" s="272"/>
      <c r="T73" s="272"/>
    </row>
    <row r="74" spans="2:22">
      <c r="B74" s="241" t="s">
        <v>75</v>
      </c>
      <c r="C74" s="242"/>
      <c r="D74" s="242"/>
      <c r="E74" s="243"/>
      <c r="F74" s="247">
        <f>F73-(-PMT(0,$F$31*12,$F$7-$F$32)*12)</f>
        <v>6090.2201650252864</v>
      </c>
      <c r="G74" s="248"/>
      <c r="H74" s="249"/>
      <c r="I74" s="247">
        <f>I73-(-PMT(0,($F$31-1)*12,$F$7-$F$32-(F73-F74))*12)</f>
        <v>5755.6567419168314</v>
      </c>
      <c r="J74" s="248"/>
      <c r="K74" s="249"/>
      <c r="L74" s="247">
        <f>L73-(-PMT(0,($F$31-2)*12,$F$7-$F$32-(F73-F74+I73-I74))*12)</f>
        <v>5424.2974754420356</v>
      </c>
      <c r="M74" s="248"/>
      <c r="N74" s="249"/>
      <c r="O74" s="247">
        <f>O73-(-PMT(0,($F$31-3)*12,$F$7-$F$32-(F73-F74+I73-I74+L73-L74))*12*($F$31-3))</f>
        <v>86634.700900828233</v>
      </c>
      <c r="P74" s="248"/>
      <c r="Q74" s="249"/>
      <c r="R74" s="251">
        <f>SUM(F74:Q74)</f>
        <v>103904.87528321239</v>
      </c>
      <c r="S74" s="272"/>
      <c r="T74" s="272"/>
      <c r="V74" s="121">
        <f>R73-($F$7-$F$32)</f>
        <v>103904.8752832124</v>
      </c>
    </row>
    <row r="75" spans="2:22">
      <c r="B75" s="123"/>
      <c r="C75" s="123"/>
      <c r="D75" s="123"/>
      <c r="E75" s="123"/>
      <c r="F75" s="122"/>
      <c r="G75" s="122"/>
      <c r="H75" s="122"/>
      <c r="I75" s="122"/>
      <c r="J75" s="122"/>
      <c r="K75" s="122"/>
      <c r="L75" s="122"/>
      <c r="M75" s="122"/>
      <c r="N75" s="122"/>
      <c r="O75" s="122"/>
      <c r="P75" s="122"/>
      <c r="Q75" s="122"/>
      <c r="R75" s="122"/>
      <c r="S75" s="122"/>
      <c r="T75" s="122"/>
      <c r="V75" s="121"/>
    </row>
    <row r="76" spans="2:22">
      <c r="Q76" s="122"/>
      <c r="R76" s="122"/>
      <c r="S76" s="122"/>
      <c r="T76" s="122"/>
    </row>
    <row r="77" spans="2:22">
      <c r="B77" s="95" t="s">
        <v>230</v>
      </c>
      <c r="C77" s="115" t="str">
        <f>IF(F33&lt;'Data Validation Tables M2'!K22,"Not Eligible","Eligible")</f>
        <v>Not Eligible</v>
      </c>
      <c r="Q77" s="122"/>
      <c r="R77" s="122"/>
      <c r="S77" s="122"/>
      <c r="T77" s="122"/>
    </row>
    <row r="78" spans="2:22" ht="15.75" thickBot="1"/>
    <row r="79" spans="2:22" ht="16.5" thickBot="1">
      <c r="B79" s="266" t="s">
        <v>231</v>
      </c>
      <c r="C79" s="266"/>
      <c r="D79" s="266"/>
      <c r="E79" s="268"/>
      <c r="F79" s="269">
        <v>0.3</v>
      </c>
      <c r="G79" s="270"/>
    </row>
    <row r="80" spans="2:22" ht="15.75">
      <c r="B80" s="266" t="s">
        <v>232</v>
      </c>
      <c r="C80" s="266"/>
      <c r="D80" s="266"/>
      <c r="E80" s="266"/>
      <c r="F80" s="271">
        <f>1-F79</f>
        <v>0.7</v>
      </c>
      <c r="G80" s="271"/>
    </row>
    <row r="82" spans="2:22">
      <c r="B82" s="266" t="s">
        <v>233</v>
      </c>
      <c r="C82" s="266"/>
      <c r="D82" s="266"/>
      <c r="E82" s="266"/>
      <c r="F82" s="267">
        <f>($F$7-$F$32)*F79</f>
        <v>86400</v>
      </c>
      <c r="G82" s="266"/>
    </row>
    <row r="83" spans="2:22">
      <c r="B83" s="266" t="s">
        <v>234</v>
      </c>
      <c r="C83" s="266"/>
      <c r="D83" s="266"/>
      <c r="E83" s="266"/>
      <c r="F83" s="267">
        <f>($F$7-$F$32)*F80</f>
        <v>201600</v>
      </c>
      <c r="G83" s="266"/>
    </row>
    <row r="85" spans="2:22">
      <c r="F85" s="257" t="s">
        <v>221</v>
      </c>
      <c r="G85" s="257"/>
      <c r="H85" s="257"/>
      <c r="I85" s="257" t="s">
        <v>222</v>
      </c>
      <c r="J85" s="257"/>
      <c r="K85" s="257"/>
      <c r="L85" s="257" t="s">
        <v>223</v>
      </c>
      <c r="M85" s="257"/>
      <c r="N85" s="257"/>
      <c r="O85" s="257" t="s">
        <v>224</v>
      </c>
      <c r="P85" s="257"/>
      <c r="Q85" s="257"/>
      <c r="R85" s="258" t="s">
        <v>235</v>
      </c>
      <c r="S85" s="258"/>
      <c r="T85" s="258"/>
    </row>
    <row r="86" spans="2:22">
      <c r="B86" s="241" t="s">
        <v>236</v>
      </c>
      <c r="C86" s="242"/>
      <c r="D86" s="242"/>
      <c r="E86" s="243"/>
      <c r="F86" s="247">
        <f>-PMT('Data Validation Tables M2'!$C$53/12,$F$31*12,F82)</f>
        <v>512.25550412563223</v>
      </c>
      <c r="G86" s="245"/>
      <c r="H86" s="246"/>
      <c r="I86" s="259">
        <f>-PMT('Data Validation Tables M2'!$C$54/12,($F$31-1)*12,F82-(F87-F88))</f>
        <v>503.89141854792081</v>
      </c>
      <c r="J86" s="260"/>
      <c r="K86" s="261"/>
      <c r="L86" s="247">
        <f>-PMT('Data Validation Tables M2'!$C$55/12,($F$31-2)*12,F82-(F87-F88+I87-I88))</f>
        <v>534.1637014901778</v>
      </c>
      <c r="M86" s="245"/>
      <c r="N86" s="246"/>
      <c r="O86" s="250">
        <f>-PMT('Data Validation Tables M2'!$C$56/12,($F$31-3)*12,F82-(F87-F88+I87-I88+L87-L88))</f>
        <v>523.43959541153367</v>
      </c>
      <c r="P86" s="265"/>
      <c r="Q86" s="265"/>
      <c r="R86" s="264"/>
      <c r="S86" s="258"/>
      <c r="T86" s="258"/>
    </row>
    <row r="87" spans="2:22">
      <c r="B87" s="241" t="s">
        <v>237</v>
      </c>
      <c r="C87" s="242"/>
      <c r="D87" s="242"/>
      <c r="E87" s="243"/>
      <c r="F87" s="247">
        <f>F86*12</f>
        <v>6147.0660495075863</v>
      </c>
      <c r="G87" s="248"/>
      <c r="H87" s="249"/>
      <c r="I87" s="247">
        <f>I86*12</f>
        <v>6046.6970225750501</v>
      </c>
      <c r="J87" s="248"/>
      <c r="K87" s="249"/>
      <c r="L87" s="247">
        <f>L86*12</f>
        <v>6409.9644178821336</v>
      </c>
      <c r="M87" s="248"/>
      <c r="N87" s="249"/>
      <c r="O87" s="247">
        <f>O86*12*($F$31-3)</f>
        <v>106781.67746395287</v>
      </c>
      <c r="P87" s="248"/>
      <c r="Q87" s="249"/>
      <c r="R87" s="251">
        <f>SUM(F87:Q87)</f>
        <v>125385.40495391765</v>
      </c>
      <c r="S87" s="251"/>
      <c r="T87" s="251"/>
    </row>
    <row r="88" spans="2:22">
      <c r="B88" s="241" t="s">
        <v>238</v>
      </c>
      <c r="C88" s="242"/>
      <c r="D88" s="242"/>
      <c r="E88" s="243"/>
      <c r="F88" s="247">
        <f>F87-(-PMT(0,$F$31*12,F82)*12)</f>
        <v>1827.0660495075863</v>
      </c>
      <c r="G88" s="248"/>
      <c r="H88" s="249"/>
      <c r="I88" s="247">
        <f>I87-(-PMT(0,($F$31-1)*12,F82-(F87-F88))*12)</f>
        <v>1726.6970225750501</v>
      </c>
      <c r="J88" s="248"/>
      <c r="K88" s="249"/>
      <c r="L88" s="247">
        <f>L87-(-PMT(0,($F$31-2)*12,F82-(F87-F88+I87-I88))*12)</f>
        <v>2089.9644178821336</v>
      </c>
      <c r="M88" s="248"/>
      <c r="N88" s="249"/>
      <c r="O88" s="250">
        <f>O87-(-PMT(0,($F$31-3)*12,F82-(F87-F88+I87-I88+L87-L88))*12*($F$31-3))</f>
        <v>33341.677463952874</v>
      </c>
      <c r="P88" s="250"/>
      <c r="Q88" s="250"/>
      <c r="R88" s="251">
        <f>SUM(F88:Q88)</f>
        <v>38985.404953917641</v>
      </c>
      <c r="S88" s="251"/>
      <c r="T88" s="251"/>
      <c r="V88" s="121">
        <f>R87-F82</f>
        <v>38985.404953917649</v>
      </c>
    </row>
    <row r="90" spans="2:22">
      <c r="F90" s="257" t="s">
        <v>221</v>
      </c>
      <c r="G90" s="257"/>
      <c r="H90" s="257"/>
      <c r="I90" s="257" t="s">
        <v>222</v>
      </c>
      <c r="J90" s="257"/>
      <c r="K90" s="257"/>
      <c r="L90" s="257" t="s">
        <v>223</v>
      </c>
      <c r="M90" s="257"/>
      <c r="N90" s="257"/>
      <c r="O90" s="257" t="s">
        <v>224</v>
      </c>
      <c r="P90" s="257"/>
      <c r="Q90" s="257"/>
      <c r="R90" s="258" t="s">
        <v>235</v>
      </c>
      <c r="S90" s="258"/>
      <c r="T90" s="258"/>
    </row>
    <row r="91" spans="2:22">
      <c r="B91" s="241" t="s">
        <v>239</v>
      </c>
      <c r="C91" s="242"/>
      <c r="D91" s="242"/>
      <c r="E91" s="243"/>
      <c r="F91" s="247">
        <f>-PMT('Data Validation Tables M2'!$C$59/12,$F$31*12,F83)</f>
        <v>1269.986459248347</v>
      </c>
      <c r="G91" s="245"/>
      <c r="H91" s="246"/>
      <c r="I91" s="259">
        <f>-PMT('Data Validation Tables M2'!$C$60/12,($F$31-1)*12,F83-(F92-F93))</f>
        <v>1246.03186923105</v>
      </c>
      <c r="J91" s="260"/>
      <c r="K91" s="261"/>
      <c r="L91" s="247">
        <f>-PMT('Data Validation Tables M2'!$C$61/12,($F$31-2)*12,F83-(F92-F93+I92-I93))</f>
        <v>1222.3350940973755</v>
      </c>
      <c r="M91" s="245"/>
      <c r="N91" s="246"/>
      <c r="O91" s="250">
        <f>-PMT('Data Validation Tables M2'!$C$62/12,($F$31-3)*12,F83-(F92-F93+I92-I93+L92-L93))</f>
        <v>1198.8979985960002</v>
      </c>
      <c r="P91" s="250"/>
      <c r="Q91" s="250"/>
      <c r="R91" s="264"/>
      <c r="S91" s="264"/>
      <c r="T91" s="264"/>
    </row>
    <row r="92" spans="2:22">
      <c r="B92" s="241" t="s">
        <v>240</v>
      </c>
      <c r="C92" s="242"/>
      <c r="D92" s="242"/>
      <c r="E92" s="243"/>
      <c r="F92" s="247">
        <f>F91*12</f>
        <v>15239.837510980164</v>
      </c>
      <c r="G92" s="248"/>
      <c r="H92" s="249"/>
      <c r="I92" s="247">
        <f t="shared" ref="I92" si="2">I91*12</f>
        <v>14952.382430772599</v>
      </c>
      <c r="J92" s="248"/>
      <c r="K92" s="249"/>
      <c r="L92" s="247">
        <f t="shared" ref="L92" si="3">L91*12</f>
        <v>14668.021129168506</v>
      </c>
      <c r="M92" s="248"/>
      <c r="N92" s="249"/>
      <c r="O92" s="247">
        <f>O91*12*($F$31-3)</f>
        <v>244575.19171358403</v>
      </c>
      <c r="P92" s="248"/>
      <c r="Q92" s="249"/>
      <c r="R92" s="251">
        <f>SUM(F92:Q92)</f>
        <v>289435.4327845053</v>
      </c>
      <c r="S92" s="251"/>
      <c r="T92" s="251"/>
    </row>
    <row r="93" spans="2:22">
      <c r="B93" s="241" t="s">
        <v>241</v>
      </c>
      <c r="C93" s="242"/>
      <c r="D93" s="242"/>
      <c r="E93" s="243"/>
      <c r="F93" s="247">
        <f>F92-(-PMT(0,$F$31*12,F83)*12)</f>
        <v>5159.8375109801636</v>
      </c>
      <c r="G93" s="248"/>
      <c r="H93" s="249"/>
      <c r="I93" s="247">
        <f>I92-(-PMT(0,($F$31-1)*12,F83-(F92-F93))*12)</f>
        <v>4872.382430772599</v>
      </c>
      <c r="J93" s="248"/>
      <c r="K93" s="249"/>
      <c r="L93" s="247">
        <f>L92-(-PMT(0,($F$31-2)*12,F83-(F92-F93+I92-I93))*12)</f>
        <v>4588.0211291685064</v>
      </c>
      <c r="M93" s="248"/>
      <c r="N93" s="249"/>
      <c r="O93" s="250">
        <f>O92-(-PMT(0,($F$31-3)*12,F83-(F92-F93+I92-I93+L92-L93))*12*($F$31-3))</f>
        <v>73215.191713584034</v>
      </c>
      <c r="P93" s="250"/>
      <c r="Q93" s="250"/>
      <c r="R93" s="251">
        <f>SUM(F93:Q93)</f>
        <v>87835.432784505305</v>
      </c>
      <c r="S93" s="251"/>
      <c r="T93" s="251"/>
      <c r="V93" s="121">
        <f>R92-F83</f>
        <v>87835.432784505305</v>
      </c>
    </row>
    <row r="95" spans="2:22">
      <c r="F95" s="257" t="s">
        <v>221</v>
      </c>
      <c r="G95" s="257"/>
      <c r="H95" s="257"/>
      <c r="I95" s="257" t="s">
        <v>222</v>
      </c>
      <c r="J95" s="257"/>
      <c r="K95" s="257"/>
      <c r="L95" s="257" t="s">
        <v>223</v>
      </c>
      <c r="M95" s="257"/>
      <c r="N95" s="257"/>
      <c r="O95" s="258" t="s">
        <v>224</v>
      </c>
      <c r="P95" s="258"/>
      <c r="Q95" s="258"/>
      <c r="R95" s="258" t="s">
        <v>225</v>
      </c>
      <c r="S95" s="258"/>
      <c r="T95" s="258"/>
    </row>
    <row r="96" spans="2:22">
      <c r="B96" s="241" t="s">
        <v>242</v>
      </c>
      <c r="C96" s="242"/>
      <c r="D96" s="242"/>
      <c r="E96" s="243"/>
      <c r="F96" s="247">
        <f>SUM(F86,F91)</f>
        <v>1782.2419633739792</v>
      </c>
      <c r="G96" s="245"/>
      <c r="H96" s="246"/>
      <c r="I96" s="247">
        <f>SUM(I86,I91)</f>
        <v>1749.9232877789709</v>
      </c>
      <c r="J96" s="245"/>
      <c r="K96" s="246"/>
      <c r="L96" s="247">
        <f>SUM(L86,L91)</f>
        <v>1756.4987955875533</v>
      </c>
      <c r="M96" s="245"/>
      <c r="N96" s="246"/>
      <c r="O96" s="247">
        <f>SUM(O86,O91)</f>
        <v>1722.3375940075339</v>
      </c>
      <c r="P96" s="245"/>
      <c r="Q96" s="246"/>
    </row>
    <row r="97" spans="2:22">
      <c r="B97" s="241" t="s">
        <v>243</v>
      </c>
      <c r="C97" s="242"/>
      <c r="D97" s="242"/>
      <c r="E97" s="243"/>
      <c r="F97" s="247">
        <f>SUM(F87,F92)</f>
        <v>21386.90356048775</v>
      </c>
      <c r="G97" s="245"/>
      <c r="H97" s="246"/>
      <c r="I97" s="247">
        <f t="shared" ref="I97:I98" si="4">SUM(I87,I92)</f>
        <v>20999.079453347651</v>
      </c>
      <c r="J97" s="245"/>
      <c r="K97" s="246"/>
      <c r="L97" s="247">
        <f t="shared" ref="L97:L98" si="5">SUM(L87,L92)</f>
        <v>21077.985547050641</v>
      </c>
      <c r="M97" s="245"/>
      <c r="N97" s="246"/>
      <c r="O97" s="247">
        <f t="shared" ref="O97:O98" si="6">SUM(O87,O92)</f>
        <v>351356.86917753692</v>
      </c>
      <c r="P97" s="245"/>
      <c r="Q97" s="246"/>
      <c r="R97" s="262">
        <f>SUM(R87,R92)</f>
        <v>414820.83773842297</v>
      </c>
      <c r="S97" s="263"/>
      <c r="T97" s="263"/>
      <c r="V97" s="121">
        <f>SUM(F97:Q97)</f>
        <v>414820.83773842297</v>
      </c>
    </row>
    <row r="98" spans="2:22">
      <c r="B98" s="241" t="s">
        <v>244</v>
      </c>
      <c r="C98" s="242"/>
      <c r="D98" s="242"/>
      <c r="E98" s="243"/>
      <c r="F98" s="247">
        <f>SUM(F88,F93)</f>
        <v>6986.9035604877499</v>
      </c>
      <c r="G98" s="245"/>
      <c r="H98" s="246"/>
      <c r="I98" s="247">
        <f t="shared" si="4"/>
        <v>6599.0794533476492</v>
      </c>
      <c r="J98" s="245"/>
      <c r="K98" s="246"/>
      <c r="L98" s="247">
        <f t="shared" si="5"/>
        <v>6677.98554705064</v>
      </c>
      <c r="M98" s="245"/>
      <c r="N98" s="246"/>
      <c r="O98" s="247">
        <f t="shared" si="6"/>
        <v>106556.86917753691</v>
      </c>
      <c r="P98" s="245"/>
      <c r="Q98" s="246"/>
      <c r="R98" s="262">
        <f>SUM(R88,R93)</f>
        <v>126820.83773842294</v>
      </c>
      <c r="S98" s="263"/>
      <c r="T98" s="263"/>
      <c r="V98" s="121">
        <f>SUM(F98:Q98)</f>
        <v>126820.83773842294</v>
      </c>
    </row>
    <row r="100" spans="2:22">
      <c r="B100" s="95" t="s">
        <v>230</v>
      </c>
      <c r="C100" s="115" t="str">
        <f>IF($F$33&lt;'Data Validation Tables M2'!$K$22,"Not Eligible","Eligible")</f>
        <v>Not Eligible</v>
      </c>
    </row>
    <row r="101" spans="2:22" ht="16.5" thickBot="1">
      <c r="B101" s="266" t="s">
        <v>231</v>
      </c>
      <c r="C101" s="266"/>
      <c r="D101" s="266"/>
      <c r="E101" s="268"/>
      <c r="F101" s="269">
        <v>0.4</v>
      </c>
      <c r="G101" s="270"/>
    </row>
    <row r="102" spans="2:22" ht="15.75">
      <c r="B102" s="266" t="s">
        <v>232</v>
      </c>
      <c r="C102" s="266"/>
      <c r="D102" s="266"/>
      <c r="E102" s="266"/>
      <c r="F102" s="271">
        <f>1-F101</f>
        <v>0.6</v>
      </c>
      <c r="G102" s="271"/>
    </row>
    <row r="104" spans="2:22">
      <c r="B104" s="266" t="s">
        <v>233</v>
      </c>
      <c r="C104" s="266"/>
      <c r="D104" s="266"/>
      <c r="E104" s="266"/>
      <c r="F104" s="267">
        <f>($F$7-$F$32)*F101</f>
        <v>115200</v>
      </c>
      <c r="G104" s="266"/>
    </row>
    <row r="105" spans="2:22">
      <c r="B105" s="266" t="s">
        <v>234</v>
      </c>
      <c r="C105" s="266"/>
      <c r="D105" s="266"/>
      <c r="E105" s="266"/>
      <c r="F105" s="267">
        <f>($F$7-$F$32)*F102</f>
        <v>172800</v>
      </c>
      <c r="G105" s="266"/>
    </row>
    <row r="107" spans="2:22">
      <c r="F107" s="257" t="s">
        <v>221</v>
      </c>
      <c r="G107" s="257"/>
      <c r="H107" s="257"/>
      <c r="I107" s="257" t="s">
        <v>222</v>
      </c>
      <c r="J107" s="257"/>
      <c r="K107" s="257"/>
      <c r="L107" s="257" t="s">
        <v>223</v>
      </c>
      <c r="M107" s="257"/>
      <c r="N107" s="257"/>
      <c r="O107" s="257" t="s">
        <v>224</v>
      </c>
      <c r="P107" s="257"/>
      <c r="Q107" s="257"/>
      <c r="R107" s="258" t="s">
        <v>235</v>
      </c>
      <c r="S107" s="258"/>
      <c r="T107" s="258"/>
    </row>
    <row r="108" spans="2:22">
      <c r="B108" s="241" t="s">
        <v>236</v>
      </c>
      <c r="C108" s="242"/>
      <c r="D108" s="242"/>
      <c r="E108" s="243"/>
      <c r="F108" s="247">
        <f>-PMT('Data Validation Tables M2'!$C$53/12,$F$31*12,F104)</f>
        <v>683.00733883417627</v>
      </c>
      <c r="G108" s="245"/>
      <c r="H108" s="246"/>
      <c r="I108" s="259">
        <f>-PMT('Data Validation Tables M2'!$C$54/12,($F$31-1)*12,F104-(F109-F110))</f>
        <v>671.85522473056119</v>
      </c>
      <c r="J108" s="260"/>
      <c r="K108" s="261"/>
      <c r="L108" s="247">
        <f>-PMT('Data Validation Tables M2'!$C$55/12,($F$31-2)*12,F104-(F109-F110+I109-I110))</f>
        <v>712.21826865357048</v>
      </c>
      <c r="M108" s="245"/>
      <c r="N108" s="246"/>
      <c r="O108" s="250">
        <f>-PMT('Data Validation Tables M2'!$C$56/12,($F$31-3)*12,F104-(F109-F110+I109-I110+L109-L110))</f>
        <v>697.91946054871153</v>
      </c>
      <c r="P108" s="265"/>
      <c r="Q108" s="265"/>
      <c r="R108" s="264"/>
      <c r="S108" s="258"/>
      <c r="T108" s="258"/>
    </row>
    <row r="109" spans="2:22">
      <c r="B109" s="241" t="s">
        <v>237</v>
      </c>
      <c r="C109" s="242"/>
      <c r="D109" s="242"/>
      <c r="E109" s="243"/>
      <c r="F109" s="247">
        <f>F108*12</f>
        <v>8196.0880660101157</v>
      </c>
      <c r="G109" s="248"/>
      <c r="H109" s="249"/>
      <c r="I109" s="247">
        <f>I108*12</f>
        <v>8062.2626967667347</v>
      </c>
      <c r="J109" s="248"/>
      <c r="K109" s="249"/>
      <c r="L109" s="247">
        <f>L108*12</f>
        <v>8546.6192238428448</v>
      </c>
      <c r="M109" s="248"/>
      <c r="N109" s="249"/>
      <c r="O109" s="247">
        <f>O108*12*($F$31-3)</f>
        <v>142375.56995193716</v>
      </c>
      <c r="P109" s="248"/>
      <c r="Q109" s="249"/>
      <c r="R109" s="251">
        <f>SUM(F109:Q109)</f>
        <v>167180.53993855685</v>
      </c>
      <c r="S109" s="251"/>
      <c r="T109" s="251"/>
    </row>
    <row r="110" spans="2:22">
      <c r="B110" s="241" t="s">
        <v>238</v>
      </c>
      <c r="C110" s="242"/>
      <c r="D110" s="242"/>
      <c r="E110" s="243"/>
      <c r="F110" s="247">
        <f>F109-(-PMT(0,$F$31*12,F104)*12)</f>
        <v>2436.0880660101157</v>
      </c>
      <c r="G110" s="248"/>
      <c r="H110" s="249"/>
      <c r="I110" s="247">
        <f>I109-(-PMT(0,($F$31-1)*12,F104-(F109-F110))*12)</f>
        <v>2302.2626967667347</v>
      </c>
      <c r="J110" s="248"/>
      <c r="K110" s="249"/>
      <c r="L110" s="247">
        <f>L109-(-PMT(0,($F$31-2)*12,F104-(F109-F110+I109-I110))*12)</f>
        <v>2786.6192238428448</v>
      </c>
      <c r="M110" s="248"/>
      <c r="N110" s="249"/>
      <c r="O110" s="250">
        <f>O109-(-PMT(0,($F$31-3)*12,F104-(F109-F110+I109-I110+L109-L110))*12*($F$31-3))</f>
        <v>44455.569951937156</v>
      </c>
      <c r="P110" s="250"/>
      <c r="Q110" s="250"/>
      <c r="R110" s="251">
        <f>SUM(F110:Q110)</f>
        <v>51980.539938556853</v>
      </c>
      <c r="S110" s="251"/>
      <c r="T110" s="251"/>
      <c r="V110" s="121">
        <f>R109-F104</f>
        <v>51980.539938556845</v>
      </c>
    </row>
    <row r="112" spans="2:22">
      <c r="F112" s="257" t="s">
        <v>221</v>
      </c>
      <c r="G112" s="257"/>
      <c r="H112" s="257"/>
      <c r="I112" s="257" t="s">
        <v>222</v>
      </c>
      <c r="J112" s="257"/>
      <c r="K112" s="257"/>
      <c r="L112" s="257" t="s">
        <v>223</v>
      </c>
      <c r="M112" s="257"/>
      <c r="N112" s="257"/>
      <c r="O112" s="257" t="s">
        <v>224</v>
      </c>
      <c r="P112" s="257"/>
      <c r="Q112" s="257"/>
      <c r="R112" s="258" t="s">
        <v>235</v>
      </c>
      <c r="S112" s="258"/>
      <c r="T112" s="258"/>
    </row>
    <row r="113" spans="2:22">
      <c r="B113" s="241" t="s">
        <v>239</v>
      </c>
      <c r="C113" s="242"/>
      <c r="D113" s="242"/>
      <c r="E113" s="243"/>
      <c r="F113" s="247">
        <f>-PMT('Data Validation Tables M2'!$C$59/12,$F$31*12,F105)</f>
        <v>1088.559822212869</v>
      </c>
      <c r="G113" s="245"/>
      <c r="H113" s="246"/>
      <c r="I113" s="259">
        <f>-PMT('Data Validation Tables M2'!$C$60/12,($F$31-1)*12,F105-(F114-F115))</f>
        <v>1068.0273164837572</v>
      </c>
      <c r="J113" s="260"/>
      <c r="K113" s="261"/>
      <c r="L113" s="247">
        <f>-PMT('Data Validation Tables M2'!$C$61/12,($F$31-2)*12,F105-(F114-F115+I114-I115))</f>
        <v>1047.7157949406076</v>
      </c>
      <c r="M113" s="245"/>
      <c r="N113" s="246"/>
      <c r="O113" s="250">
        <f>-PMT('Data Validation Tables M2'!$C$62/12,($F$31-3)*12,F105-(F114-F115+I114-I115+L114-L115))</f>
        <v>1027.6268559394289</v>
      </c>
      <c r="P113" s="250"/>
      <c r="Q113" s="250"/>
      <c r="R113" s="264"/>
      <c r="S113" s="264"/>
      <c r="T113" s="264"/>
    </row>
    <row r="114" spans="2:22">
      <c r="B114" s="241" t="s">
        <v>240</v>
      </c>
      <c r="C114" s="242"/>
      <c r="D114" s="242"/>
      <c r="E114" s="243"/>
      <c r="F114" s="247">
        <f>F113*12</f>
        <v>13062.717866554427</v>
      </c>
      <c r="G114" s="248"/>
      <c r="H114" s="249"/>
      <c r="I114" s="247">
        <f t="shared" ref="I114" si="7">I113*12</f>
        <v>12816.327797805086</v>
      </c>
      <c r="J114" s="248"/>
      <c r="K114" s="249"/>
      <c r="L114" s="247">
        <f t="shared" ref="L114" si="8">L113*12</f>
        <v>12572.589539287292</v>
      </c>
      <c r="M114" s="248"/>
      <c r="N114" s="249"/>
      <c r="O114" s="247">
        <f>O113*12*($F$31-3)</f>
        <v>209635.87861164348</v>
      </c>
      <c r="P114" s="248"/>
      <c r="Q114" s="249"/>
      <c r="R114" s="251">
        <f>SUM(F114:Q114)</f>
        <v>248087.51381529029</v>
      </c>
      <c r="S114" s="251"/>
      <c r="T114" s="251"/>
    </row>
    <row r="115" spans="2:22">
      <c r="B115" s="241" t="s">
        <v>241</v>
      </c>
      <c r="C115" s="242"/>
      <c r="D115" s="242"/>
      <c r="E115" s="243"/>
      <c r="F115" s="247">
        <f>F114-(-PMT(0,$F$31*12,F105)*12)</f>
        <v>4422.717866554427</v>
      </c>
      <c r="G115" s="248"/>
      <c r="H115" s="249"/>
      <c r="I115" s="247">
        <f>I114-(-PMT(0,($F$31-1)*12,F105-(F114-F115))*12)</f>
        <v>4176.3277978050864</v>
      </c>
      <c r="J115" s="248"/>
      <c r="K115" s="249"/>
      <c r="L115" s="247">
        <f>L114-(-PMT(0,($F$31-2)*12,F105-(F114-F115+I114-I115))*12)</f>
        <v>3932.5895392872917</v>
      </c>
      <c r="M115" s="248"/>
      <c r="N115" s="249"/>
      <c r="O115" s="250">
        <f>O114-(-PMT(0,($F$31-3)*12,F105-(F114-F115+I114-I115+L114-L115))*12*($F$31-3))</f>
        <v>62755.878611643479</v>
      </c>
      <c r="P115" s="250"/>
      <c r="Q115" s="250"/>
      <c r="R115" s="251">
        <f>SUM(F115:Q115)</f>
        <v>75287.51381529028</v>
      </c>
      <c r="S115" s="251"/>
      <c r="T115" s="251"/>
      <c r="V115" s="121">
        <f>R114-F105</f>
        <v>75287.513815290295</v>
      </c>
    </row>
    <row r="117" spans="2:22">
      <c r="F117" s="257" t="s">
        <v>221</v>
      </c>
      <c r="G117" s="257"/>
      <c r="H117" s="257"/>
      <c r="I117" s="257" t="s">
        <v>222</v>
      </c>
      <c r="J117" s="257"/>
      <c r="K117" s="257"/>
      <c r="L117" s="257" t="s">
        <v>223</v>
      </c>
      <c r="M117" s="257"/>
      <c r="N117" s="257"/>
      <c r="O117" s="258" t="s">
        <v>224</v>
      </c>
      <c r="P117" s="258"/>
      <c r="Q117" s="258"/>
      <c r="R117" s="258" t="s">
        <v>225</v>
      </c>
      <c r="S117" s="258"/>
      <c r="T117" s="258"/>
    </row>
    <row r="118" spans="2:22">
      <c r="B118" s="241" t="s">
        <v>242</v>
      </c>
      <c r="C118" s="242"/>
      <c r="D118" s="242"/>
      <c r="E118" s="243"/>
      <c r="F118" s="247">
        <f>SUM(F108,F113)</f>
        <v>1771.5671610470454</v>
      </c>
      <c r="G118" s="245"/>
      <c r="H118" s="246"/>
      <c r="I118" s="247">
        <f>SUM(I108,I113)</f>
        <v>1739.8825412143183</v>
      </c>
      <c r="J118" s="245"/>
      <c r="K118" s="246"/>
      <c r="L118" s="247">
        <f>SUM(L108,L113)</f>
        <v>1759.934063594178</v>
      </c>
      <c r="M118" s="245"/>
      <c r="N118" s="246"/>
      <c r="O118" s="247">
        <f>SUM(O108,O113)</f>
        <v>1725.5463164881403</v>
      </c>
      <c r="P118" s="245"/>
      <c r="Q118" s="246"/>
    </row>
    <row r="119" spans="2:22">
      <c r="B119" s="241" t="s">
        <v>243</v>
      </c>
      <c r="C119" s="242"/>
      <c r="D119" s="242"/>
      <c r="E119" s="243"/>
      <c r="F119" s="247">
        <f>SUM(F109,F114)</f>
        <v>21258.805932564544</v>
      </c>
      <c r="G119" s="245"/>
      <c r="H119" s="246"/>
      <c r="I119" s="247">
        <f t="shared" ref="I119:I120" si="9">SUM(I109,I114)</f>
        <v>20878.590494571821</v>
      </c>
      <c r="J119" s="245"/>
      <c r="K119" s="246"/>
      <c r="L119" s="247">
        <f t="shared" ref="L119:L120" si="10">SUM(L109,L114)</f>
        <v>21119.208763130137</v>
      </c>
      <c r="M119" s="245"/>
      <c r="N119" s="246"/>
      <c r="O119" s="247">
        <f t="shared" ref="O119:O120" si="11">SUM(O109,O114)</f>
        <v>352011.44856358063</v>
      </c>
      <c r="P119" s="245"/>
      <c r="Q119" s="246"/>
      <c r="R119" s="262">
        <f>SUM(R109,R114)</f>
        <v>415268.05375384714</v>
      </c>
      <c r="S119" s="263"/>
      <c r="T119" s="263"/>
      <c r="V119" s="121">
        <f>SUM(F119:Q119)</f>
        <v>415268.05375384714</v>
      </c>
    </row>
    <row r="120" spans="2:22">
      <c r="B120" s="241" t="s">
        <v>244</v>
      </c>
      <c r="C120" s="242"/>
      <c r="D120" s="242"/>
      <c r="E120" s="243"/>
      <c r="F120" s="247">
        <f>SUM(F110,F115)</f>
        <v>6858.8059325645427</v>
      </c>
      <c r="G120" s="245"/>
      <c r="H120" s="246"/>
      <c r="I120" s="247">
        <f t="shared" si="9"/>
        <v>6478.5904945718212</v>
      </c>
      <c r="J120" s="245"/>
      <c r="K120" s="246"/>
      <c r="L120" s="247">
        <f t="shared" si="10"/>
        <v>6719.2087631301365</v>
      </c>
      <c r="M120" s="245"/>
      <c r="N120" s="246"/>
      <c r="O120" s="247">
        <f t="shared" si="11"/>
        <v>107211.44856358063</v>
      </c>
      <c r="P120" s="245"/>
      <c r="Q120" s="246"/>
      <c r="R120" s="262">
        <f>SUM(R110,R115)</f>
        <v>127268.05375384714</v>
      </c>
      <c r="S120" s="263"/>
      <c r="T120" s="263"/>
      <c r="V120" s="121">
        <f>SUM(F120:Q120)</f>
        <v>127268.05375384714</v>
      </c>
    </row>
    <row r="122" spans="2:22">
      <c r="B122" s="95" t="s">
        <v>230</v>
      </c>
      <c r="C122" s="115" t="str">
        <f>IF($F$33&lt;'Data Validation Tables M2'!$K$22,"Not Eligible","Eligible")</f>
        <v>Not Eligible</v>
      </c>
    </row>
    <row r="123" spans="2:22" ht="16.5" thickBot="1">
      <c r="B123" s="266" t="s">
        <v>231</v>
      </c>
      <c r="C123" s="266"/>
      <c r="D123" s="266"/>
      <c r="E123" s="268"/>
      <c r="F123" s="269">
        <v>0.5</v>
      </c>
      <c r="G123" s="270"/>
    </row>
    <row r="124" spans="2:22" ht="15.75">
      <c r="B124" s="266" t="s">
        <v>232</v>
      </c>
      <c r="C124" s="266"/>
      <c r="D124" s="266"/>
      <c r="E124" s="266"/>
      <c r="F124" s="271">
        <f>1-F123</f>
        <v>0.5</v>
      </c>
      <c r="G124" s="271"/>
    </row>
    <row r="126" spans="2:22">
      <c r="B126" s="266" t="s">
        <v>233</v>
      </c>
      <c r="C126" s="266"/>
      <c r="D126" s="266"/>
      <c r="E126" s="266"/>
      <c r="F126" s="267">
        <f>($F$7-$F$32)*F123</f>
        <v>144000</v>
      </c>
      <c r="G126" s="266"/>
    </row>
    <row r="127" spans="2:22">
      <c r="B127" s="266" t="s">
        <v>234</v>
      </c>
      <c r="C127" s="266"/>
      <c r="D127" s="266"/>
      <c r="E127" s="266"/>
      <c r="F127" s="267">
        <f>($F$7-$F$32)*F124</f>
        <v>144000</v>
      </c>
      <c r="G127" s="266"/>
    </row>
    <row r="129" spans="2:22">
      <c r="F129" s="257" t="s">
        <v>221</v>
      </c>
      <c r="G129" s="257"/>
      <c r="H129" s="257"/>
      <c r="I129" s="257" t="s">
        <v>222</v>
      </c>
      <c r="J129" s="257"/>
      <c r="K129" s="257"/>
      <c r="L129" s="257" t="s">
        <v>223</v>
      </c>
      <c r="M129" s="257"/>
      <c r="N129" s="257"/>
      <c r="O129" s="257" t="s">
        <v>224</v>
      </c>
      <c r="P129" s="257"/>
      <c r="Q129" s="257"/>
      <c r="R129" s="258" t="s">
        <v>235</v>
      </c>
      <c r="S129" s="258"/>
      <c r="T129" s="258"/>
    </row>
    <row r="130" spans="2:22">
      <c r="B130" s="241" t="s">
        <v>236</v>
      </c>
      <c r="C130" s="242"/>
      <c r="D130" s="242"/>
      <c r="E130" s="243"/>
      <c r="F130" s="247">
        <f>-PMT('Data Validation Tables M2'!$C$53/12,$F$31*12,F126)</f>
        <v>853.7591735427203</v>
      </c>
      <c r="G130" s="245"/>
      <c r="H130" s="246"/>
      <c r="I130" s="259">
        <f>-PMT('Data Validation Tables M2'!$C$54/12,($F$31-1)*12,F126-(F131-F132))</f>
        <v>839.81903091320135</v>
      </c>
      <c r="J130" s="260"/>
      <c r="K130" s="261"/>
      <c r="L130" s="247">
        <f>-PMT('Data Validation Tables M2'!$C$55/12,($F$31-2)*12,F126-(F131-F132+I131-I132))</f>
        <v>890.27283581696304</v>
      </c>
      <c r="M130" s="245"/>
      <c r="N130" s="246"/>
      <c r="O130" s="250">
        <f>-PMT('Data Validation Tables M2'!$C$56/12,($F$31-3)*12,F126-(F131-F132+I131-I132+L131-L132))</f>
        <v>872.39932568588949</v>
      </c>
      <c r="P130" s="265"/>
      <c r="Q130" s="265"/>
      <c r="R130" s="264"/>
      <c r="S130" s="258"/>
      <c r="T130" s="258"/>
    </row>
    <row r="131" spans="2:22">
      <c r="B131" s="241" t="s">
        <v>237</v>
      </c>
      <c r="C131" s="242"/>
      <c r="D131" s="242"/>
      <c r="E131" s="243"/>
      <c r="F131" s="247">
        <f>F130*12</f>
        <v>10245.110082512643</v>
      </c>
      <c r="G131" s="248"/>
      <c r="H131" s="249"/>
      <c r="I131" s="247">
        <f>I130*12</f>
        <v>10077.828370958416</v>
      </c>
      <c r="J131" s="248"/>
      <c r="K131" s="249"/>
      <c r="L131" s="247">
        <f>L130*12</f>
        <v>10683.274029803557</v>
      </c>
      <c r="M131" s="248"/>
      <c r="N131" s="249"/>
      <c r="O131" s="247">
        <f>O130*12*($F$31-3)</f>
        <v>177969.46243992145</v>
      </c>
      <c r="P131" s="248"/>
      <c r="Q131" s="249"/>
      <c r="R131" s="251">
        <f>SUM(F131:Q131)</f>
        <v>208975.67492319606</v>
      </c>
      <c r="S131" s="251"/>
      <c r="T131" s="251"/>
    </row>
    <row r="132" spans="2:22">
      <c r="B132" s="241" t="s">
        <v>238</v>
      </c>
      <c r="C132" s="242"/>
      <c r="D132" s="242"/>
      <c r="E132" s="243"/>
      <c r="F132" s="247">
        <f>F131-(-PMT(0,$F$31*12,F126)*12)</f>
        <v>3045.1100825126432</v>
      </c>
      <c r="G132" s="248"/>
      <c r="H132" s="249"/>
      <c r="I132" s="247">
        <f>I131-(-PMT(0,($F$31-1)*12,F126-(F131-F132))*12)</f>
        <v>2877.8283709584157</v>
      </c>
      <c r="J132" s="248"/>
      <c r="K132" s="249"/>
      <c r="L132" s="247">
        <f>L131-(-PMT(0,($F$31-2)*12,F126-(F131-F132+I131-I132))*12)</f>
        <v>3483.2740298035569</v>
      </c>
      <c r="M132" s="248"/>
      <c r="N132" s="249"/>
      <c r="O132" s="250">
        <f>O131-(-PMT(0,($F$31-3)*12,F126-(F131-F132+I131-I132+L131-L132))*12*($F$31-3))</f>
        <v>55569.462439921452</v>
      </c>
      <c r="P132" s="250"/>
      <c r="Q132" s="250"/>
      <c r="R132" s="251">
        <f>SUM(F132:Q132)</f>
        <v>64975.674923196071</v>
      </c>
      <c r="S132" s="251"/>
      <c r="T132" s="251"/>
      <c r="V132" s="121">
        <f>R131-F126</f>
        <v>64975.674923196057</v>
      </c>
    </row>
    <row r="134" spans="2:22">
      <c r="F134" s="257" t="s">
        <v>221</v>
      </c>
      <c r="G134" s="257"/>
      <c r="H134" s="257"/>
      <c r="I134" s="257" t="s">
        <v>222</v>
      </c>
      <c r="J134" s="257"/>
      <c r="K134" s="257"/>
      <c r="L134" s="257" t="s">
        <v>223</v>
      </c>
      <c r="M134" s="257"/>
      <c r="N134" s="257"/>
      <c r="O134" s="257" t="s">
        <v>224</v>
      </c>
      <c r="P134" s="257"/>
      <c r="Q134" s="257"/>
      <c r="R134" s="258" t="s">
        <v>235</v>
      </c>
      <c r="S134" s="258"/>
      <c r="T134" s="258"/>
    </row>
    <row r="135" spans="2:22">
      <c r="B135" s="241" t="s">
        <v>239</v>
      </c>
      <c r="C135" s="242"/>
      <c r="D135" s="242"/>
      <c r="E135" s="243"/>
      <c r="F135" s="247">
        <f>-PMT('Data Validation Tables M2'!$C$59/12,$F$31*12,F127)</f>
        <v>907.13318517739083</v>
      </c>
      <c r="G135" s="245"/>
      <c r="H135" s="246"/>
      <c r="I135" s="259">
        <f>-PMT('Data Validation Tables M2'!$C$60/12,($F$31-1)*12,F127-(F136-F137))</f>
        <v>890.02276373646441</v>
      </c>
      <c r="J135" s="260"/>
      <c r="K135" s="261"/>
      <c r="L135" s="247">
        <f>-PMT('Data Validation Tables M2'!$C$61/12,($F$31-2)*12,F127-(F136-F137+I136-I137))</f>
        <v>873.0964957838396</v>
      </c>
      <c r="M135" s="245"/>
      <c r="N135" s="246"/>
      <c r="O135" s="250">
        <f>-PMT('Data Validation Tables M2'!$C$62/12,($F$31-3)*12,F127-(F136-F137+I136-I137+L136-L137))</f>
        <v>856.35571328285732</v>
      </c>
      <c r="P135" s="250"/>
      <c r="Q135" s="250"/>
      <c r="R135" s="264"/>
      <c r="S135" s="264"/>
      <c r="T135" s="264"/>
    </row>
    <row r="136" spans="2:22">
      <c r="B136" s="241" t="s">
        <v>240</v>
      </c>
      <c r="C136" s="242"/>
      <c r="D136" s="242"/>
      <c r="E136" s="243"/>
      <c r="F136" s="247">
        <f>F135*12</f>
        <v>10885.59822212869</v>
      </c>
      <c r="G136" s="248"/>
      <c r="H136" s="249"/>
      <c r="I136" s="247">
        <f t="shared" ref="I136" si="12">I135*12</f>
        <v>10680.273164837574</v>
      </c>
      <c r="J136" s="248"/>
      <c r="K136" s="249"/>
      <c r="L136" s="247">
        <f t="shared" ref="L136" si="13">L135*12</f>
        <v>10477.157949406075</v>
      </c>
      <c r="M136" s="248"/>
      <c r="N136" s="249"/>
      <c r="O136" s="247">
        <f>O135*12*($F$31-3)</f>
        <v>174696.56550970289</v>
      </c>
      <c r="P136" s="248"/>
      <c r="Q136" s="249"/>
      <c r="R136" s="251">
        <f>SUM(F136:Q136)</f>
        <v>206739.59484607523</v>
      </c>
      <c r="S136" s="251"/>
      <c r="T136" s="251"/>
    </row>
    <row r="137" spans="2:22">
      <c r="B137" s="241" t="s">
        <v>241</v>
      </c>
      <c r="C137" s="242"/>
      <c r="D137" s="242"/>
      <c r="E137" s="243"/>
      <c r="F137" s="247">
        <f>F136-(-PMT(0,$F$31*12,F127)*12)</f>
        <v>3685.5982221286904</v>
      </c>
      <c r="G137" s="248"/>
      <c r="H137" s="249"/>
      <c r="I137" s="247">
        <f>I136-(-PMT(0,($F$31-1)*12,F127-(F136-F137))*12)</f>
        <v>3480.2731648375739</v>
      </c>
      <c r="J137" s="248"/>
      <c r="K137" s="249"/>
      <c r="L137" s="247">
        <f>L136-(-PMT(0,($F$31-2)*12,F127-(F136-F137+I136-I137))*12)</f>
        <v>3277.1579494060752</v>
      </c>
      <c r="M137" s="248"/>
      <c r="N137" s="249"/>
      <c r="O137" s="250">
        <f>O136-(-PMT(0,($F$31-3)*12,F127-(F136-F137+I136-I137+L136-L137))*12*($F$31-3))</f>
        <v>52296.565509702894</v>
      </c>
      <c r="P137" s="250"/>
      <c r="Q137" s="250"/>
      <c r="R137" s="251">
        <f>SUM(F137:Q137)</f>
        <v>62739.594846075233</v>
      </c>
      <c r="S137" s="251"/>
      <c r="T137" s="251"/>
      <c r="V137" s="121">
        <f>R136-F127</f>
        <v>62739.594846075226</v>
      </c>
    </row>
    <row r="139" spans="2:22">
      <c r="F139" s="257" t="s">
        <v>221</v>
      </c>
      <c r="G139" s="257"/>
      <c r="H139" s="257"/>
      <c r="I139" s="257" t="s">
        <v>222</v>
      </c>
      <c r="J139" s="257"/>
      <c r="K139" s="257"/>
      <c r="L139" s="257" t="s">
        <v>223</v>
      </c>
      <c r="M139" s="257"/>
      <c r="N139" s="257"/>
      <c r="O139" s="258" t="s">
        <v>224</v>
      </c>
      <c r="P139" s="258"/>
      <c r="Q139" s="258"/>
      <c r="R139" s="258" t="s">
        <v>225</v>
      </c>
      <c r="S139" s="258"/>
      <c r="T139" s="258"/>
    </row>
    <row r="140" spans="2:22">
      <c r="B140" s="241" t="s">
        <v>242</v>
      </c>
      <c r="C140" s="242"/>
      <c r="D140" s="242"/>
      <c r="E140" s="243"/>
      <c r="F140" s="247">
        <f>SUM(F130,F135)</f>
        <v>1760.8923587201111</v>
      </c>
      <c r="G140" s="245"/>
      <c r="H140" s="246"/>
      <c r="I140" s="247">
        <f>SUM(I130,I135)</f>
        <v>1729.8417946496656</v>
      </c>
      <c r="J140" s="245"/>
      <c r="K140" s="246"/>
      <c r="L140" s="247">
        <f>SUM(L130,L135)</f>
        <v>1763.3693316008025</v>
      </c>
      <c r="M140" s="245"/>
      <c r="N140" s="246"/>
      <c r="O140" s="247">
        <f>SUM(O130,O135)</f>
        <v>1728.7550389687467</v>
      </c>
      <c r="P140" s="245"/>
      <c r="Q140" s="246"/>
    </row>
    <row r="141" spans="2:22">
      <c r="B141" s="241" t="s">
        <v>243</v>
      </c>
      <c r="C141" s="242"/>
      <c r="D141" s="242"/>
      <c r="E141" s="243"/>
      <c r="F141" s="247">
        <f>SUM(F131,F136)</f>
        <v>21130.708304641332</v>
      </c>
      <c r="G141" s="245"/>
      <c r="H141" s="246"/>
      <c r="I141" s="247">
        <f t="shared" ref="I141:I142" si="14">SUM(I131,I136)</f>
        <v>20758.101535795991</v>
      </c>
      <c r="J141" s="245"/>
      <c r="K141" s="246"/>
      <c r="L141" s="247">
        <f t="shared" ref="L141:L142" si="15">SUM(L131,L136)</f>
        <v>21160.431979209632</v>
      </c>
      <c r="M141" s="245"/>
      <c r="N141" s="246"/>
      <c r="O141" s="247">
        <f t="shared" ref="O141:O142" si="16">SUM(O131,O136)</f>
        <v>352666.02794962435</v>
      </c>
      <c r="P141" s="245"/>
      <c r="Q141" s="246"/>
      <c r="R141" s="262">
        <f>SUM(R131,R136)</f>
        <v>415715.26976927125</v>
      </c>
      <c r="S141" s="263"/>
      <c r="T141" s="263"/>
      <c r="V141" s="121">
        <f>SUM(F141:Q141)</f>
        <v>415715.26976927131</v>
      </c>
    </row>
    <row r="142" spans="2:22">
      <c r="B142" s="241" t="s">
        <v>244</v>
      </c>
      <c r="C142" s="242"/>
      <c r="D142" s="242"/>
      <c r="E142" s="243"/>
      <c r="F142" s="247">
        <f>SUM(F132,F137)</f>
        <v>6730.7083046413336</v>
      </c>
      <c r="G142" s="245"/>
      <c r="H142" s="246"/>
      <c r="I142" s="247">
        <f t="shared" si="14"/>
        <v>6358.1015357959895</v>
      </c>
      <c r="J142" s="245"/>
      <c r="K142" s="246"/>
      <c r="L142" s="247">
        <f t="shared" si="15"/>
        <v>6760.4319792096321</v>
      </c>
      <c r="M142" s="245"/>
      <c r="N142" s="246"/>
      <c r="O142" s="247">
        <f t="shared" si="16"/>
        <v>107866.02794962435</v>
      </c>
      <c r="P142" s="245"/>
      <c r="Q142" s="246"/>
      <c r="R142" s="262">
        <f>SUM(R132,R137)</f>
        <v>127715.26976927131</v>
      </c>
      <c r="S142" s="263"/>
      <c r="T142" s="263"/>
      <c r="V142" s="121">
        <f>SUM(F142:Q142)</f>
        <v>127715.2697692713</v>
      </c>
    </row>
    <row r="147" spans="2:22" ht="18.75">
      <c r="B147" s="98" t="s">
        <v>245</v>
      </c>
      <c r="C147" s="115"/>
    </row>
    <row r="149" spans="2:22">
      <c r="B149" s="95" t="s">
        <v>220</v>
      </c>
      <c r="C149" s="115" t="str">
        <f>IF(F33&lt;'Data Validation Tables M2'!K23,"Not Eligible","Eligible")</f>
        <v>Eligible</v>
      </c>
      <c r="F149" s="257" t="s">
        <v>221</v>
      </c>
      <c r="G149" s="257"/>
      <c r="H149" s="257"/>
      <c r="I149" s="257" t="s">
        <v>222</v>
      </c>
      <c r="J149" s="257"/>
      <c r="K149" s="257"/>
      <c r="L149" s="257" t="s">
        <v>223</v>
      </c>
      <c r="M149" s="257"/>
      <c r="N149" s="257"/>
      <c r="O149" s="257" t="s">
        <v>224</v>
      </c>
      <c r="P149" s="257"/>
      <c r="Q149" s="257"/>
      <c r="R149" s="258" t="s">
        <v>225</v>
      </c>
      <c r="S149" s="258"/>
      <c r="T149" s="258"/>
    </row>
    <row r="150" spans="2:22">
      <c r="B150" s="241" t="s">
        <v>214</v>
      </c>
      <c r="C150" s="242"/>
      <c r="D150" s="242"/>
      <c r="E150" s="243"/>
      <c r="F150" s="247">
        <f>-PMT('Data Validation Tables M2'!C65/12,F31*12,F7-F32)</f>
        <v>1806.5209276171147</v>
      </c>
      <c r="G150" s="248"/>
      <c r="H150" s="249"/>
      <c r="I150" s="259">
        <f>-PMT('Data Validation Tables M2'!C66/12,(F31-1)*12,F7-F32-(F151-F152))</f>
        <v>1772.7639989092218</v>
      </c>
      <c r="J150" s="260"/>
      <c r="K150" s="261"/>
      <c r="L150" s="247">
        <f>-PMT('Data Validation Tables M2'!C67/12,(F31-2)*12,F7-F32-(F151-F152+I151-I152))</f>
        <v>1753.0333816219372</v>
      </c>
      <c r="M150" s="248"/>
      <c r="N150" s="249"/>
      <c r="O150" s="247">
        <f>-PMT('Data Validation Tables M2'!C68/12,(F31-3)*12,F7-F32-(F151-F152+I151-I152+L151-L152))</f>
        <v>1744.798651371779</v>
      </c>
      <c r="P150" s="248"/>
      <c r="Q150" s="249"/>
      <c r="R150" s="252"/>
      <c r="S150" s="253"/>
      <c r="T150" s="253"/>
    </row>
    <row r="151" spans="2:22">
      <c r="B151" s="241" t="s">
        <v>215</v>
      </c>
      <c r="C151" s="242"/>
      <c r="D151" s="242"/>
      <c r="E151" s="243"/>
      <c r="F151" s="247">
        <f>F150*12</f>
        <v>21678.251131405377</v>
      </c>
      <c r="G151" s="248"/>
      <c r="H151" s="249"/>
      <c r="I151" s="247">
        <f>I150*12</f>
        <v>21273.167986910659</v>
      </c>
      <c r="J151" s="248"/>
      <c r="K151" s="249"/>
      <c r="L151" s="247">
        <f>L150*12</f>
        <v>21036.400579463247</v>
      </c>
      <c r="M151" s="248"/>
      <c r="N151" s="249"/>
      <c r="O151" s="247">
        <f>O150*12*(F31-3)</f>
        <v>355938.9248798429</v>
      </c>
      <c r="P151" s="248"/>
      <c r="Q151" s="249"/>
      <c r="R151" s="254">
        <f>SUM(F151:Q151)</f>
        <v>419926.74457762216</v>
      </c>
      <c r="S151" s="255"/>
      <c r="T151" s="256"/>
    </row>
    <row r="152" spans="2:22">
      <c r="B152" s="241" t="s">
        <v>75</v>
      </c>
      <c r="C152" s="242"/>
      <c r="D152" s="242"/>
      <c r="E152" s="243"/>
      <c r="F152" s="247">
        <f>F151-(-PMT(0,F31*12,F7-F32)*12)</f>
        <v>7278.2511314053772</v>
      </c>
      <c r="G152" s="248"/>
      <c r="H152" s="249"/>
      <c r="I152" s="247">
        <f>I151-(-PMT(0,(F31-1)*12,F7-F32-(F151-F152))*12)</f>
        <v>6873.1679869106592</v>
      </c>
      <c r="J152" s="248"/>
      <c r="K152" s="249"/>
      <c r="L152" s="247">
        <f>L151-(-PMT(0,(F31-2)*12,F7-F32-(F151-F152+I151-I152))*12)</f>
        <v>6636.4005794632467</v>
      </c>
      <c r="M152" s="248"/>
      <c r="N152" s="249"/>
      <c r="O152" s="250">
        <f>O151-(-PMT(0,(F31-3)*12,F7-F32-(F151-F152+I151-I152+L151-L152))*12*(F31-3))</f>
        <v>111138.9248798429</v>
      </c>
      <c r="P152" s="250"/>
      <c r="Q152" s="250"/>
      <c r="R152" s="251">
        <f>SUM(F152:Q152)</f>
        <v>131926.74457762219</v>
      </c>
      <c r="S152" s="251"/>
      <c r="T152" s="251"/>
      <c r="V152" s="121">
        <f>R151-(F7-F32)</f>
        <v>131926.74457762216</v>
      </c>
    </row>
    <row r="156" spans="2:22" ht="18.75">
      <c r="B156" s="98" t="s">
        <v>246</v>
      </c>
    </row>
    <row r="158" spans="2:22">
      <c r="B158" s="120" t="str">
        <f>IF(F159="-","No loan plans has met the given criteria","")</f>
        <v/>
      </c>
    </row>
    <row r="159" spans="2:22">
      <c r="B159" s="241" t="s">
        <v>69</v>
      </c>
      <c r="C159" s="242"/>
      <c r="D159" s="242"/>
      <c r="E159" s="243"/>
      <c r="F159" s="244" t="str">
        <f>_xlfn.XLOOKUP(F161,'Data Validation Tables M2'!C72:C82,'Data Validation Tables M2'!A72:A82,"-",0)</f>
        <v>DBS</v>
      </c>
      <c r="G159" s="245"/>
      <c r="H159" s="246"/>
    </row>
    <row r="160" spans="2:22">
      <c r="B160" s="241" t="s">
        <v>71</v>
      </c>
      <c r="C160" s="242"/>
      <c r="D160" s="242"/>
      <c r="E160" s="243"/>
      <c r="F160" s="244" t="str">
        <f>_xlfn.XLOOKUP(F161,'Data Validation Tables M2'!C72:C82,'Data Validation Tables M2'!B72:B82,"-",0)</f>
        <v>2 Years Fixed</v>
      </c>
      <c r="G160" s="245"/>
      <c r="H160" s="246"/>
    </row>
    <row r="161" spans="2:8">
      <c r="B161" s="241" t="s">
        <v>74</v>
      </c>
      <c r="C161" s="242"/>
      <c r="D161" s="242"/>
      <c r="E161" s="243"/>
      <c r="F161" s="247">
        <f>_xlfn.MINIFS('Data Validation Tables M2'!$C$72:$C$82,'Data Validation Tables M2'!$E$72:$E$82,"=Eligible",'Data Validation Tables M2'!$F$72:$F$82,"=Yes")</f>
        <v>337650.01614583639</v>
      </c>
      <c r="G161" s="245"/>
      <c r="H161" s="246"/>
    </row>
    <row r="162" spans="2:8">
      <c r="B162" s="239" t="s">
        <v>73</v>
      </c>
      <c r="C162" s="239"/>
      <c r="D162" s="239"/>
      <c r="E162" s="239"/>
      <c r="F162" s="240" cm="1">
        <f t="array" ref="F162">_xlfn.IFS(F159="HDB",F22,F159&lt;&gt;"-",F33,F159="-","-")</f>
        <v>288000</v>
      </c>
      <c r="G162" s="240"/>
      <c r="H162" s="240"/>
    </row>
    <row r="163" spans="2:8">
      <c r="B163" s="239" t="s">
        <v>75</v>
      </c>
      <c r="C163" s="239"/>
      <c r="D163" s="239"/>
      <c r="E163" s="239"/>
      <c r="F163" s="240">
        <f>IF(F162="-","-",F161-F162)</f>
        <v>49650.016145836387</v>
      </c>
      <c r="G163" s="240"/>
      <c r="H163" s="240"/>
    </row>
  </sheetData>
  <mergeCells count="434">
    <mergeCell ref="N20:O20"/>
    <mergeCell ref="B7:E7"/>
    <mergeCell ref="F7:H7"/>
    <mergeCell ref="B9:E9"/>
    <mergeCell ref="F9:H9"/>
    <mergeCell ref="B10:E10"/>
    <mergeCell ref="F10:H10"/>
    <mergeCell ref="B5:E5"/>
    <mergeCell ref="F5:H5"/>
    <mergeCell ref="N5:O5"/>
    <mergeCell ref="B6:E6"/>
    <mergeCell ref="F6:H6"/>
    <mergeCell ref="N6:O6"/>
    <mergeCell ref="B21:E21"/>
    <mergeCell ref="F21:H21"/>
    <mergeCell ref="B22:E22"/>
    <mergeCell ref="F22:H22"/>
    <mergeCell ref="B24:E24"/>
    <mergeCell ref="F24:H24"/>
    <mergeCell ref="B11:E11"/>
    <mergeCell ref="F11:H11"/>
    <mergeCell ref="F13:H13"/>
    <mergeCell ref="B20:E20"/>
    <mergeCell ref="F20:H20"/>
    <mergeCell ref="B12:E12"/>
    <mergeCell ref="F12:H12"/>
    <mergeCell ref="B32:E32"/>
    <mergeCell ref="F32:H32"/>
    <mergeCell ref="B33:E33"/>
    <mergeCell ref="F33:H33"/>
    <mergeCell ref="F38:H38"/>
    <mergeCell ref="I38:K38"/>
    <mergeCell ref="B25:E25"/>
    <mergeCell ref="F25:H25"/>
    <mergeCell ref="B26:E26"/>
    <mergeCell ref="F26:H26"/>
    <mergeCell ref="B31:E31"/>
    <mergeCell ref="F31:H31"/>
    <mergeCell ref="L38:N38"/>
    <mergeCell ref="O38:Q38"/>
    <mergeCell ref="R38:T38"/>
    <mergeCell ref="B39:E39"/>
    <mergeCell ref="F39:H39"/>
    <mergeCell ref="I39:K39"/>
    <mergeCell ref="L39:N39"/>
    <mergeCell ref="O39:Q39"/>
    <mergeCell ref="R39:T39"/>
    <mergeCell ref="B41:E41"/>
    <mergeCell ref="F41:H41"/>
    <mergeCell ref="I41:K41"/>
    <mergeCell ref="L41:N41"/>
    <mergeCell ref="O41:Q41"/>
    <mergeCell ref="R41:T41"/>
    <mergeCell ref="B40:E40"/>
    <mergeCell ref="F40:H40"/>
    <mergeCell ref="I40:K40"/>
    <mergeCell ref="L40:N40"/>
    <mergeCell ref="O40:Q40"/>
    <mergeCell ref="R40:T40"/>
    <mergeCell ref="F44:H44"/>
    <mergeCell ref="I44:K44"/>
    <mergeCell ref="L44:N44"/>
    <mergeCell ref="O44:Q44"/>
    <mergeCell ref="R44:T44"/>
    <mergeCell ref="B45:E45"/>
    <mergeCell ref="F45:H45"/>
    <mergeCell ref="I45:K45"/>
    <mergeCell ref="L45:N45"/>
    <mergeCell ref="O45:Q45"/>
    <mergeCell ref="B47:E47"/>
    <mergeCell ref="F47:H47"/>
    <mergeCell ref="I47:K47"/>
    <mergeCell ref="L47:N47"/>
    <mergeCell ref="O47:Q47"/>
    <mergeCell ref="R47:T47"/>
    <mergeCell ref="B46:E46"/>
    <mergeCell ref="F46:H46"/>
    <mergeCell ref="I46:K46"/>
    <mergeCell ref="L46:N46"/>
    <mergeCell ref="O46:Q46"/>
    <mergeCell ref="R46:T46"/>
    <mergeCell ref="R54:T54"/>
    <mergeCell ref="B55:E55"/>
    <mergeCell ref="F55:H55"/>
    <mergeCell ref="I55:K55"/>
    <mergeCell ref="L55:N55"/>
    <mergeCell ref="O55:Q55"/>
    <mergeCell ref="R55:T55"/>
    <mergeCell ref="F53:H53"/>
    <mergeCell ref="I53:K53"/>
    <mergeCell ref="L53:N53"/>
    <mergeCell ref="O53:Q53"/>
    <mergeCell ref="R53:T53"/>
    <mergeCell ref="B54:E54"/>
    <mergeCell ref="F54:H54"/>
    <mergeCell ref="I54:K54"/>
    <mergeCell ref="L54:N54"/>
    <mergeCell ref="O54:Q54"/>
    <mergeCell ref="B59:C59"/>
    <mergeCell ref="F59:H59"/>
    <mergeCell ref="I59:K59"/>
    <mergeCell ref="L59:N59"/>
    <mergeCell ref="O59:Q59"/>
    <mergeCell ref="R59:T59"/>
    <mergeCell ref="B56:E56"/>
    <mergeCell ref="F56:H56"/>
    <mergeCell ref="I56:K56"/>
    <mergeCell ref="L56:N56"/>
    <mergeCell ref="O56:Q56"/>
    <mergeCell ref="R56:T56"/>
    <mergeCell ref="B60:E60"/>
    <mergeCell ref="F60:H60"/>
    <mergeCell ref="I60:K60"/>
    <mergeCell ref="L60:N60"/>
    <mergeCell ref="O60:Q60"/>
    <mergeCell ref="B61:E61"/>
    <mergeCell ref="F61:H61"/>
    <mergeCell ref="I61:K61"/>
    <mergeCell ref="L61:N61"/>
    <mergeCell ref="O61:Q61"/>
    <mergeCell ref="B65:C65"/>
    <mergeCell ref="F65:H65"/>
    <mergeCell ref="I65:K65"/>
    <mergeCell ref="L65:N65"/>
    <mergeCell ref="O65:Q65"/>
    <mergeCell ref="R65:T65"/>
    <mergeCell ref="R61:T61"/>
    <mergeCell ref="B62:E62"/>
    <mergeCell ref="F62:H62"/>
    <mergeCell ref="I62:K62"/>
    <mergeCell ref="L62:N62"/>
    <mergeCell ref="O62:Q62"/>
    <mergeCell ref="R62:T62"/>
    <mergeCell ref="B66:E66"/>
    <mergeCell ref="F66:H66"/>
    <mergeCell ref="I66:K66"/>
    <mergeCell ref="L66:N66"/>
    <mergeCell ref="O66:Q66"/>
    <mergeCell ref="B67:E67"/>
    <mergeCell ref="F67:H67"/>
    <mergeCell ref="I67:K67"/>
    <mergeCell ref="L67:N67"/>
    <mergeCell ref="O67:Q67"/>
    <mergeCell ref="B71:C71"/>
    <mergeCell ref="F71:H71"/>
    <mergeCell ref="I71:K71"/>
    <mergeCell ref="L71:N71"/>
    <mergeCell ref="O71:Q71"/>
    <mergeCell ref="R71:T71"/>
    <mergeCell ref="R67:T67"/>
    <mergeCell ref="B68:E68"/>
    <mergeCell ref="F68:H68"/>
    <mergeCell ref="I68:K68"/>
    <mergeCell ref="L68:N68"/>
    <mergeCell ref="O68:Q68"/>
    <mergeCell ref="R68:T68"/>
    <mergeCell ref="B72:E72"/>
    <mergeCell ref="F72:H72"/>
    <mergeCell ref="I72:K72"/>
    <mergeCell ref="L72:N72"/>
    <mergeCell ref="O72:Q72"/>
    <mergeCell ref="B73:E73"/>
    <mergeCell ref="F73:H73"/>
    <mergeCell ref="I73:K73"/>
    <mergeCell ref="L73:N73"/>
    <mergeCell ref="O73:Q73"/>
    <mergeCell ref="B79:E79"/>
    <mergeCell ref="F79:G79"/>
    <mergeCell ref="B80:E80"/>
    <mergeCell ref="F80:G80"/>
    <mergeCell ref="B82:E82"/>
    <mergeCell ref="F82:G82"/>
    <mergeCell ref="R73:T73"/>
    <mergeCell ref="B74:E74"/>
    <mergeCell ref="F74:H74"/>
    <mergeCell ref="I74:K74"/>
    <mergeCell ref="L74:N74"/>
    <mergeCell ref="O74:Q74"/>
    <mergeCell ref="R74:T74"/>
    <mergeCell ref="R85:T85"/>
    <mergeCell ref="B86:E86"/>
    <mergeCell ref="F86:H86"/>
    <mergeCell ref="I86:K86"/>
    <mergeCell ref="L86:N86"/>
    <mergeCell ref="O86:Q86"/>
    <mergeCell ref="R86:T86"/>
    <mergeCell ref="B83:E83"/>
    <mergeCell ref="F83:G83"/>
    <mergeCell ref="F85:H85"/>
    <mergeCell ref="I85:K85"/>
    <mergeCell ref="L85:N85"/>
    <mergeCell ref="O85:Q85"/>
    <mergeCell ref="B88:E88"/>
    <mergeCell ref="F88:H88"/>
    <mergeCell ref="I88:K88"/>
    <mergeCell ref="L88:N88"/>
    <mergeCell ref="O88:Q88"/>
    <mergeCell ref="R88:T88"/>
    <mergeCell ref="B87:E87"/>
    <mergeCell ref="F87:H87"/>
    <mergeCell ref="I87:K87"/>
    <mergeCell ref="L87:N87"/>
    <mergeCell ref="O87:Q87"/>
    <mergeCell ref="R87:T87"/>
    <mergeCell ref="F90:H90"/>
    <mergeCell ref="I90:K90"/>
    <mergeCell ref="L90:N90"/>
    <mergeCell ref="O90:Q90"/>
    <mergeCell ref="R90:T90"/>
    <mergeCell ref="B91:E91"/>
    <mergeCell ref="F91:H91"/>
    <mergeCell ref="I91:K91"/>
    <mergeCell ref="L91:N91"/>
    <mergeCell ref="O91:Q91"/>
    <mergeCell ref="B93:E93"/>
    <mergeCell ref="F93:H93"/>
    <mergeCell ref="I93:K93"/>
    <mergeCell ref="L93:N93"/>
    <mergeCell ref="O93:Q93"/>
    <mergeCell ref="R93:T93"/>
    <mergeCell ref="R91:T91"/>
    <mergeCell ref="B92:E92"/>
    <mergeCell ref="F92:H92"/>
    <mergeCell ref="I92:K92"/>
    <mergeCell ref="L92:N92"/>
    <mergeCell ref="O92:Q92"/>
    <mergeCell ref="R92:T92"/>
    <mergeCell ref="F95:H95"/>
    <mergeCell ref="I95:K95"/>
    <mergeCell ref="L95:N95"/>
    <mergeCell ref="O95:Q95"/>
    <mergeCell ref="R95:T95"/>
    <mergeCell ref="B96:E96"/>
    <mergeCell ref="F96:H96"/>
    <mergeCell ref="I96:K96"/>
    <mergeCell ref="L96:N96"/>
    <mergeCell ref="O96:Q96"/>
    <mergeCell ref="L98:N98"/>
    <mergeCell ref="O98:Q98"/>
    <mergeCell ref="R98:T98"/>
    <mergeCell ref="B97:E97"/>
    <mergeCell ref="F97:H97"/>
    <mergeCell ref="I97:K97"/>
    <mergeCell ref="L97:N97"/>
    <mergeCell ref="O97:Q97"/>
    <mergeCell ref="R97:T97"/>
    <mergeCell ref="B101:E101"/>
    <mergeCell ref="F101:G101"/>
    <mergeCell ref="B102:E102"/>
    <mergeCell ref="F102:G102"/>
    <mergeCell ref="B104:E104"/>
    <mergeCell ref="F104:G104"/>
    <mergeCell ref="B98:E98"/>
    <mergeCell ref="F98:H98"/>
    <mergeCell ref="I98:K98"/>
    <mergeCell ref="R107:T107"/>
    <mergeCell ref="B108:E108"/>
    <mergeCell ref="F108:H108"/>
    <mergeCell ref="I108:K108"/>
    <mergeCell ref="L108:N108"/>
    <mergeCell ref="O108:Q108"/>
    <mergeCell ref="R108:T108"/>
    <mergeCell ref="B105:E105"/>
    <mergeCell ref="F105:G105"/>
    <mergeCell ref="F107:H107"/>
    <mergeCell ref="I107:K107"/>
    <mergeCell ref="L107:N107"/>
    <mergeCell ref="O107:Q107"/>
    <mergeCell ref="B110:E110"/>
    <mergeCell ref="F110:H110"/>
    <mergeCell ref="I110:K110"/>
    <mergeCell ref="L110:N110"/>
    <mergeCell ref="O110:Q110"/>
    <mergeCell ref="R110:T110"/>
    <mergeCell ref="B109:E109"/>
    <mergeCell ref="F109:H109"/>
    <mergeCell ref="I109:K109"/>
    <mergeCell ref="L109:N109"/>
    <mergeCell ref="O109:Q109"/>
    <mergeCell ref="R109:T109"/>
    <mergeCell ref="F112:H112"/>
    <mergeCell ref="I112:K112"/>
    <mergeCell ref="L112:N112"/>
    <mergeCell ref="O112:Q112"/>
    <mergeCell ref="R112:T112"/>
    <mergeCell ref="B113:E113"/>
    <mergeCell ref="F113:H113"/>
    <mergeCell ref="I113:K113"/>
    <mergeCell ref="L113:N113"/>
    <mergeCell ref="O113:Q113"/>
    <mergeCell ref="B115:E115"/>
    <mergeCell ref="F115:H115"/>
    <mergeCell ref="I115:K115"/>
    <mergeCell ref="L115:N115"/>
    <mergeCell ref="O115:Q115"/>
    <mergeCell ref="R115:T115"/>
    <mergeCell ref="R113:T113"/>
    <mergeCell ref="B114:E114"/>
    <mergeCell ref="F114:H114"/>
    <mergeCell ref="I114:K114"/>
    <mergeCell ref="L114:N114"/>
    <mergeCell ref="O114:Q114"/>
    <mergeCell ref="R114:T114"/>
    <mergeCell ref="F117:H117"/>
    <mergeCell ref="I117:K117"/>
    <mergeCell ref="L117:N117"/>
    <mergeCell ref="O117:Q117"/>
    <mergeCell ref="R117:T117"/>
    <mergeCell ref="B118:E118"/>
    <mergeCell ref="F118:H118"/>
    <mergeCell ref="I118:K118"/>
    <mergeCell ref="L118:N118"/>
    <mergeCell ref="O118:Q118"/>
    <mergeCell ref="L120:N120"/>
    <mergeCell ref="O120:Q120"/>
    <mergeCell ref="R120:T120"/>
    <mergeCell ref="B119:E119"/>
    <mergeCell ref="F119:H119"/>
    <mergeCell ref="I119:K119"/>
    <mergeCell ref="L119:N119"/>
    <mergeCell ref="O119:Q119"/>
    <mergeCell ref="R119:T119"/>
    <mergeCell ref="B123:E123"/>
    <mergeCell ref="F123:G123"/>
    <mergeCell ref="B124:E124"/>
    <mergeCell ref="F124:G124"/>
    <mergeCell ref="B126:E126"/>
    <mergeCell ref="F126:G126"/>
    <mergeCell ref="B120:E120"/>
    <mergeCell ref="F120:H120"/>
    <mergeCell ref="I120:K120"/>
    <mergeCell ref="R129:T129"/>
    <mergeCell ref="B130:E130"/>
    <mergeCell ref="F130:H130"/>
    <mergeCell ref="I130:K130"/>
    <mergeCell ref="L130:N130"/>
    <mergeCell ref="O130:Q130"/>
    <mergeCell ref="R130:T130"/>
    <mergeCell ref="B127:E127"/>
    <mergeCell ref="F127:G127"/>
    <mergeCell ref="F129:H129"/>
    <mergeCell ref="I129:K129"/>
    <mergeCell ref="L129:N129"/>
    <mergeCell ref="O129:Q129"/>
    <mergeCell ref="B132:E132"/>
    <mergeCell ref="F132:H132"/>
    <mergeCell ref="I132:K132"/>
    <mergeCell ref="L132:N132"/>
    <mergeCell ref="O132:Q132"/>
    <mergeCell ref="R132:T132"/>
    <mergeCell ref="B131:E131"/>
    <mergeCell ref="F131:H131"/>
    <mergeCell ref="I131:K131"/>
    <mergeCell ref="L131:N131"/>
    <mergeCell ref="O131:Q131"/>
    <mergeCell ref="R131:T131"/>
    <mergeCell ref="F134:H134"/>
    <mergeCell ref="I134:K134"/>
    <mergeCell ref="L134:N134"/>
    <mergeCell ref="O134:Q134"/>
    <mergeCell ref="R134:T134"/>
    <mergeCell ref="B135:E135"/>
    <mergeCell ref="F135:H135"/>
    <mergeCell ref="I135:K135"/>
    <mergeCell ref="L135:N135"/>
    <mergeCell ref="O135:Q135"/>
    <mergeCell ref="B137:E137"/>
    <mergeCell ref="F137:H137"/>
    <mergeCell ref="I137:K137"/>
    <mergeCell ref="L137:N137"/>
    <mergeCell ref="O137:Q137"/>
    <mergeCell ref="R137:T137"/>
    <mergeCell ref="R135:T135"/>
    <mergeCell ref="B136:E136"/>
    <mergeCell ref="F136:H136"/>
    <mergeCell ref="I136:K136"/>
    <mergeCell ref="L136:N136"/>
    <mergeCell ref="O136:Q136"/>
    <mergeCell ref="R136:T136"/>
    <mergeCell ref="F139:H139"/>
    <mergeCell ref="I139:K139"/>
    <mergeCell ref="L139:N139"/>
    <mergeCell ref="O139:Q139"/>
    <mergeCell ref="R139:T139"/>
    <mergeCell ref="B140:E140"/>
    <mergeCell ref="F140:H140"/>
    <mergeCell ref="I140:K140"/>
    <mergeCell ref="L140:N140"/>
    <mergeCell ref="O140:Q140"/>
    <mergeCell ref="B142:E142"/>
    <mergeCell ref="F142:H142"/>
    <mergeCell ref="I142:K142"/>
    <mergeCell ref="L142:N142"/>
    <mergeCell ref="O142:Q142"/>
    <mergeCell ref="R142:T142"/>
    <mergeCell ref="B141:E141"/>
    <mergeCell ref="F141:H141"/>
    <mergeCell ref="I141:K141"/>
    <mergeCell ref="L141:N141"/>
    <mergeCell ref="O141:Q141"/>
    <mergeCell ref="R141:T141"/>
    <mergeCell ref="F149:H149"/>
    <mergeCell ref="I149:K149"/>
    <mergeCell ref="L149:N149"/>
    <mergeCell ref="O149:Q149"/>
    <mergeCell ref="R149:T149"/>
    <mergeCell ref="B150:E150"/>
    <mergeCell ref="F150:H150"/>
    <mergeCell ref="I150:K150"/>
    <mergeCell ref="L150:N150"/>
    <mergeCell ref="O150:Q150"/>
    <mergeCell ref="B152:E152"/>
    <mergeCell ref="F152:H152"/>
    <mergeCell ref="I152:K152"/>
    <mergeCell ref="L152:N152"/>
    <mergeCell ref="O152:Q152"/>
    <mergeCell ref="R152:T152"/>
    <mergeCell ref="R150:T150"/>
    <mergeCell ref="B151:E151"/>
    <mergeCell ref="F151:H151"/>
    <mergeCell ref="I151:K151"/>
    <mergeCell ref="L151:N151"/>
    <mergeCell ref="O151:Q151"/>
    <mergeCell ref="R151:T151"/>
    <mergeCell ref="B162:E162"/>
    <mergeCell ref="F162:H162"/>
    <mergeCell ref="B163:E163"/>
    <mergeCell ref="F163:H163"/>
    <mergeCell ref="B159:E159"/>
    <mergeCell ref="F159:H159"/>
    <mergeCell ref="B160:E160"/>
    <mergeCell ref="F160:H160"/>
    <mergeCell ref="B161:E161"/>
    <mergeCell ref="F161:H161"/>
  </mergeCells>
  <conditionalFormatting sqref="C38">
    <cfRule type="expression" dxfId="25" priority="29">
      <formula>$C$38="Not Eligible"</formula>
    </cfRule>
    <cfRule type="expression" dxfId="24" priority="30">
      <formula>$C$38 ="Eligible"</formula>
    </cfRule>
  </conditionalFormatting>
  <conditionalFormatting sqref="D44">
    <cfRule type="expression" dxfId="23" priority="24">
      <formula>$D$44="Eligible"</formula>
    </cfRule>
    <cfRule type="expression" dxfId="22" priority="28">
      <formula>$D$44="Not Eligible"</formula>
    </cfRule>
  </conditionalFormatting>
  <conditionalFormatting sqref="C53">
    <cfRule type="expression" dxfId="21" priority="23">
      <formula>$C$53="Eligible"</formula>
    </cfRule>
    <cfRule type="expression" dxfId="20" priority="27">
      <formula>$C$53="Not Eligible"</formula>
    </cfRule>
  </conditionalFormatting>
  <conditionalFormatting sqref="D59">
    <cfRule type="expression" dxfId="19" priority="22">
      <formula>$D$59="Eligible"</formula>
    </cfRule>
    <cfRule type="expression" dxfId="18" priority="26">
      <formula>$D$59="Not Eligible"</formula>
    </cfRule>
  </conditionalFormatting>
  <conditionalFormatting sqref="C77">
    <cfRule type="expression" dxfId="17" priority="21">
      <formula>$C$77="Eligible"</formula>
    </cfRule>
    <cfRule type="expression" dxfId="16" priority="25">
      <formula>$C$77="Not Eligible"</formula>
    </cfRule>
  </conditionalFormatting>
  <conditionalFormatting sqref="C149">
    <cfRule type="expression" dxfId="15" priority="19">
      <formula>$C$149="Not Eligible"</formula>
    </cfRule>
    <cfRule type="expression" dxfId="14" priority="20">
      <formula>$C$149="Eligible"</formula>
    </cfRule>
  </conditionalFormatting>
  <conditionalFormatting sqref="C100">
    <cfRule type="expression" dxfId="13" priority="13">
      <formula>$C$77="Eligible"</formula>
    </cfRule>
    <cfRule type="expression" dxfId="12" priority="14">
      <formula>$C$77="Not Eligible"</formula>
    </cfRule>
  </conditionalFormatting>
  <conditionalFormatting sqref="C122">
    <cfRule type="expression" dxfId="11" priority="11">
      <formula>$C$77="Eligible"</formula>
    </cfRule>
    <cfRule type="expression" dxfId="10" priority="12">
      <formula>$C$77="Not Eligible"</formula>
    </cfRule>
  </conditionalFormatting>
  <conditionalFormatting sqref="B158">
    <cfRule type="expression" dxfId="9" priority="9">
      <formula>$C$77="Eligible"</formula>
    </cfRule>
    <cfRule type="expression" dxfId="8" priority="10">
      <formula>$C$77="Not Eligible"</formula>
    </cfRule>
  </conditionalFormatting>
  <conditionalFormatting sqref="B19">
    <cfRule type="expression" dxfId="7" priority="7">
      <formula>$B$19="Not Eligible"</formula>
    </cfRule>
    <cfRule type="expression" dxfId="6" priority="8">
      <formula>$B$19="Eligible"</formula>
    </cfRule>
  </conditionalFormatting>
  <conditionalFormatting sqref="D65">
    <cfRule type="expression" dxfId="5" priority="3">
      <formula>$D$65="Eligible"</formula>
    </cfRule>
    <cfRule type="expression" dxfId="4" priority="4">
      <formula>$D$65="Not Eligible"</formula>
    </cfRule>
  </conditionalFormatting>
  <conditionalFormatting sqref="D71">
    <cfRule type="expression" dxfId="3" priority="1">
      <formula>$D$71="Eligible"</formula>
    </cfRule>
    <cfRule type="expression" dxfId="2" priority="2">
      <formula>$D$71="Not Eligible"</formula>
    </cfRule>
  </conditionalFormatting>
  <dataValidations count="2">
    <dataValidation type="whole" showInputMessage="1" showErrorMessage="1" error="Please input whole number between 1 to 30_x000a_" sqref="F31:H31" xr:uid="{651D5D58-5FA6-443E-80EF-EF1F267844FA}">
      <formula1>2</formula1>
      <formula2>30</formula2>
    </dataValidation>
    <dataValidation type="whole" showInputMessage="1" showErrorMessage="1" error="Please input whole number between 1 to 25" sqref="F20:H20" xr:uid="{0D71F130-EE76-4FE0-AEEB-00EFE5FA1B53}">
      <formula1>1</formula1>
      <formula2>25</formula2>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5" id="{47AE6045-8B03-46B4-9540-B734757F4484}">
            <xm:f>$F$20&lt;=MIN(25, 65-'Data Validation Tables M2'!L34,'Data Validation Tables M2'!L33-20)</xm:f>
            <x14:dxf>
              <font>
                <color theme="1" tint="0.499984740745262"/>
              </font>
            </x14:dxf>
          </x14:cfRule>
          <x14:cfRule type="expression" priority="6" id="{34F83D3E-5BD6-49CD-8AFB-C08A0642DBA6}">
            <xm:f>$F$20&gt;MIN(25, 65-'Data Validation Tables M2'!L34,'Data Validation Tables M2'!L33-20)</xm:f>
            <x14:dxf>
              <font>
                <color rgb="FFFF0000"/>
              </font>
            </x14:dxf>
          </x14:cfRule>
          <xm:sqref>I20</xm:sqref>
        </x14:conditionalFormatting>
      </x14:conditionalFormattings>
    </ext>
    <ext xmlns:x14="http://schemas.microsoft.com/office/spreadsheetml/2009/9/main" uri="{CCE6A557-97BC-4b89-ADB6-D9C93CAAB3DF}">
      <x14:dataValidations xmlns:xm="http://schemas.microsoft.com/office/excel/2006/main" count="2">
        <x14:dataValidation type="decimal" allowBlank="1" showInputMessage="1" showErrorMessage="1" xr:uid="{FB0C6F5A-5119-4DBD-9EDC-C8E5CEDB450C}">
          <x14:formula1>
            <xm:f>'Data Validation Tables M2'!$K$38</xm:f>
          </x14:formula1>
          <x14:formula2>
            <xm:f>$F$7</xm:f>
          </x14:formula2>
          <xm:sqref>F21:H21</xm:sqref>
        </x14:dataValidation>
        <x14:dataValidation type="decimal" allowBlank="1" showInputMessage="1" showErrorMessage="1" xr:uid="{4580CAEF-88E7-46D1-BBFF-6F799E96DA0B}">
          <x14:formula1>
            <xm:f>'Data Validation Tables M2'!$K$39</xm:f>
          </x14:formula1>
          <x14:formula2>
            <xm:f>$F$7</xm:f>
          </x14:formula2>
          <xm:sqref>F32:H32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3EBB6-D706-4430-9CB5-B3A97C6E217B}">
  <sheetPr codeName="Sheet15"/>
  <dimension ref="A1:L82"/>
  <sheetViews>
    <sheetView showGridLines="0" topLeftCell="A29" workbookViewId="0">
      <selection activeCell="I86" sqref="I86"/>
    </sheetView>
  </sheetViews>
  <sheetFormatPr defaultColWidth="8.875" defaultRowHeight="15"/>
  <cols>
    <col min="1" max="1" width="40.875" style="95" customWidth="1"/>
    <col min="2" max="2" width="15" style="95" customWidth="1"/>
    <col min="3" max="3" width="13.875" style="95" customWidth="1"/>
    <col min="4" max="4" width="14.125" style="95" customWidth="1"/>
    <col min="5" max="5" width="14" style="95" customWidth="1"/>
    <col min="6" max="6" width="16.875" style="95" customWidth="1"/>
    <col min="7" max="7" width="14.625" style="95" customWidth="1"/>
    <col min="8" max="8" width="10.625" style="95" customWidth="1"/>
    <col min="9" max="9" width="12" style="95" customWidth="1"/>
    <col min="10" max="10" width="26.625" style="95" customWidth="1"/>
    <col min="11" max="11" width="16.375" style="95" customWidth="1"/>
    <col min="12" max="12" width="12.5" style="95" customWidth="1"/>
    <col min="13" max="16384" width="8.875" style="95"/>
  </cols>
  <sheetData>
    <row r="1" spans="1:10" ht="18.75">
      <c r="A1" s="229" t="s">
        <v>247</v>
      </c>
    </row>
    <row r="2" spans="1:10">
      <c r="A2" s="111">
        <v>0</v>
      </c>
    </row>
    <row r="3" spans="1:10">
      <c r="A3" s="111">
        <v>1</v>
      </c>
    </row>
    <row r="4" spans="1:10">
      <c r="A4" s="111" t="s">
        <v>150</v>
      </c>
    </row>
    <row r="5" spans="1:10">
      <c r="A5" s="97"/>
    </row>
    <row r="7" spans="1:10" ht="18.75">
      <c r="A7" s="98" t="s">
        <v>248</v>
      </c>
    </row>
    <row r="8" spans="1:10" ht="45">
      <c r="A8" s="99" t="s">
        <v>249</v>
      </c>
      <c r="B8" s="99" t="s">
        <v>250</v>
      </c>
      <c r="C8" s="99" t="s">
        <v>251</v>
      </c>
      <c r="D8" s="99" t="s">
        <v>252</v>
      </c>
      <c r="F8" s="99" t="s">
        <v>249</v>
      </c>
      <c r="G8" s="99" t="s">
        <v>250</v>
      </c>
      <c r="H8" s="99" t="s">
        <v>251</v>
      </c>
      <c r="I8" s="99" t="s">
        <v>252</v>
      </c>
    </row>
    <row r="9" spans="1:10">
      <c r="A9" s="100">
        <v>0</v>
      </c>
      <c r="B9" s="100" t="s">
        <v>253</v>
      </c>
      <c r="C9" s="101">
        <v>0.75</v>
      </c>
      <c r="D9" s="101">
        <f>1-C9</f>
        <v>0.25</v>
      </c>
      <c r="F9" s="100">
        <v>0</v>
      </c>
      <c r="G9" s="100" t="s">
        <v>254</v>
      </c>
      <c r="H9" s="101">
        <v>0.55000000000000004</v>
      </c>
      <c r="I9" s="101">
        <f>1-H9</f>
        <v>0.44999999999999996</v>
      </c>
    </row>
    <row r="10" spans="1:10">
      <c r="A10" s="100">
        <v>1</v>
      </c>
      <c r="B10" s="100" t="s">
        <v>253</v>
      </c>
      <c r="C10" s="101">
        <v>0.45</v>
      </c>
      <c r="D10" s="101">
        <f>1-C10</f>
        <v>0.55000000000000004</v>
      </c>
      <c r="F10" s="100">
        <v>1</v>
      </c>
      <c r="G10" s="100" t="s">
        <v>254</v>
      </c>
      <c r="H10" s="101">
        <v>0.25</v>
      </c>
      <c r="I10" s="101">
        <f>1-H10</f>
        <v>0.75</v>
      </c>
    </row>
    <row r="11" spans="1:10">
      <c r="A11" s="100">
        <v>2</v>
      </c>
      <c r="B11" s="100" t="s">
        <v>253</v>
      </c>
      <c r="C11" s="101">
        <v>0.35</v>
      </c>
      <c r="D11" s="101">
        <f>1-C11</f>
        <v>0.65</v>
      </c>
      <c r="F11" s="100">
        <v>2</v>
      </c>
      <c r="G11" s="100" t="s">
        <v>254</v>
      </c>
      <c r="H11" s="101">
        <v>0.15</v>
      </c>
      <c r="I11" s="101">
        <f>1-H11</f>
        <v>0.85</v>
      </c>
    </row>
    <row r="12" spans="1:10">
      <c r="A12" s="102"/>
      <c r="B12" s="102"/>
      <c r="C12" s="103"/>
      <c r="D12" s="103"/>
      <c r="F12" s="104"/>
    </row>
    <row r="13" spans="1:10">
      <c r="A13" s="102"/>
      <c r="F13" s="104"/>
      <c r="G13" s="102"/>
      <c r="H13" s="103"/>
      <c r="I13" s="103"/>
    </row>
    <row r="14" spans="1:10" ht="18.75" customHeight="1">
      <c r="A14" s="291" t="s">
        <v>255</v>
      </c>
      <c r="B14" s="291"/>
      <c r="C14" s="291"/>
      <c r="D14" s="291"/>
      <c r="E14" s="291"/>
      <c r="F14" s="105">
        <v>3.6999999999999998E-2</v>
      </c>
    </row>
    <row r="16" spans="1:10" ht="15.75">
      <c r="A16" s="95" t="s">
        <v>256</v>
      </c>
      <c r="J16" s="95" t="s">
        <v>127</v>
      </c>
    </row>
    <row r="17" spans="1:12">
      <c r="A17" s="289" t="s">
        <v>257</v>
      </c>
      <c r="B17" s="106">
        <v>1</v>
      </c>
      <c r="C17" s="107">
        <v>4.3499999999999997E-2</v>
      </c>
      <c r="J17" s="108" t="s">
        <v>258</v>
      </c>
      <c r="K17" s="108" t="s">
        <v>259</v>
      </c>
    </row>
    <row r="18" spans="1:12">
      <c r="A18" s="289"/>
      <c r="B18" s="106">
        <v>2</v>
      </c>
      <c r="C18" s="107">
        <v>4.3499999999999997E-2</v>
      </c>
      <c r="J18" s="109" t="s">
        <v>260</v>
      </c>
      <c r="K18" s="110">
        <v>200000</v>
      </c>
    </row>
    <row r="19" spans="1:12">
      <c r="A19" s="289"/>
      <c r="B19" s="106">
        <v>3</v>
      </c>
      <c r="C19" s="107">
        <v>4.4999999999999998E-2</v>
      </c>
      <c r="J19" s="109" t="s">
        <v>261</v>
      </c>
      <c r="K19" s="110">
        <v>200000</v>
      </c>
    </row>
    <row r="20" spans="1:12">
      <c r="A20" s="289"/>
      <c r="B20" s="106">
        <v>4</v>
      </c>
      <c r="C20" s="107">
        <v>4.7E-2</v>
      </c>
      <c r="J20" s="109" t="s">
        <v>262</v>
      </c>
      <c r="K20" s="110">
        <v>100000</v>
      </c>
    </row>
    <row r="21" spans="1:12">
      <c r="J21" s="109" t="s">
        <v>263</v>
      </c>
      <c r="K21" s="110">
        <v>100000</v>
      </c>
    </row>
    <row r="22" spans="1:12" ht="15.75">
      <c r="A22" s="95" t="s">
        <v>264</v>
      </c>
      <c r="J22" s="109" t="s">
        <v>265</v>
      </c>
      <c r="K22" s="110">
        <v>300000</v>
      </c>
    </row>
    <row r="23" spans="1:12">
      <c r="A23" s="289" t="s">
        <v>257</v>
      </c>
      <c r="B23" s="106">
        <v>1</v>
      </c>
      <c r="C23" s="107">
        <v>3.7499999999999999E-2</v>
      </c>
      <c r="J23" s="109" t="s">
        <v>266</v>
      </c>
      <c r="K23" s="110">
        <v>250000</v>
      </c>
    </row>
    <row r="24" spans="1:12">
      <c r="A24" s="289"/>
      <c r="B24" s="106">
        <v>2</v>
      </c>
      <c r="C24" s="107">
        <v>3.7499999999999999E-2</v>
      </c>
    </row>
    <row r="25" spans="1:12">
      <c r="A25" s="289"/>
      <c r="B25" s="106">
        <v>3</v>
      </c>
      <c r="C25" s="107">
        <v>4.7E-2</v>
      </c>
    </row>
    <row r="26" spans="1:12">
      <c r="A26" s="289"/>
      <c r="B26" s="106">
        <v>4</v>
      </c>
      <c r="C26" s="107">
        <v>4.7E-2</v>
      </c>
      <c r="J26" s="95" t="s">
        <v>267</v>
      </c>
    </row>
    <row r="27" spans="1:12" ht="15" customHeight="1">
      <c r="J27" s="287" t="s">
        <v>268</v>
      </c>
      <c r="K27" s="288"/>
      <c r="L27" s="129">
        <v>14000</v>
      </c>
    </row>
    <row r="28" spans="1:12" ht="15.75" customHeight="1">
      <c r="A28" s="95" t="s">
        <v>269</v>
      </c>
      <c r="J28" s="287" t="s">
        <v>270</v>
      </c>
      <c r="K28" s="288"/>
      <c r="L28" s="129">
        <v>7000</v>
      </c>
    </row>
    <row r="29" spans="1:12" ht="15" customHeight="1">
      <c r="A29" s="289" t="s">
        <v>257</v>
      </c>
      <c r="B29" s="106">
        <v>1</v>
      </c>
      <c r="C29" s="107">
        <f>$F$14+0.01</f>
        <v>4.7E-2</v>
      </c>
      <c r="J29" s="287" t="s">
        <v>10</v>
      </c>
      <c r="K29" s="288"/>
      <c r="L29" s="130" t="s">
        <v>149</v>
      </c>
    </row>
    <row r="30" spans="1:12" ht="15" customHeight="1">
      <c r="A30" s="289"/>
      <c r="B30" s="106">
        <v>2</v>
      </c>
      <c r="C30" s="107">
        <f t="shared" ref="C30:C32" si="0">$F$14+0.01</f>
        <v>4.7E-2</v>
      </c>
    </row>
    <row r="31" spans="1:12" ht="14.45" customHeight="1">
      <c r="A31" s="289"/>
      <c r="B31" s="106">
        <v>3</v>
      </c>
      <c r="C31" s="107">
        <f t="shared" si="0"/>
        <v>4.7E-2</v>
      </c>
    </row>
    <row r="32" spans="1:12">
      <c r="A32" s="289"/>
      <c r="B32" s="106">
        <v>4</v>
      </c>
      <c r="C32" s="107">
        <f t="shared" si="0"/>
        <v>4.7E-2</v>
      </c>
      <c r="J32" s="134" t="s">
        <v>271</v>
      </c>
    </row>
    <row r="33" spans="1:12">
      <c r="J33" s="132" t="s">
        <v>272</v>
      </c>
      <c r="K33" s="132"/>
      <c r="L33" s="133">
        <f>_xlfn.XLOOKUP('User Interface'!$E$72,'User Interface'!$B$64:$B$68,'User Interface'!$G$64:$G$68,,0)</f>
        <v>55.9166666666666</v>
      </c>
    </row>
    <row r="34" spans="1:12" ht="15.75">
      <c r="A34" s="95" t="s">
        <v>273</v>
      </c>
      <c r="E34" s="292" t="s">
        <v>274</v>
      </c>
      <c r="F34" s="292"/>
      <c r="J34" s="290" t="s">
        <v>275</v>
      </c>
      <c r="K34" s="290"/>
      <c r="L34" s="131">
        <f>AVERAGE('User Interface'!C6:C7)</f>
        <v>36</v>
      </c>
    </row>
    <row r="35" spans="1:12">
      <c r="A35" s="289" t="s">
        <v>257</v>
      </c>
      <c r="B35" s="106">
        <v>1</v>
      </c>
      <c r="C35" s="107">
        <v>3.7499999999999999E-2</v>
      </c>
      <c r="E35" s="265" t="s">
        <v>226</v>
      </c>
      <c r="F35" s="265"/>
    </row>
    <row r="36" spans="1:12">
      <c r="A36" s="289"/>
      <c r="B36" s="106">
        <v>2</v>
      </c>
      <c r="C36" s="107">
        <v>3.7499999999999999E-2</v>
      </c>
      <c r="E36" s="265" t="s">
        <v>228</v>
      </c>
      <c r="F36" s="265"/>
    </row>
    <row r="37" spans="1:12">
      <c r="A37" s="289"/>
      <c r="B37" s="106">
        <v>3</v>
      </c>
      <c r="C37" s="107">
        <v>4.7E-2</v>
      </c>
      <c r="E37" s="265" t="s">
        <v>229</v>
      </c>
      <c r="F37" s="265"/>
    </row>
    <row r="38" spans="1:12">
      <c r="A38" s="289"/>
      <c r="B38" s="106">
        <v>4</v>
      </c>
      <c r="C38" s="107">
        <v>4.7E-2</v>
      </c>
      <c r="J38" s="162" t="s">
        <v>276</v>
      </c>
      <c r="K38" s="155">
        <f>'HDB Lease Calculator'!F7*0.2</f>
        <v>97600</v>
      </c>
    </row>
    <row r="39" spans="1:12">
      <c r="J39" s="162" t="s">
        <v>277</v>
      </c>
      <c r="K39" s="155">
        <f>IF('HDB Lease Calculator'!F31&gt;25,'HDB Lease Calculator'!F7*INDEX('Data Validation Tables M2'!I9:I11,MATCH('HDB Lease Calculator'!F11,'Data Validation Tables M2'!F9:F11,1)),'HDB Lease Calculator'!F7*INDEX('Data Validation Tables M2'!D9:D11,MATCH('HDB Lease Calculator'!F11,'Data Validation Tables M2'!A9:A11,1)))</f>
        <v>122000</v>
      </c>
    </row>
    <row r="40" spans="1:12" ht="15.75">
      <c r="A40" s="95" t="s">
        <v>278</v>
      </c>
    </row>
    <row r="41" spans="1:12">
      <c r="A41" s="289" t="s">
        <v>257</v>
      </c>
      <c r="B41" s="106">
        <v>1</v>
      </c>
      <c r="C41" s="107">
        <v>3.7499999999999999E-2</v>
      </c>
    </row>
    <row r="42" spans="1:12">
      <c r="A42" s="289"/>
      <c r="B42" s="106">
        <v>2</v>
      </c>
      <c r="C42" s="107">
        <v>3.7499999999999999E-2</v>
      </c>
    </row>
    <row r="43" spans="1:12">
      <c r="A43" s="289"/>
      <c r="B43" s="106">
        <v>3</v>
      </c>
      <c r="C43" s="107">
        <v>3.7499999999999999E-2</v>
      </c>
    </row>
    <row r="44" spans="1:12">
      <c r="A44" s="289"/>
      <c r="B44" s="106">
        <v>4</v>
      </c>
      <c r="C44" s="107">
        <v>4.7E-2</v>
      </c>
    </row>
    <row r="46" spans="1:12" ht="15.75">
      <c r="A46" s="95" t="s">
        <v>279</v>
      </c>
    </row>
    <row r="47" spans="1:12">
      <c r="A47" s="289" t="s">
        <v>257</v>
      </c>
      <c r="B47" s="106">
        <v>1</v>
      </c>
      <c r="C47" s="107">
        <v>3.7499999999999999E-2</v>
      </c>
    </row>
    <row r="48" spans="1:12">
      <c r="A48" s="289"/>
      <c r="B48" s="106">
        <v>2</v>
      </c>
      <c r="C48" s="107">
        <v>3.7499999999999999E-2</v>
      </c>
    </row>
    <row r="49" spans="1:6">
      <c r="A49" s="289"/>
      <c r="B49" s="106">
        <v>3</v>
      </c>
      <c r="C49" s="107">
        <v>3.7499999999999999E-2</v>
      </c>
    </row>
    <row r="50" spans="1:6">
      <c r="A50" s="289"/>
      <c r="B50" s="106">
        <v>4</v>
      </c>
      <c r="C50" s="107">
        <v>3.7499999999999999E-2</v>
      </c>
    </row>
    <row r="52" spans="1:6" ht="15.75">
      <c r="A52" s="95" t="s">
        <v>280</v>
      </c>
      <c r="E52" s="95" t="s">
        <v>281</v>
      </c>
    </row>
    <row r="53" spans="1:6">
      <c r="A53" s="289" t="s">
        <v>257</v>
      </c>
      <c r="B53" s="106">
        <v>1</v>
      </c>
      <c r="C53" s="107">
        <v>3.7499999999999999E-2</v>
      </c>
      <c r="E53" s="111" t="s">
        <v>282</v>
      </c>
      <c r="F53" s="111" t="s">
        <v>283</v>
      </c>
    </row>
    <row r="54" spans="1:6" ht="15.75">
      <c r="A54" s="289"/>
      <c r="B54" s="106">
        <v>2</v>
      </c>
      <c r="C54" s="107">
        <v>3.7499999999999999E-2</v>
      </c>
      <c r="E54" s="112">
        <v>0.3</v>
      </c>
      <c r="F54" s="112">
        <v>0.7</v>
      </c>
    </row>
    <row r="55" spans="1:6" ht="15.75">
      <c r="A55" s="289"/>
      <c r="B55" s="106">
        <v>3</v>
      </c>
      <c r="C55" s="107">
        <v>4.7E-2</v>
      </c>
      <c r="E55" s="112">
        <v>0.4</v>
      </c>
      <c r="F55" s="112">
        <v>0.6</v>
      </c>
    </row>
    <row r="56" spans="1:6" ht="15.75">
      <c r="A56" s="289"/>
      <c r="B56" s="106">
        <v>4</v>
      </c>
      <c r="C56" s="107">
        <v>4.7E-2</v>
      </c>
      <c r="E56" s="112">
        <v>0.5</v>
      </c>
      <c r="F56" s="112">
        <v>0.5</v>
      </c>
    </row>
    <row r="58" spans="1:6" ht="15.75">
      <c r="A58" s="95" t="s">
        <v>284</v>
      </c>
    </row>
    <row r="59" spans="1:6">
      <c r="A59" s="289" t="s">
        <v>257</v>
      </c>
      <c r="B59" s="106">
        <v>1</v>
      </c>
      <c r="C59" s="107">
        <f>$F$14+0.0075</f>
        <v>4.4499999999999998E-2</v>
      </c>
    </row>
    <row r="60" spans="1:6">
      <c r="A60" s="289"/>
      <c r="B60" s="106">
        <v>2</v>
      </c>
      <c r="C60" s="107">
        <f t="shared" ref="C60:C62" si="1">$F$14+0.0075</f>
        <v>4.4499999999999998E-2</v>
      </c>
    </row>
    <row r="61" spans="1:6">
      <c r="A61" s="289"/>
      <c r="B61" s="106">
        <v>3</v>
      </c>
      <c r="C61" s="107">
        <f t="shared" si="1"/>
        <v>4.4499999999999998E-2</v>
      </c>
    </row>
    <row r="62" spans="1:6">
      <c r="A62" s="289"/>
      <c r="B62" s="106">
        <v>4</v>
      </c>
      <c r="C62" s="107">
        <f t="shared" si="1"/>
        <v>4.4499999999999998E-2</v>
      </c>
    </row>
    <row r="64" spans="1:6" ht="15.75">
      <c r="A64" s="95" t="s">
        <v>285</v>
      </c>
    </row>
    <row r="65" spans="1:11">
      <c r="A65" s="289" t="s">
        <v>257</v>
      </c>
      <c r="B65" s="106">
        <v>1</v>
      </c>
      <c r="C65" s="107">
        <f>$F$14+0.007</f>
        <v>4.3999999999999997E-2</v>
      </c>
    </row>
    <row r="66" spans="1:11">
      <c r="A66" s="289"/>
      <c r="B66" s="106">
        <v>2</v>
      </c>
      <c r="C66" s="107">
        <f>$F$14+0.007</f>
        <v>4.3999999999999997E-2</v>
      </c>
    </row>
    <row r="67" spans="1:11">
      <c r="A67" s="289"/>
      <c r="B67" s="106">
        <v>3</v>
      </c>
      <c r="C67" s="107">
        <f>$F$14+0.008</f>
        <v>4.4999999999999998E-2</v>
      </c>
    </row>
    <row r="68" spans="1:11">
      <c r="A68" s="289"/>
      <c r="B68" s="106">
        <v>4</v>
      </c>
      <c r="C68" s="107">
        <f>$F$14+0.01</f>
        <v>4.7E-2</v>
      </c>
    </row>
    <row r="70" spans="1:11">
      <c r="A70" s="95" t="s">
        <v>286</v>
      </c>
    </row>
    <row r="71" spans="1:11" ht="45">
      <c r="A71" s="195" t="s">
        <v>287</v>
      </c>
      <c r="B71" s="195" t="s">
        <v>288</v>
      </c>
      <c r="C71" s="195" t="s">
        <v>289</v>
      </c>
      <c r="D71" s="195" t="s">
        <v>290</v>
      </c>
      <c r="E71" s="196" t="s">
        <v>291</v>
      </c>
      <c r="F71" s="197" t="s">
        <v>292</v>
      </c>
      <c r="G71" s="198" t="s">
        <v>293</v>
      </c>
      <c r="H71" s="199" t="s">
        <v>294</v>
      </c>
      <c r="I71" s="200" t="s">
        <v>295</v>
      </c>
      <c r="J71" s="200" t="s">
        <v>296</v>
      </c>
      <c r="K71" s="200" t="s">
        <v>297</v>
      </c>
    </row>
    <row r="72" spans="1:11" ht="15.75">
      <c r="A72" s="35" t="s">
        <v>298</v>
      </c>
      <c r="B72" s="35" t="s">
        <v>299</v>
      </c>
      <c r="C72" s="11">
        <f>'HDB Lease Calculator'!F25</f>
        <v>311359.08363974496</v>
      </c>
      <c r="D72" s="35">
        <v>0</v>
      </c>
      <c r="E72" s="174" t="str">
        <f>'HDB Lease Calculator'!B19</f>
        <v>Not Eligible</v>
      </c>
      <c r="F72" s="193" t="str">
        <f>IF('HDB Lease Calculator'!F24&lt;='HDB Lease Calculator'!F13, "Yes", "No")</f>
        <v>No</v>
      </c>
      <c r="G72" s="194"/>
      <c r="H72" s="201">
        <f>'HDB Lease Calculator'!F24</f>
        <v>4324.4317172186802</v>
      </c>
      <c r="I72" s="194"/>
      <c r="J72" s="194"/>
      <c r="K72" s="194"/>
    </row>
    <row r="73" spans="1:11" ht="15.75">
      <c r="A73" s="124" t="s">
        <v>219</v>
      </c>
      <c r="B73" s="124" t="s">
        <v>220</v>
      </c>
      <c r="C73" s="175">
        <f>'HDB Lease Calculator'!R40</f>
        <v>419746.84301594947</v>
      </c>
      <c r="D73" s="35">
        <v>2</v>
      </c>
      <c r="E73" s="174" t="str">
        <f>'HDB Lease Calculator'!C38</f>
        <v>Eligible</v>
      </c>
      <c r="F73" s="193" t="str" cm="1">
        <f t="array" ref="F73">IF(AND('HDB Lease Calculator'!$F$39:$Q$39&lt;='HDB Lease Calculator'!$F$13),"Yes","No")</f>
        <v>Yes</v>
      </c>
      <c r="G73" s="194" t="str">
        <f t="shared" ref="G73:G82" si="2">_xlfn.CONCAT(A73,B73)</f>
        <v>OCBCFloating</v>
      </c>
      <c r="H73" s="201">
        <f>'HDB Lease Calculator'!F39</f>
        <v>1798.7939083749229</v>
      </c>
      <c r="I73" s="202">
        <f>'HDB Lease Calculator'!I39</f>
        <v>1765.4992213453518</v>
      </c>
      <c r="J73" s="202">
        <f>'HDB Lease Calculator'!L39</f>
        <v>1753.0333816219372</v>
      </c>
      <c r="K73" s="202">
        <f>'HDB Lease Calculator'!O39</f>
        <v>1744.798651371779</v>
      </c>
    </row>
    <row r="74" spans="1:11" ht="30">
      <c r="A74" s="124" t="s">
        <v>219</v>
      </c>
      <c r="B74" s="124" t="s">
        <v>226</v>
      </c>
      <c r="C74" s="175">
        <f>'HDB Lease Calculator'!R46</f>
        <v>417951.34984639211</v>
      </c>
      <c r="D74" s="35">
        <v>2</v>
      </c>
      <c r="E74" s="174" t="str">
        <f>'HDB Lease Calculator'!D44</f>
        <v>Eligible</v>
      </c>
      <c r="F74" s="193" t="str" cm="1">
        <f t="array" ref="F74">IF(AND('HDB Lease Calculator'!$F$45:$Q$45&lt;='HDB Lease Calculator'!$F$13),"Yes","No")</f>
        <v>Yes</v>
      </c>
      <c r="G74" s="194" t="str">
        <f t="shared" si="2"/>
        <v>OCBC2 Years Fixed</v>
      </c>
      <c r="H74" s="201">
        <f>'HDB Lease Calculator'!F45</f>
        <v>1707.5183470854406</v>
      </c>
      <c r="I74" s="202">
        <f>'HDB Lease Calculator'!I45</f>
        <v>1679.6380618264027</v>
      </c>
      <c r="J74" s="202">
        <f>'HDB Lease Calculator'!L45</f>
        <v>1780.5456716339261</v>
      </c>
      <c r="K74" s="202">
        <f>'HDB Lease Calculator'!O45</f>
        <v>1744.798651371779</v>
      </c>
    </row>
    <row r="75" spans="1:11" ht="15.75">
      <c r="A75" s="125" t="s">
        <v>227</v>
      </c>
      <c r="B75" s="124" t="s">
        <v>220</v>
      </c>
      <c r="C75" s="175">
        <f>'HDB Lease Calculator'!R55</f>
        <v>421345.13982992922</v>
      </c>
      <c r="D75" s="35">
        <v>2</v>
      </c>
      <c r="E75" s="174" t="str">
        <f>'HDB Lease Calculator'!C53</f>
        <v>Eligible</v>
      </c>
      <c r="F75" s="193" t="str" cm="1">
        <f t="array" ref="F75">IF(AND('HDB Lease Calculator'!$F$54:$Q$54&lt;='HDB Lease Calculator'!$F$13),"Yes","No")</f>
        <v>No</v>
      </c>
      <c r="G75" s="194" t="str">
        <f t="shared" si="2"/>
        <v>DBSFloating</v>
      </c>
      <c r="H75" s="201">
        <f>'HDB Lease Calculator'!F54</f>
        <v>1853.2687688437982</v>
      </c>
      <c r="I75" s="202">
        <f>'HDB Lease Calculator'!I54</f>
        <v>1816.7034720294671</v>
      </c>
      <c r="J75" s="202">
        <f>'HDB Lease Calculator'!L54</f>
        <v>1780.5456716339261</v>
      </c>
      <c r="K75" s="202">
        <f>'HDB Lease Calculator'!O54</f>
        <v>1744.798651371779</v>
      </c>
    </row>
    <row r="76" spans="1:11" ht="15.75">
      <c r="A76" s="125" t="s">
        <v>227</v>
      </c>
      <c r="B76" s="124" t="s">
        <v>226</v>
      </c>
      <c r="C76" s="175">
        <f>'HDB Lease Calculator'!R61</f>
        <v>337650.01614583639</v>
      </c>
      <c r="D76" s="35">
        <v>2</v>
      </c>
      <c r="E76" s="174" t="str">
        <f>'HDB Lease Calculator'!D59</f>
        <v>Eligible</v>
      </c>
      <c r="F76" s="193" t="str" cm="1">
        <f t="array" ref="F76">IF(AND('HDB Lease Calculator'!F60:Q60 &lt;='HDB Lease Calculator'!F13),"Yes","No")</f>
        <v>Yes</v>
      </c>
      <c r="G76" s="194" t="str">
        <f t="shared" si="2"/>
        <v>DBS2 Years Fixed</v>
      </c>
      <c r="H76" s="201">
        <f>'HDB Lease Calculator'!F60</f>
        <v>1707.5183470854406</v>
      </c>
      <c r="I76" s="202">
        <f>'HDB Lease Calculator'!I60</f>
        <v>1679.6380618264027</v>
      </c>
      <c r="J76" s="202">
        <f>'HDB Lease Calculator'!L60</f>
        <v>1780.5456716339261</v>
      </c>
      <c r="K76" s="202">
        <f>'HDB Lease Calculator'!O60</f>
        <v>1351.1646626435645</v>
      </c>
    </row>
    <row r="77" spans="1:11" ht="15.75">
      <c r="A77" s="125" t="s">
        <v>227</v>
      </c>
      <c r="B77" s="124" t="s">
        <v>228</v>
      </c>
      <c r="C77" s="175">
        <f>'HDB Lease Calculator'!R67</f>
        <v>416409.09926222707</v>
      </c>
      <c r="D77" s="35">
        <v>3</v>
      </c>
      <c r="E77" s="174" t="str">
        <f>'HDB Lease Calculator'!D65</f>
        <v>Eligible</v>
      </c>
      <c r="F77" s="193" t="str" cm="1">
        <f t="array" ref="F77">IF(AND('HDB Lease Calculator'!F66:Q66&lt;='HDB Lease Calculator'!F13),"Yes","No")</f>
        <v>Yes</v>
      </c>
      <c r="G77" s="194" t="str">
        <f t="shared" si="2"/>
        <v>DBS3 Years Fixed</v>
      </c>
      <c r="H77" s="201">
        <f>'HDB Lease Calculator'!F66</f>
        <v>1707.5183470854406</v>
      </c>
      <c r="I77" s="202">
        <f>'HDB Lease Calculator'!I66</f>
        <v>1679.6380618264027</v>
      </c>
      <c r="J77" s="202">
        <f>'HDB Lease Calculator'!L66</f>
        <v>1652.0247896201697</v>
      </c>
      <c r="K77" s="202">
        <f>'HDB Lease Calculator'!O66</f>
        <v>1744.798651371779</v>
      </c>
    </row>
    <row r="78" spans="1:11" ht="15.75">
      <c r="A78" s="125" t="s">
        <v>227</v>
      </c>
      <c r="B78" s="124" t="s">
        <v>229</v>
      </c>
      <c r="C78" s="175">
        <f>'HDB Lease Calculator'!R73</f>
        <v>391904.8752832124</v>
      </c>
      <c r="D78" s="35">
        <v>4</v>
      </c>
      <c r="E78" s="174" t="str">
        <f>'HDB Lease Calculator'!D71</f>
        <v>Eligible</v>
      </c>
      <c r="F78" s="193" t="str" cm="1">
        <f t="array" ref="F78">IF(AND('HDB Lease Calculator'!F72:Q72&lt;='HDB Lease Calculator'!F13),"Yes","No")</f>
        <v>Yes</v>
      </c>
      <c r="G78" s="194" t="str">
        <f t="shared" si="2"/>
        <v>DBS4 Years Fixed</v>
      </c>
      <c r="H78" s="201">
        <f>'HDB Lease Calculator'!F72</f>
        <v>1707.5183470854406</v>
      </c>
      <c r="I78" s="202">
        <f>'HDB Lease Calculator'!I72</f>
        <v>1679.6380618264027</v>
      </c>
      <c r="J78" s="202">
        <f>'HDB Lease Calculator'!L72</f>
        <v>1652.0247896201697</v>
      </c>
      <c r="K78" s="202">
        <f>'HDB Lease Calculator'!O72</f>
        <v>1624.6799063766091</v>
      </c>
    </row>
    <row r="79" spans="1:11" ht="15.75">
      <c r="A79" s="125" t="s">
        <v>227</v>
      </c>
      <c r="B79" s="124" t="s">
        <v>300</v>
      </c>
      <c r="C79" s="175">
        <f>'HDB Lease Calculator'!R97</f>
        <v>414820.83773842297</v>
      </c>
      <c r="D79" s="35">
        <v>2</v>
      </c>
      <c r="E79" s="174" t="str">
        <f>'HDB Lease Calculator'!C77</f>
        <v>Not Eligible</v>
      </c>
      <c r="F79" s="193" t="str" cm="1">
        <f t="array" ref="F79">IF(AND('HDB Lease Calculator'!F96:Q96&lt;='HDB Lease Calculator'!F13),"Yes","No")</f>
        <v>Yes</v>
      </c>
      <c r="G79" s="194" t="str">
        <f t="shared" si="2"/>
        <v>DBSHybrid 30%</v>
      </c>
      <c r="H79" s="201">
        <f>'HDB Lease Calculator'!F96</f>
        <v>1782.2419633739792</v>
      </c>
      <c r="I79" s="202">
        <f>'HDB Lease Calculator'!I96</f>
        <v>1749.9232877789709</v>
      </c>
      <c r="J79" s="202">
        <f>'HDB Lease Calculator'!L96</f>
        <v>1756.4987955875533</v>
      </c>
      <c r="K79" s="202">
        <f>'HDB Lease Calculator'!O96</f>
        <v>1722.3375940075339</v>
      </c>
    </row>
    <row r="80" spans="1:11" ht="15.75">
      <c r="A80" s="125" t="s">
        <v>227</v>
      </c>
      <c r="B80" s="124" t="s">
        <v>301</v>
      </c>
      <c r="C80" s="175">
        <f>'HDB Lease Calculator'!R119</f>
        <v>415268.05375384714</v>
      </c>
      <c r="D80" s="35">
        <v>2</v>
      </c>
      <c r="E80" s="174" t="str">
        <f>'HDB Lease Calculator'!C100</f>
        <v>Not Eligible</v>
      </c>
      <c r="F80" s="193" t="str" cm="1">
        <f t="array" ref="F80">IF(AND('HDB Lease Calculator'!F118:Q118&lt;='HDB Lease Calculator'!F13),"Yes","No")</f>
        <v>Yes</v>
      </c>
      <c r="G80" s="194" t="str">
        <f t="shared" si="2"/>
        <v>DBSHybrid 40%</v>
      </c>
      <c r="H80" s="201">
        <f>'HDB Lease Calculator'!F118</f>
        <v>1771.5671610470454</v>
      </c>
      <c r="I80" s="202">
        <f>'HDB Lease Calculator'!I118</f>
        <v>1739.8825412143183</v>
      </c>
      <c r="J80" s="202">
        <f>'HDB Lease Calculator'!L118</f>
        <v>1759.934063594178</v>
      </c>
      <c r="K80" s="202">
        <f>'HDB Lease Calculator'!O118</f>
        <v>1725.5463164881403</v>
      </c>
    </row>
    <row r="81" spans="1:11" ht="15.75">
      <c r="A81" s="125" t="s">
        <v>227</v>
      </c>
      <c r="B81" s="124" t="s">
        <v>302</v>
      </c>
      <c r="C81" s="175">
        <f>'HDB Lease Calculator'!R141</f>
        <v>415715.26976927125</v>
      </c>
      <c r="D81" s="35">
        <v>2</v>
      </c>
      <c r="E81" s="174" t="str">
        <f>'HDB Lease Calculator'!C122</f>
        <v>Not Eligible</v>
      </c>
      <c r="F81" s="193" t="str" cm="1">
        <f t="array" ref="F81">IF(AND('HDB Lease Calculator'!F140:Q140&lt;='HDB Lease Calculator'!F13),"Yes","No")</f>
        <v>Yes</v>
      </c>
      <c r="G81" s="194" t="str">
        <f t="shared" si="2"/>
        <v>DBSHybrid 50%</v>
      </c>
      <c r="H81" s="201">
        <f>'HDB Lease Calculator'!F140</f>
        <v>1760.8923587201111</v>
      </c>
      <c r="I81" s="202">
        <f>'HDB Lease Calculator'!I140</f>
        <v>1729.8417946496656</v>
      </c>
      <c r="J81" s="202">
        <f>'HDB Lease Calculator'!L140</f>
        <v>1763.3693316008025</v>
      </c>
      <c r="K81" s="202">
        <f>'HDB Lease Calculator'!O140</f>
        <v>1728.7550389687467</v>
      </c>
    </row>
    <row r="82" spans="1:11" ht="15.75">
      <c r="A82" s="124" t="s">
        <v>245</v>
      </c>
      <c r="B82" s="124" t="s">
        <v>220</v>
      </c>
      <c r="C82" s="175">
        <f>'HDB Lease Calculator'!R151</f>
        <v>419926.74457762216</v>
      </c>
      <c r="D82" s="35">
        <v>2</v>
      </c>
      <c r="E82" s="174" t="str">
        <f>'HDB Lease Calculator'!C149</f>
        <v>Eligible</v>
      </c>
      <c r="F82" s="193" t="str" cm="1">
        <f t="array" ref="F82">IF(AND('HDB Lease Calculator'!F150:Q150&lt;='HDB Lease Calculator'!F13),"Yes","No")</f>
        <v>No</v>
      </c>
      <c r="G82" s="194" t="str">
        <f t="shared" si="2"/>
        <v>UOBFloating</v>
      </c>
      <c r="H82" s="201">
        <f>'HDB Lease Calculator'!F150</f>
        <v>1806.5209276171147</v>
      </c>
      <c r="I82" s="202">
        <f>'HDB Lease Calculator'!I150</f>
        <v>1772.7639989092218</v>
      </c>
      <c r="J82" s="202">
        <f>'HDB Lease Calculator'!L150</f>
        <v>1753.0333816219372</v>
      </c>
      <c r="K82" s="202">
        <f>'HDB Lease Calculator'!O150</f>
        <v>1744.798651371779</v>
      </c>
    </row>
  </sheetData>
  <sheetProtection sheet="1" objects="1" scenarios="1"/>
  <mergeCells count="18">
    <mergeCell ref="A14:E14"/>
    <mergeCell ref="A17:A20"/>
    <mergeCell ref="A23:A26"/>
    <mergeCell ref="A29:A32"/>
    <mergeCell ref="E34:F34"/>
    <mergeCell ref="A53:A56"/>
    <mergeCell ref="A59:A62"/>
    <mergeCell ref="A65:A68"/>
    <mergeCell ref="A35:A38"/>
    <mergeCell ref="E35:F35"/>
    <mergeCell ref="E36:F36"/>
    <mergeCell ref="E37:F37"/>
    <mergeCell ref="J28:K28"/>
    <mergeCell ref="J29:K29"/>
    <mergeCell ref="J27:K27"/>
    <mergeCell ref="A41:A44"/>
    <mergeCell ref="A47:A50"/>
    <mergeCell ref="J34:K3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1CDD-D1A1-DA4D-A172-10812D579D5C}">
  <sheetPr codeName="Sheet6" filterMode="1"/>
  <dimension ref="B1:AC322"/>
  <sheetViews>
    <sheetView showGridLines="0" zoomScale="93" zoomScaleNormal="100" workbookViewId="0">
      <selection activeCell="G328" sqref="G328"/>
    </sheetView>
  </sheetViews>
  <sheetFormatPr defaultColWidth="8.875" defaultRowHeight="15.75"/>
  <cols>
    <col min="1" max="1" width="2.5" customWidth="1"/>
    <col min="2" max="2" width="7.5" hidden="1" customWidth="1"/>
    <col min="3" max="3" width="19.375" customWidth="1"/>
    <col min="4" max="4" width="12.875" customWidth="1"/>
    <col min="5" max="5" width="5.375" hidden="1" customWidth="1"/>
    <col min="6" max="6" width="23.375" hidden="1" customWidth="1"/>
    <col min="7" max="7" width="16.625" customWidth="1"/>
    <col min="8" max="8" width="20.875" bestFit="1" customWidth="1"/>
    <col min="9" max="9" width="17.875" hidden="1" customWidth="1"/>
    <col min="10" max="10" width="22.5" hidden="1" customWidth="1"/>
    <col min="11" max="11" width="20.125" style="13" customWidth="1"/>
    <col min="12" max="12" width="19" customWidth="1"/>
    <col min="13" max="13" width="28" customWidth="1"/>
    <col min="14" max="14" width="15.375" style="25" hidden="1" customWidth="1"/>
    <col min="15" max="15" width="12.375" hidden="1" customWidth="1"/>
    <col min="16" max="16" width="16" hidden="1" customWidth="1"/>
    <col min="17" max="17" width="30.375" hidden="1" customWidth="1"/>
    <col min="18" max="18" width="27.5" hidden="1" customWidth="1"/>
    <col min="19" max="19" width="41.5" hidden="1" customWidth="1"/>
    <col min="20" max="21" width="17.875" hidden="1" customWidth="1"/>
    <col min="22" max="22" width="20.875" hidden="1" customWidth="1"/>
    <col min="23" max="23" width="31.125" customWidth="1"/>
    <col min="24" max="24" width="33.875" customWidth="1"/>
    <col min="25" max="25" width="33.375" customWidth="1"/>
    <col min="26" max="26" width="37.875" customWidth="1"/>
    <col min="27" max="27" width="25.5" customWidth="1"/>
  </cols>
  <sheetData>
    <row r="1" spans="2:29">
      <c r="C1" s="59">
        <v>0</v>
      </c>
      <c r="AA1" s="59">
        <v>0</v>
      </c>
    </row>
    <row r="2" spans="2:29">
      <c r="B2" s="34" t="s">
        <v>303</v>
      </c>
      <c r="C2" s="21" t="s">
        <v>46</v>
      </c>
      <c r="D2" s="21" t="s">
        <v>19</v>
      </c>
      <c r="E2" s="21" t="s">
        <v>304</v>
      </c>
      <c r="F2" s="21" t="s">
        <v>305</v>
      </c>
      <c r="G2" s="21" t="s">
        <v>47</v>
      </c>
      <c r="H2" s="21" t="s">
        <v>48</v>
      </c>
      <c r="I2" s="21" t="s">
        <v>306</v>
      </c>
      <c r="J2" s="30" t="s">
        <v>307</v>
      </c>
      <c r="K2" s="31" t="s">
        <v>49</v>
      </c>
      <c r="L2" s="32" t="s">
        <v>50</v>
      </c>
      <c r="M2" s="21" t="s">
        <v>51</v>
      </c>
      <c r="N2" s="33" t="s">
        <v>308</v>
      </c>
      <c r="O2" s="21" t="s">
        <v>309</v>
      </c>
      <c r="P2" s="21" t="s">
        <v>310</v>
      </c>
      <c r="Q2" s="21" t="s">
        <v>311</v>
      </c>
      <c r="R2" s="21" t="s">
        <v>312</v>
      </c>
      <c r="S2" s="21" t="s">
        <v>313</v>
      </c>
      <c r="T2" s="21" t="s">
        <v>314</v>
      </c>
      <c r="U2" s="21" t="s">
        <v>315</v>
      </c>
      <c r="V2" s="21" t="s">
        <v>316</v>
      </c>
      <c r="W2" s="21" t="s">
        <v>52</v>
      </c>
      <c r="X2" s="21" t="s">
        <v>53</v>
      </c>
      <c r="Y2" s="21" t="s">
        <v>54</v>
      </c>
      <c r="Z2" s="21" t="s">
        <v>55</v>
      </c>
      <c r="AA2" s="21" t="s">
        <v>56</v>
      </c>
      <c r="AC2" s="68"/>
    </row>
    <row r="3" spans="2:29" hidden="1">
      <c r="B3" s="35" t="s">
        <v>317</v>
      </c>
      <c r="C3" s="35" t="s">
        <v>18</v>
      </c>
      <c r="D3" s="35" t="s">
        <v>318</v>
      </c>
      <c r="E3" s="35">
        <v>319</v>
      </c>
      <c r="F3" s="35" t="s">
        <v>319</v>
      </c>
      <c r="G3" s="35" t="s">
        <v>189</v>
      </c>
      <c r="H3" s="35">
        <v>73</v>
      </c>
      <c r="I3" s="35" t="s">
        <v>320</v>
      </c>
      <c r="J3" s="36">
        <v>1977</v>
      </c>
      <c r="K3" s="39">
        <v>52.6666666666666</v>
      </c>
      <c r="L3" s="37">
        <v>412000</v>
      </c>
      <c r="M3" s="35" t="s">
        <v>321</v>
      </c>
      <c r="N3" s="27">
        <v>560319</v>
      </c>
      <c r="O3" s="38">
        <v>1.3650738</v>
      </c>
      <c r="P3" s="38">
        <v>103.8448202</v>
      </c>
      <c r="Q3" s="38" t="str" cm="1">
        <f t="array" ref="Q3">INDEX('MRT station dataset'!$C$3:$C$179, MATCH(MIN(SQRT(('MRT station dataset'!$E$3:$E$179-'Resale flat dataset'!O3)^2+('MRT station dataset'!$F$3:$F$179-'Resale flat dataset'!P3)^2)), SQRT(('MRT station dataset'!$E$3:$E$179-'Resale flat dataset'!O3)^2+('MRT station dataset'!$F$3:$F$179-'Resale flat dataset'!P3)^2), 0))</f>
        <v>ANG MO KIO MRT STATION</v>
      </c>
      <c r="R3" s="38" t="str" cm="1">
        <f t="array" ref="R3">INDEX('Mall Dataset'!$B$3:$B$157, MATCH(MIN(SQRT(('Mall Dataset'!$E$3:$E$157-'Resale flat dataset'!O3)^2+('Mall Dataset'!$F$3:$F$157-'Resale flat dataset'!P3)^2)), SQRT(('Mall Dataset'!$E$3:$E$157-'Resale flat dataset'!O3)^2+('Mall Dataset'!$F$3:$F$157-'Resale flat dataset'!P3)^2), 0))</f>
        <v>AMK Hub</v>
      </c>
      <c r="S3" s="38" t="str" cm="1">
        <f t="array" ref="S3">INDEX('Schools dataset'!$B$3:$B$187, MATCH(MIN(SQRT(('Schools dataset'!$J$3:$J$187-'Resale flat dataset'!O3)^2+('Schools dataset'!$K$3:$K$187-'Resale flat dataset'!P3)^2)), SQRT(('Schools dataset'!$J$3:$J$187-'Resale flat dataset'!O3)^2+('Schools dataset'!$K$3:$K$187-'Resale flat dataset'!P3)^2), 0))</f>
        <v>TECK GHEE PRIMARY SCHOOL</v>
      </c>
      <c r="T3" s="39">
        <f>ACOS(COS(RADIANS(90-O3))*COS(RADIANS(90-_xlfn.XLOOKUP(Q3,'MRT station dataset'!$C$3:$C$179,'MRT station dataset'!$E$3:$E$179)))+SIN(RADIANS(90-O3))*SIN(RADIANS(90-_xlfn.XLOOKUP(Q3,'MRT station dataset'!$C$3:$C$179,'MRT station dataset'!$E$3:$E$179)))*COS(RADIANS(P3-_xlfn.XLOOKUP('Resale flat dataset'!Q3,'MRT station dataset'!$C$3:$C$179,'MRT station dataset'!$F$3:$F$179))))*6371*1000</f>
        <v>734.64801216524586</v>
      </c>
      <c r="U3" s="39">
        <f>ACOS(COS(RADIANS(90-O3))*COS(RADIANS(90-_xlfn.XLOOKUP(R3,'Mall Dataset'!$B$3:$B$157,'Mall Dataset'!$E$3:$E$157,,0)))+SIN(RADIANS(90-O3))*SIN(RADIANS(90-_xlfn.XLOOKUP(R3,'Mall Dataset'!$B$3:$B$157,'Mall Dataset'!$E$3:$E$157,,0)))*COS(RADIANS(P3-_xlfn.XLOOKUP(R3,'Mall Dataset'!$B$3:$B$157,'Mall Dataset'!$F$3:$F$157,,0))))*6371*1000</f>
        <v>616.64069457544929</v>
      </c>
      <c r="V3" s="39">
        <f>ACOS(COS(RADIANS(90-O3))*COS(RADIANS(90-_xlfn.XLOOKUP(S3,'Schools dataset'!$B$3:$B$187,'Schools dataset'!$J$3:$J$187,,0)))+SIN(RADIANS(90-O3))*SIN(RADIANS(90-_xlfn.XLOOKUP(S3,'Schools dataset'!$B$3:$B$187,'Schools dataset'!$J$3:$J$187,,0)))*COS(RADIANS(P3-_xlfn.XLOOKUP(S3,'Schools dataset'!$B$3:$B$187,'Schools dataset'!$K$3:$K$187,,0))))*6371*1000</f>
        <v>691.03529281929491</v>
      </c>
      <c r="W3" s="20">
        <f>_xlfn.XLOOKUP(T3,'HDB Recommender'!$P$10:$P$39,'HDB Recommender'!$Q$10:$Q$39,"&gt;30mins",1)</f>
        <v>10</v>
      </c>
      <c r="X3" s="20">
        <f>_xlfn.XLOOKUP(U3,'HDB Recommender'!$P$10:$P$39,'HDB Recommender'!$Q$10:$Q$39,"&gt;30mins",1)</f>
        <v>9</v>
      </c>
      <c r="Y3" s="20">
        <f>_xlfn.XLOOKUP(V3,'HDB Recommender'!$P$10:$P$39,'HDB Recommender'!$Q$10:$Q$39,"&gt;30mins",1)</f>
        <v>10</v>
      </c>
      <c r="Z3" s="39">
        <f>AVERAGE(W3:Y3)</f>
        <v>9.6666666666666661</v>
      </c>
      <c r="AA3" s="20" t="str">
        <f>IF(V3&lt;1000, "Within 1km", IF(V3&lt;=2000, "between 1km and 2km", "more than 2km"))</f>
        <v>Within 1km</v>
      </c>
    </row>
    <row r="4" spans="2:29" hidden="1">
      <c r="B4" s="35" t="s">
        <v>317</v>
      </c>
      <c r="C4" s="35" t="s">
        <v>18</v>
      </c>
      <c r="D4" s="35" t="s">
        <v>318</v>
      </c>
      <c r="E4" s="35">
        <v>418</v>
      </c>
      <c r="F4" s="35" t="s">
        <v>322</v>
      </c>
      <c r="G4" s="35" t="s">
        <v>323</v>
      </c>
      <c r="H4" s="35">
        <v>74</v>
      </c>
      <c r="I4" s="35" t="s">
        <v>320</v>
      </c>
      <c r="J4" s="36">
        <v>1979</v>
      </c>
      <c r="K4" s="39">
        <v>54.9166666666666</v>
      </c>
      <c r="L4" s="37">
        <v>418000</v>
      </c>
      <c r="M4" s="35" t="s">
        <v>324</v>
      </c>
      <c r="N4" s="27">
        <v>560418</v>
      </c>
      <c r="O4" s="38">
        <v>1.365035</v>
      </c>
      <c r="P4" s="38">
        <v>103.851433</v>
      </c>
      <c r="Q4" s="38" t="str" cm="1">
        <f t="array" ref="Q4">INDEX('MRT station dataset'!$C$3:$C$179, MATCH(MIN(SQRT(('MRT station dataset'!$E$3:$E$179-'Resale flat dataset'!O4)^2+('MRT station dataset'!$F$3:$F$179-'Resale flat dataset'!P4)^2)), SQRT(('MRT station dataset'!$E$3:$E$179-'Resale flat dataset'!O4)^2+('MRT station dataset'!$F$3:$F$179-'Resale flat dataset'!P4)^2), 0))</f>
        <v>ANG MO KIO MRT STATION</v>
      </c>
      <c r="R4" s="38" t="str" cm="1">
        <f t="array" ref="R4">INDEX('Mall Dataset'!$B$3:$B$157, MATCH(MIN(SQRT(('Mall Dataset'!$E$3:$E$157-'Resale flat dataset'!O4)^2+('Mall Dataset'!$F$3:$F$157-'Resale flat dataset'!P4)^2)), SQRT(('Mall Dataset'!$E$3:$E$157-'Resale flat dataset'!O4)^2+('Mall Dataset'!$F$3:$F$157-'Resale flat dataset'!P4)^2), 0))</f>
        <v>AMK Hub</v>
      </c>
      <c r="S4" s="38" t="str" cm="1">
        <f t="array" ref="S4">INDEX('Schools dataset'!$B$3:$B$187, MATCH(MIN(SQRT(('Schools dataset'!$J$3:$J$187-'Resale flat dataset'!O4)^2+('Schools dataset'!$K$3:$K$187-'Resale flat dataset'!P4)^2)), SQRT(('Schools dataset'!$J$3:$J$187-'Resale flat dataset'!O4)^2+('Schools dataset'!$K$3:$K$187-'Resale flat dataset'!P4)^2), 0))</f>
        <v>TECK GHEE PRIMARY SCHOOL</v>
      </c>
      <c r="T4" s="39">
        <f>ACOS(COS(RADIANS(90-O4))*COS(RADIANS(90-_xlfn.XLOOKUP(Q4,'MRT station dataset'!$C$3:$C$179,'MRT station dataset'!$E$3:$E$179)))+SIN(RADIANS(90-O4))*SIN(RADIANS(90-_xlfn.XLOOKUP(Q4,'MRT station dataset'!$C$3:$C$179,'MRT station dataset'!$E$3:$E$179)))*COS(RADIANS(P4-_xlfn.XLOOKUP('Resale flat dataset'!Q4,'MRT station dataset'!$C$3:$C$179,'MRT station dataset'!$F$3:$F$179))))*6371*1000</f>
        <v>503.93482231900077</v>
      </c>
      <c r="U4" s="39">
        <f>ACOS(COS(RADIANS(90-O4))*COS(RADIANS(90-_xlfn.XLOOKUP(R4,'Mall Dataset'!$B$3:$B$157,'Mall Dataset'!$E$3:$E$157,,0)))+SIN(RADIANS(90-O4))*SIN(RADIANS(90-_xlfn.XLOOKUP(R4,'Mall Dataset'!$B$3:$B$157,'Mall Dataset'!$E$3:$E$157,,0)))*COS(RADIANS(P4-_xlfn.XLOOKUP(R4,'Mall Dataset'!$B$3:$B$157,'Mall Dataset'!$F$3:$F$157,,0))))*6371*1000</f>
        <v>573.69455564987095</v>
      </c>
      <c r="V4" s="39">
        <f>ACOS(COS(RADIANS(90-O4))*COS(RADIANS(90-_xlfn.XLOOKUP(S4,'Schools dataset'!$B$3:$B$187,'Schools dataset'!$J$3:$J$187,,0)))+SIN(RADIANS(90-O4))*SIN(RADIANS(90-_xlfn.XLOOKUP(S4,'Schools dataset'!$B$3:$B$187,'Schools dataset'!$J$3:$J$187,,0)))*COS(RADIANS(P4-_xlfn.XLOOKUP(S4,'Schools dataset'!$B$3:$B$187,'Schools dataset'!$K$3:$K$187,,0))))*6371*1000</f>
        <v>83.020958781957702</v>
      </c>
      <c r="W4" s="20">
        <f>_xlfn.XLOOKUP(T4,'HDB Recommender'!$P$10:$P$39,'HDB Recommender'!$Q$10:$Q$39,"&gt;30mins",1)</f>
        <v>7</v>
      </c>
      <c r="X4" s="20">
        <f>_xlfn.XLOOKUP(U4,'HDB Recommender'!$P$10:$P$39,'HDB Recommender'!$Q$10:$Q$39,"&gt;30mins",1)</f>
        <v>8</v>
      </c>
      <c r="Y4" s="20">
        <f>_xlfn.XLOOKUP(V4,'HDB Recommender'!$P$10:$P$39,'HDB Recommender'!$Q$10:$Q$39,"&gt;30mins",1)</f>
        <v>2</v>
      </c>
      <c r="Z4" s="39">
        <f t="shared" ref="Z4:Z67" si="0">AVERAGE(W4:Y4)</f>
        <v>5.666666666666667</v>
      </c>
      <c r="AA4" s="20" t="str">
        <f t="shared" ref="AA4:AA66" si="1">IF(V4&lt;1000, "Within 1km", IF(V4&lt;=2000, "between 1km and 2km", "more than 2km"))</f>
        <v>Within 1km</v>
      </c>
    </row>
    <row r="5" spans="2:29" hidden="1">
      <c r="B5" s="35" t="s">
        <v>317</v>
      </c>
      <c r="C5" s="35" t="s">
        <v>18</v>
      </c>
      <c r="D5" s="35" t="s">
        <v>318</v>
      </c>
      <c r="E5" s="35">
        <v>170</v>
      </c>
      <c r="F5" s="35" t="s">
        <v>325</v>
      </c>
      <c r="G5" s="35" t="s">
        <v>189</v>
      </c>
      <c r="H5" s="35">
        <v>60</v>
      </c>
      <c r="I5" s="35" t="s">
        <v>326</v>
      </c>
      <c r="J5" s="36">
        <v>1986</v>
      </c>
      <c r="K5" s="39">
        <v>61.3333333333333</v>
      </c>
      <c r="L5" s="37">
        <v>350000</v>
      </c>
      <c r="M5" s="35" t="s">
        <v>327</v>
      </c>
      <c r="N5" s="27">
        <v>560170</v>
      </c>
      <c r="O5" s="38">
        <v>1.3740007178129501</v>
      </c>
      <c r="P5" s="38">
        <v>103.83643153142</v>
      </c>
      <c r="Q5" s="38" t="str" cm="1">
        <f t="array" ref="Q5">INDEX('MRT station dataset'!$C$3:$C$179, MATCH(MIN(SQRT(('MRT station dataset'!$E$3:$E$179-'Resale flat dataset'!O5)^2+('MRT station dataset'!$F$3:$F$179-'Resale flat dataset'!P5)^2)), SQRT(('MRT station dataset'!$E$3:$E$179-'Resale flat dataset'!O5)^2+('MRT station dataset'!$F$3:$F$179-'Resale flat dataset'!P5)^2), 0))</f>
        <v>MAYFLOWER MRT STATION</v>
      </c>
      <c r="R5" s="38" t="str" cm="1">
        <f t="array" ref="R5">INDEX('Mall Dataset'!$B$3:$B$157, MATCH(MIN(SQRT(('Mall Dataset'!$E$3:$E$157-'Resale flat dataset'!O5)^2+('Mall Dataset'!$F$3:$F$157-'Resale flat dataset'!P5)^2)), SQRT(('Mall Dataset'!$E$3:$E$157-'Resale flat dataset'!O5)^2+('Mall Dataset'!$F$3:$F$157-'Resale flat dataset'!P5)^2), 0))</f>
        <v>Djitsun Mall AMK</v>
      </c>
      <c r="S5" s="38" t="str" cm="1">
        <f t="array" ref="S5">INDEX('Schools dataset'!$B$3:$B$187, MATCH(MIN(SQRT(('Schools dataset'!$J$3:$J$187-'Resale flat dataset'!O5)^2+('Schools dataset'!$K$3:$K$187-'Resale flat dataset'!P5)^2)), SQRT(('Schools dataset'!$J$3:$J$187-'Resale flat dataset'!O5)^2+('Schools dataset'!$K$3:$K$187-'Resale flat dataset'!P5)^2), 0))</f>
        <v>MAYFLOWER PRIMARY SCHOOL</v>
      </c>
      <c r="T5" s="39">
        <f>ACOS(COS(RADIANS(90-O5))*COS(RADIANS(90-_xlfn.XLOOKUP(Q5,'MRT station dataset'!$C$3:$C$179,'MRT station dataset'!$E$3:$E$179)))+SIN(RADIANS(90-O5))*SIN(RADIANS(90-_xlfn.XLOOKUP(Q5,'MRT station dataset'!$C$3:$C$179,'MRT station dataset'!$E$3:$E$179)))*COS(RADIANS(P5-_xlfn.XLOOKUP('Resale flat dataset'!Q5,'MRT station dataset'!$C$3:$C$179,'MRT station dataset'!$F$3:$F$179))))*6371*1000</f>
        <v>215.28265498834176</v>
      </c>
      <c r="U5" s="39">
        <f>ACOS(COS(RADIANS(90-O5))*COS(RADIANS(90-_xlfn.XLOOKUP(R5,'Mall Dataset'!$B$3:$B$157,'Mall Dataset'!$E$3:$E$157,,0)))+SIN(RADIANS(90-O5))*SIN(RADIANS(90-_xlfn.XLOOKUP(R5,'Mall Dataset'!$B$3:$B$157,'Mall Dataset'!$E$3:$E$157,,0)))*COS(RADIANS(P5-_xlfn.XLOOKUP(R5,'Mall Dataset'!$B$3:$B$157,'Mall Dataset'!$F$3:$F$157,,0))))*6371*1000</f>
        <v>976.63277219441306</v>
      </c>
      <c r="V5" s="39">
        <f>ACOS(COS(RADIANS(90-O5))*COS(RADIANS(90-_xlfn.XLOOKUP(S5,'Schools dataset'!$B$3:$B$187,'Schools dataset'!$J$3:$J$187,,0)))+SIN(RADIANS(90-O5))*SIN(RADIANS(90-_xlfn.XLOOKUP(S5,'Schools dataset'!$B$3:$B$187,'Schools dataset'!$J$3:$J$187,,0)))*COS(RADIANS(P5-_xlfn.XLOOKUP(S5,'Schools dataset'!$B$3:$B$187,'Schools dataset'!$K$3:$K$187,,0))))*6371*1000</f>
        <v>248.51935934074621</v>
      </c>
      <c r="W5" s="20">
        <f>_xlfn.XLOOKUP(T5,'HDB Recommender'!$P$10:$P$39,'HDB Recommender'!$Q$10:$Q$39,"&gt;30mins",1)</f>
        <v>3</v>
      </c>
      <c r="X5" s="20">
        <f>_xlfn.XLOOKUP(U5,'HDB Recommender'!$P$10:$P$39,'HDB Recommender'!$Q$10:$Q$39,"&gt;30mins",1)</f>
        <v>14</v>
      </c>
      <c r="Y5" s="20">
        <f>_xlfn.XLOOKUP(V5,'HDB Recommender'!$P$10:$P$39,'HDB Recommender'!$Q$10:$Q$39,"&gt;30mins",1)</f>
        <v>4</v>
      </c>
      <c r="Z5" s="39">
        <f t="shared" si="0"/>
        <v>7</v>
      </c>
      <c r="AA5" s="20" t="str">
        <f t="shared" si="1"/>
        <v>Within 1km</v>
      </c>
    </row>
    <row r="6" spans="2:29" hidden="1">
      <c r="B6" s="35" t="s">
        <v>317</v>
      </c>
      <c r="C6" s="35" t="s">
        <v>18</v>
      </c>
      <c r="D6" s="35" t="s">
        <v>318</v>
      </c>
      <c r="E6" s="35">
        <v>118</v>
      </c>
      <c r="F6" s="35" t="s">
        <v>325</v>
      </c>
      <c r="G6" s="35" t="s">
        <v>189</v>
      </c>
      <c r="H6" s="35">
        <v>74</v>
      </c>
      <c r="I6" s="35" t="s">
        <v>320</v>
      </c>
      <c r="J6" s="36">
        <v>1978</v>
      </c>
      <c r="K6" s="39">
        <v>53.6666666666666</v>
      </c>
      <c r="L6" s="37">
        <v>428888</v>
      </c>
      <c r="M6" s="35" t="s">
        <v>328</v>
      </c>
      <c r="N6" s="27">
        <v>560118</v>
      </c>
      <c r="O6" s="38">
        <v>1.37329593649654</v>
      </c>
      <c r="P6" s="38">
        <v>103.835475719134</v>
      </c>
      <c r="Q6" s="38" t="str" cm="1">
        <f t="array" ref="Q6">INDEX('MRT station dataset'!$C$3:$C$179, MATCH(MIN(SQRT(('MRT station dataset'!$E$3:$E$179-'Resale flat dataset'!O6)^2+('MRT station dataset'!$F$3:$F$179-'Resale flat dataset'!P6)^2)), SQRT(('MRT station dataset'!$E$3:$E$179-'Resale flat dataset'!O6)^2+('MRT station dataset'!$F$3:$F$179-'Resale flat dataset'!P6)^2), 0))</f>
        <v>MAYFLOWER MRT STATION</v>
      </c>
      <c r="R6" s="38" t="str" cm="1">
        <f t="array" ref="R6">INDEX('Mall Dataset'!$B$3:$B$157, MATCH(MIN(SQRT(('Mall Dataset'!$E$3:$E$157-'Resale flat dataset'!O6)^2+('Mall Dataset'!$F$3:$F$157-'Resale flat dataset'!P6)^2)), SQRT(('Mall Dataset'!$E$3:$E$157-'Resale flat dataset'!O6)^2+('Mall Dataset'!$F$3:$F$157-'Resale flat dataset'!P6)^2), 0))</f>
        <v>Djitsun Mall AMK</v>
      </c>
      <c r="S6" s="38" t="str" cm="1">
        <f t="array" ref="S6">INDEX('Schools dataset'!$B$3:$B$187, MATCH(MIN(SQRT(('Schools dataset'!$J$3:$J$187-'Resale flat dataset'!O6)^2+('Schools dataset'!$K$3:$K$187-'Resale flat dataset'!P6)^2)), SQRT(('Schools dataset'!$J$3:$J$187-'Resale flat dataset'!O6)^2+('Schools dataset'!$K$3:$K$187-'Resale flat dataset'!P6)^2), 0))</f>
        <v>CHIJ ST. NICHOLAS GIRLS' SCHOOL</v>
      </c>
      <c r="T6" s="39">
        <f>ACOS(COS(RADIANS(90-O6))*COS(RADIANS(90-_xlfn.XLOOKUP(Q6,'MRT station dataset'!$C$3:$C$179,'MRT station dataset'!$E$3:$E$179)))+SIN(RADIANS(90-O6))*SIN(RADIANS(90-_xlfn.XLOOKUP(Q6,'MRT station dataset'!$C$3:$C$179,'MRT station dataset'!$E$3:$E$179)))*COS(RADIANS(P6-_xlfn.XLOOKUP('Resale flat dataset'!Q6,'MRT station dataset'!$C$3:$C$179,'MRT station dataset'!$F$3:$F$179))))*6371*1000</f>
        <v>198.38176977508448</v>
      </c>
      <c r="U6" s="39">
        <f>ACOS(COS(RADIANS(90-O6))*COS(RADIANS(90-_xlfn.XLOOKUP(R6,'Mall Dataset'!$B$3:$B$157,'Mall Dataset'!$E$3:$E$157,,0)))+SIN(RADIANS(90-O6))*SIN(RADIANS(90-_xlfn.XLOOKUP(R6,'Mall Dataset'!$B$3:$B$157,'Mall Dataset'!$E$3:$E$157,,0)))*COS(RADIANS(P6-_xlfn.XLOOKUP(R6,'Mall Dataset'!$B$3:$B$157,'Mall Dataset'!$F$3:$F$157,,0))))*6371*1000</f>
        <v>1075.872325650957</v>
      </c>
      <c r="V6" s="39">
        <f>ACOS(COS(RADIANS(90-O6))*COS(RADIANS(90-_xlfn.XLOOKUP(S6,'Schools dataset'!$B$3:$B$187,'Schools dataset'!$J$3:$J$187,,0)))+SIN(RADIANS(90-O6))*SIN(RADIANS(90-_xlfn.XLOOKUP(S6,'Schools dataset'!$B$3:$B$187,'Schools dataset'!$J$3:$J$187,,0)))*COS(RADIANS(P6-_xlfn.XLOOKUP(S6,'Schools dataset'!$B$3:$B$187,'Schools dataset'!$K$3:$K$187,,0))))*6371*1000</f>
        <v>137.37255710485096</v>
      </c>
      <c r="W6" s="20">
        <f>_xlfn.XLOOKUP(T6,'HDB Recommender'!$P$10:$P$39,'HDB Recommender'!$Q$10:$Q$39,"&gt;30mins",1)</f>
        <v>3</v>
      </c>
      <c r="X6" s="20">
        <f>_xlfn.XLOOKUP(U6,'HDB Recommender'!$P$10:$P$39,'HDB Recommender'!$Q$10:$Q$39,"&gt;30mins",1)</f>
        <v>15</v>
      </c>
      <c r="Y6" s="20">
        <f>_xlfn.XLOOKUP(V6,'HDB Recommender'!$P$10:$P$39,'HDB Recommender'!$Q$10:$Q$39,"&gt;30mins",1)</f>
        <v>2</v>
      </c>
      <c r="Z6" s="39">
        <f t="shared" si="0"/>
        <v>6.666666666666667</v>
      </c>
      <c r="AA6" s="20" t="str">
        <f t="shared" si="1"/>
        <v>Within 1km</v>
      </c>
    </row>
    <row r="7" spans="2:29" hidden="1">
      <c r="B7" s="35" t="s">
        <v>317</v>
      </c>
      <c r="C7" s="35" t="s">
        <v>18</v>
      </c>
      <c r="D7" s="35" t="s">
        <v>318</v>
      </c>
      <c r="E7" s="35">
        <v>610</v>
      </c>
      <c r="F7" s="35" t="s">
        <v>325</v>
      </c>
      <c r="G7" s="35" t="s">
        <v>191</v>
      </c>
      <c r="H7" s="35">
        <v>68</v>
      </c>
      <c r="I7" s="35" t="s">
        <v>320</v>
      </c>
      <c r="J7" s="36">
        <v>1980</v>
      </c>
      <c r="K7" s="39">
        <v>56.1666666666666</v>
      </c>
      <c r="L7" s="37">
        <v>375000</v>
      </c>
      <c r="M7" s="35" t="s">
        <v>329</v>
      </c>
      <c r="N7" s="27">
        <v>560610</v>
      </c>
      <c r="O7" s="38">
        <v>1.3798360000000001</v>
      </c>
      <c r="P7" s="38">
        <v>103.8368438</v>
      </c>
      <c r="Q7" s="38" t="str" cm="1">
        <f t="array" ref="Q7">INDEX('MRT station dataset'!$C$3:$C$179, MATCH(MIN(SQRT(('MRT station dataset'!$E$3:$E$179-'Resale flat dataset'!O7)^2+('MRT station dataset'!$F$3:$F$179-'Resale flat dataset'!P7)^2)), SQRT(('MRT station dataset'!$E$3:$E$179-'Resale flat dataset'!O7)^2+('MRT station dataset'!$F$3:$F$179-'Resale flat dataset'!P7)^2), 0))</f>
        <v>LENTOR MRT STATION</v>
      </c>
      <c r="R7" s="38" t="str" cm="1">
        <f t="array" ref="R7">INDEX('Mall Dataset'!$B$3:$B$157, MATCH(MIN(SQRT(('Mall Dataset'!$E$3:$E$157-'Resale flat dataset'!O7)^2+('Mall Dataset'!$F$3:$F$157-'Resale flat dataset'!P7)^2)), SQRT(('Mall Dataset'!$E$3:$E$157-'Resale flat dataset'!O7)^2+('Mall Dataset'!$F$3:$F$157-'Resale flat dataset'!P7)^2), 0))</f>
        <v>Djitsun Mall AMK</v>
      </c>
      <c r="S7" s="38" t="str" cm="1">
        <f t="array" ref="S7">INDEX('Schools dataset'!$B$3:$B$187, MATCH(MIN(SQRT(('Schools dataset'!$J$3:$J$187-'Resale flat dataset'!O7)^2+('Schools dataset'!$K$3:$K$187-'Resale flat dataset'!P7)^2)), SQRT(('Schools dataset'!$J$3:$J$187-'Resale flat dataset'!O7)^2+('Schools dataset'!$K$3:$K$187-'Resale flat dataset'!P7)^2), 0))</f>
        <v>MAYFLOWER PRIMARY SCHOOL</v>
      </c>
      <c r="T7" s="39">
        <f>ACOS(COS(RADIANS(90-O7))*COS(RADIANS(90-_xlfn.XLOOKUP(Q7,'MRT station dataset'!$C$3:$C$179,'MRT station dataset'!$E$3:$E$179)))+SIN(RADIANS(90-O7))*SIN(RADIANS(90-_xlfn.XLOOKUP(Q7,'MRT station dataset'!$C$3:$C$179,'MRT station dataset'!$E$3:$E$179)))*COS(RADIANS(P7-_xlfn.XLOOKUP('Resale flat dataset'!Q7,'MRT station dataset'!$C$3:$C$179,'MRT station dataset'!$F$3:$F$179))))*6371*1000</f>
        <v>584.44384717527487</v>
      </c>
      <c r="U7" s="39">
        <f>ACOS(COS(RADIANS(90-O7))*COS(RADIANS(90-_xlfn.XLOOKUP(R7,'Mall Dataset'!$B$3:$B$157,'Mall Dataset'!$E$3:$E$157,,0)))+SIN(RADIANS(90-O7))*SIN(RADIANS(90-_xlfn.XLOOKUP(R7,'Mall Dataset'!$B$3:$B$157,'Mall Dataset'!$E$3:$E$157,,0)))*COS(RADIANS(P7-_xlfn.XLOOKUP(R7,'Mall Dataset'!$B$3:$B$157,'Mall Dataset'!$F$3:$F$157,,0))))*6371*1000</f>
        <v>1204.2441080627484</v>
      </c>
      <c r="V7" s="39">
        <f>ACOS(COS(RADIANS(90-O7))*COS(RADIANS(90-_xlfn.XLOOKUP(S7,'Schools dataset'!$B$3:$B$187,'Schools dataset'!$J$3:$J$187,,0)))+SIN(RADIANS(90-O7))*SIN(RADIANS(90-_xlfn.XLOOKUP(S7,'Schools dataset'!$B$3:$B$187,'Schools dataset'!$J$3:$J$187,,0)))*COS(RADIANS(P7-_xlfn.XLOOKUP(S7,'Schools dataset'!$B$3:$B$187,'Schools dataset'!$K$3:$K$187,,0))))*6371*1000</f>
        <v>426.21857288634703</v>
      </c>
      <c r="W7" s="20">
        <f>_xlfn.XLOOKUP(T7,'HDB Recommender'!$P$10:$P$39,'HDB Recommender'!$Q$10:$Q$39,"&gt;30mins",1)</f>
        <v>8</v>
      </c>
      <c r="X7" s="20">
        <f>_xlfn.XLOOKUP(U7,'HDB Recommender'!$P$10:$P$39,'HDB Recommender'!$Q$10:$Q$39,"&gt;30mins",1)</f>
        <v>17</v>
      </c>
      <c r="Y7" s="20">
        <f>_xlfn.XLOOKUP(V7,'HDB Recommender'!$P$10:$P$39,'HDB Recommender'!$Q$10:$Q$39,"&gt;30mins",1)</f>
        <v>6</v>
      </c>
      <c r="Z7" s="39">
        <f t="shared" si="0"/>
        <v>10.333333333333334</v>
      </c>
      <c r="AA7" s="20" t="str">
        <f t="shared" si="1"/>
        <v>Within 1km</v>
      </c>
    </row>
    <row r="8" spans="2:29" hidden="1">
      <c r="B8" s="35" t="s">
        <v>317</v>
      </c>
      <c r="C8" s="35" t="s">
        <v>18</v>
      </c>
      <c r="D8" s="35" t="s">
        <v>318</v>
      </c>
      <c r="E8" s="35">
        <v>644</v>
      </c>
      <c r="F8" s="35" t="s">
        <v>325</v>
      </c>
      <c r="G8" s="35" t="s">
        <v>189</v>
      </c>
      <c r="H8" s="35">
        <v>75</v>
      </c>
      <c r="I8" s="35" t="s">
        <v>320</v>
      </c>
      <c r="J8" s="36">
        <v>1980</v>
      </c>
      <c r="K8" s="39">
        <v>56.25</v>
      </c>
      <c r="L8" s="37">
        <v>380000</v>
      </c>
      <c r="M8" s="35" t="s">
        <v>330</v>
      </c>
      <c r="N8" s="27">
        <v>560644</v>
      </c>
      <c r="O8" s="38">
        <v>1.37914585571526</v>
      </c>
      <c r="P8" s="38">
        <v>103.8383656</v>
      </c>
      <c r="Q8" s="38" t="str" cm="1">
        <f t="array" ref="Q8">INDEX('MRT station dataset'!$C$3:$C$179, MATCH(MIN(SQRT(('MRT station dataset'!$E$3:$E$179-'Resale flat dataset'!O8)^2+('MRT station dataset'!$F$3:$F$179-'Resale flat dataset'!P8)^2)), SQRT(('MRT station dataset'!$E$3:$E$179-'Resale flat dataset'!O8)^2+('MRT station dataset'!$F$3:$F$179-'Resale flat dataset'!P8)^2), 0))</f>
        <v>LENTOR MRT STATION</v>
      </c>
      <c r="R8" s="38" t="str" cm="1">
        <f t="array" ref="R8">INDEX('Mall Dataset'!$B$3:$B$157, MATCH(MIN(SQRT(('Mall Dataset'!$E$3:$E$157-'Resale flat dataset'!O8)^2+('Mall Dataset'!$F$3:$F$157-'Resale flat dataset'!P8)^2)), SQRT(('Mall Dataset'!$E$3:$E$157-'Resale flat dataset'!O8)^2+('Mall Dataset'!$F$3:$F$157-'Resale flat dataset'!P8)^2), 0))</f>
        <v>Djitsun Mall AMK</v>
      </c>
      <c r="S8" s="38" t="str" cm="1">
        <f t="array" ref="S8">INDEX('Schools dataset'!$B$3:$B$187, MATCH(MIN(SQRT(('Schools dataset'!$J$3:$J$187-'Resale flat dataset'!O8)^2+('Schools dataset'!$K$3:$K$187-'Resale flat dataset'!P8)^2)), SQRT(('Schools dataset'!$J$3:$J$187-'Resale flat dataset'!O8)^2+('Schools dataset'!$K$3:$K$187-'Resale flat dataset'!P8)^2), 0))</f>
        <v>MAYFLOWER PRIMARY SCHOOL</v>
      </c>
      <c r="T8" s="39">
        <f>ACOS(COS(RADIANS(90-O8))*COS(RADIANS(90-_xlfn.XLOOKUP(Q8,'MRT station dataset'!$C$3:$C$179,'MRT station dataset'!$E$3:$E$179)))+SIN(RADIANS(90-O8))*SIN(RADIANS(90-_xlfn.XLOOKUP(Q8,'MRT station dataset'!$C$3:$C$179,'MRT station dataset'!$E$3:$E$179)))*COS(RADIANS(P8-_xlfn.XLOOKUP('Resale flat dataset'!Q8,'MRT station dataset'!$C$3:$C$179,'MRT station dataset'!$F$3:$F$179))))*6371*1000</f>
        <v>743.05314369652592</v>
      </c>
      <c r="U8" s="39">
        <f>ACOS(COS(RADIANS(90-O8))*COS(RADIANS(90-_xlfn.XLOOKUP(R8,'Mall Dataset'!$B$3:$B$157,'Mall Dataset'!$E$3:$E$157,,0)))+SIN(RADIANS(90-O8))*SIN(RADIANS(90-_xlfn.XLOOKUP(R8,'Mall Dataset'!$B$3:$B$157,'Mall Dataset'!$E$3:$E$157,,0)))*COS(RADIANS(P8-_xlfn.XLOOKUP(R8,'Mall Dataset'!$B$3:$B$157,'Mall Dataset'!$F$3:$F$157,,0))))*6371*1000</f>
        <v>1026.5212513219635</v>
      </c>
      <c r="V8" s="39">
        <f>ACOS(COS(RADIANS(90-O8))*COS(RADIANS(90-_xlfn.XLOOKUP(S8,'Schools dataset'!$B$3:$B$187,'Schools dataset'!$J$3:$J$187,,0)))+SIN(RADIANS(90-O8))*SIN(RADIANS(90-_xlfn.XLOOKUP(S8,'Schools dataset'!$B$3:$B$187,'Schools dataset'!$J$3:$J$187,,0)))*COS(RADIANS(P8-_xlfn.XLOOKUP(S8,'Schools dataset'!$B$3:$B$187,'Schools dataset'!$K$3:$K$187,,0))))*6371*1000</f>
        <v>438.47268975812125</v>
      </c>
      <c r="W8" s="20">
        <f>_xlfn.XLOOKUP(T8,'HDB Recommender'!$P$10:$P$39,'HDB Recommender'!$Q$10:$Q$39,"&gt;30mins",1)</f>
        <v>10</v>
      </c>
      <c r="X8" s="20">
        <f>_xlfn.XLOOKUP(U8,'HDB Recommender'!$P$10:$P$39,'HDB Recommender'!$Q$10:$Q$39,"&gt;30mins",1)</f>
        <v>14</v>
      </c>
      <c r="Y8" s="20">
        <f>_xlfn.XLOOKUP(V8,'HDB Recommender'!$P$10:$P$39,'HDB Recommender'!$Q$10:$Q$39,"&gt;30mins",1)</f>
        <v>6</v>
      </c>
      <c r="Z8" s="39">
        <f t="shared" si="0"/>
        <v>10</v>
      </c>
      <c r="AA8" s="20" t="str">
        <f t="shared" si="1"/>
        <v>Within 1km</v>
      </c>
    </row>
    <row r="9" spans="2:29" hidden="1">
      <c r="B9" s="35" t="s">
        <v>317</v>
      </c>
      <c r="C9" s="35" t="s">
        <v>18</v>
      </c>
      <c r="D9" s="35" t="s">
        <v>318</v>
      </c>
      <c r="E9" s="35">
        <v>533</v>
      </c>
      <c r="F9" s="35" t="s">
        <v>331</v>
      </c>
      <c r="G9" s="35" t="s">
        <v>184</v>
      </c>
      <c r="H9" s="35">
        <v>67</v>
      </c>
      <c r="I9" s="35" t="s">
        <v>320</v>
      </c>
      <c r="J9" s="36">
        <v>1980</v>
      </c>
      <c r="K9" s="39">
        <v>55.4166666666666</v>
      </c>
      <c r="L9" s="37">
        <v>405000</v>
      </c>
      <c r="M9" s="35" t="s">
        <v>332</v>
      </c>
      <c r="N9" s="27">
        <v>560533</v>
      </c>
      <c r="O9" s="38">
        <v>1.3741692336847</v>
      </c>
      <c r="P9" s="38">
        <v>103.853001924476</v>
      </c>
      <c r="Q9" s="38" t="str" cm="1">
        <f t="array" ref="Q9">INDEX('MRT station dataset'!$C$3:$C$179, MATCH(MIN(SQRT(('MRT station dataset'!$E$3:$E$179-'Resale flat dataset'!O9)^2+('MRT station dataset'!$F$3:$F$179-'Resale flat dataset'!P9)^2)), SQRT(('MRT station dataset'!$E$3:$E$179-'Resale flat dataset'!O9)^2+('MRT station dataset'!$F$3:$F$179-'Resale flat dataset'!P9)^2), 0))</f>
        <v>ANG MO KIO MRT STATION</v>
      </c>
      <c r="R9" s="38" t="str" cm="1">
        <f t="array" ref="R9">INDEX('Mall Dataset'!$B$3:$B$157, MATCH(MIN(SQRT(('Mall Dataset'!$E$3:$E$157-'Resale flat dataset'!O9)^2+('Mall Dataset'!$F$3:$F$157-'Resale flat dataset'!P9)^2)), SQRT(('Mall Dataset'!$E$3:$E$157-'Resale flat dataset'!O9)^2+('Mall Dataset'!$F$3:$F$157-'Resale flat dataset'!P9)^2), 0))</f>
        <v>Jubilee Square</v>
      </c>
      <c r="S9" s="38" t="str" cm="1">
        <f t="array" ref="S9">INDEX('Schools dataset'!$B$3:$B$187, MATCH(MIN(SQRT(('Schools dataset'!$J$3:$J$187-'Resale flat dataset'!O9)^2+('Schools dataset'!$K$3:$K$187-'Resale flat dataset'!P9)^2)), SQRT(('Schools dataset'!$J$3:$J$187-'Resale flat dataset'!O9)^2+('Schools dataset'!$K$3:$K$187-'Resale flat dataset'!P9)^2), 0))</f>
        <v>JING SHAN PRIMARY SCHOOL</v>
      </c>
      <c r="T9" s="39">
        <f>ACOS(COS(RADIANS(90-O9))*COS(RADIANS(90-_xlfn.XLOOKUP(Q9,'MRT station dataset'!$C$3:$C$179,'MRT station dataset'!$E$3:$E$179)))+SIN(RADIANS(90-O9))*SIN(RADIANS(90-_xlfn.XLOOKUP(Q9,'MRT station dataset'!$C$3:$C$179,'MRT station dataset'!$E$3:$E$179)))*COS(RADIANS(P9-_xlfn.XLOOKUP('Resale flat dataset'!Q9,'MRT station dataset'!$C$3:$C$179,'MRT station dataset'!$F$3:$F$179))))*6371*1000</f>
        <v>641.91221848462328</v>
      </c>
      <c r="U9" s="39">
        <f>ACOS(COS(RADIANS(90-O9))*COS(RADIANS(90-_xlfn.XLOOKUP(R9,'Mall Dataset'!$B$3:$B$157,'Mall Dataset'!$E$3:$E$157,,0)))+SIN(RADIANS(90-O9))*SIN(RADIANS(90-_xlfn.XLOOKUP(R9,'Mall Dataset'!$B$3:$B$157,'Mall Dataset'!$E$3:$E$157,,0)))*COS(RADIANS(P9-_xlfn.XLOOKUP(R9,'Mall Dataset'!$B$3:$B$157,'Mall Dataset'!$F$3:$F$157,,0))))*6371*1000</f>
        <v>632.31764809686285</v>
      </c>
      <c r="V9" s="39">
        <f>ACOS(COS(RADIANS(90-O9))*COS(RADIANS(90-_xlfn.XLOOKUP(S9,'Schools dataset'!$B$3:$B$187,'Schools dataset'!$J$3:$J$187,,0)))+SIN(RADIANS(90-O9))*SIN(RADIANS(90-_xlfn.XLOOKUP(S9,'Schools dataset'!$B$3:$B$187,'Schools dataset'!$J$3:$J$187,,0)))*COS(RADIANS(P9-_xlfn.XLOOKUP(S9,'Schools dataset'!$B$3:$B$187,'Schools dataset'!$K$3:$K$187,,0))))*6371*1000</f>
        <v>236.01921307223583</v>
      </c>
      <c r="W9" s="20">
        <f>_xlfn.XLOOKUP(T9,'HDB Recommender'!$P$10:$P$39,'HDB Recommender'!$Q$10:$Q$39,"&gt;30mins",1)</f>
        <v>9</v>
      </c>
      <c r="X9" s="20">
        <f>_xlfn.XLOOKUP(U9,'HDB Recommender'!$P$10:$P$39,'HDB Recommender'!$Q$10:$Q$39,"&gt;30mins",1)</f>
        <v>9</v>
      </c>
      <c r="Y9" s="20">
        <f>_xlfn.XLOOKUP(V9,'HDB Recommender'!$P$10:$P$39,'HDB Recommender'!$Q$10:$Q$39,"&gt;30mins",1)</f>
        <v>4</v>
      </c>
      <c r="Z9" s="39">
        <f t="shared" si="0"/>
        <v>7.333333333333333</v>
      </c>
      <c r="AA9" s="20" t="str">
        <f t="shared" si="1"/>
        <v>Within 1km</v>
      </c>
    </row>
    <row r="10" spans="2:29" hidden="1">
      <c r="B10" s="35" t="s">
        <v>317</v>
      </c>
      <c r="C10" s="35" t="s">
        <v>18</v>
      </c>
      <c r="D10" s="35" t="s">
        <v>318</v>
      </c>
      <c r="E10" s="35">
        <v>180</v>
      </c>
      <c r="F10" s="35" t="s">
        <v>331</v>
      </c>
      <c r="G10" s="35" t="s">
        <v>189</v>
      </c>
      <c r="H10" s="35">
        <v>68</v>
      </c>
      <c r="I10" s="35" t="s">
        <v>320</v>
      </c>
      <c r="J10" s="36">
        <v>1981</v>
      </c>
      <c r="K10" s="39">
        <v>56.5833333333333</v>
      </c>
      <c r="L10" s="37">
        <v>382000</v>
      </c>
      <c r="M10" s="35" t="s">
        <v>333</v>
      </c>
      <c r="N10" s="27">
        <v>560180</v>
      </c>
      <c r="O10" s="38">
        <v>1.3766770640863499</v>
      </c>
      <c r="P10" s="38">
        <v>103.83836104381</v>
      </c>
      <c r="Q10" s="38" t="str" cm="1">
        <f t="array" ref="Q10">INDEX('MRT station dataset'!$C$3:$C$179, MATCH(MIN(SQRT(('MRT station dataset'!$E$3:$E$179-'Resale flat dataset'!O10)^2+('MRT station dataset'!$F$3:$F$179-'Resale flat dataset'!P10)^2)), SQRT(('MRT station dataset'!$E$3:$E$179-'Resale flat dataset'!O10)^2+('MRT station dataset'!$F$3:$F$179-'Resale flat dataset'!P10)^2), 0))</f>
        <v>MAYFLOWER MRT STATION</v>
      </c>
      <c r="R10" s="38" t="str" cm="1">
        <f t="array" ref="R10">INDEX('Mall Dataset'!$B$3:$B$157, MATCH(MIN(SQRT(('Mall Dataset'!$E$3:$E$157-'Resale flat dataset'!O10)^2+('Mall Dataset'!$F$3:$F$157-'Resale flat dataset'!P10)^2)), SQRT(('Mall Dataset'!$E$3:$E$157-'Resale flat dataset'!O10)^2+('Mall Dataset'!$F$3:$F$157-'Resale flat dataset'!P10)^2), 0))</f>
        <v>Djitsun Mall AMK</v>
      </c>
      <c r="S10" s="38" t="str" cm="1">
        <f t="array" ref="S10">INDEX('Schools dataset'!$B$3:$B$187, MATCH(MIN(SQRT(('Schools dataset'!$J$3:$J$187-'Resale flat dataset'!O10)^2+('Schools dataset'!$K$3:$K$187-'Resale flat dataset'!P10)^2)), SQRT(('Schools dataset'!$J$3:$J$187-'Resale flat dataset'!O10)^2+('Schools dataset'!$K$3:$K$187-'Resale flat dataset'!P10)^2), 0))</f>
        <v>MAYFLOWER PRIMARY SCHOOL</v>
      </c>
      <c r="T10" s="39">
        <f>ACOS(COS(RADIANS(90-O10))*COS(RADIANS(90-_xlfn.XLOOKUP(Q10,'MRT station dataset'!$C$3:$C$179,'MRT station dataset'!$E$3:$E$179)))+SIN(RADIANS(90-O10))*SIN(RADIANS(90-_xlfn.XLOOKUP(Q10,'MRT station dataset'!$C$3:$C$179,'MRT station dataset'!$E$3:$E$179)))*COS(RADIANS(P10-_xlfn.XLOOKUP('Resale flat dataset'!Q10,'MRT station dataset'!$C$3:$C$179,'MRT station dataset'!$F$3:$F$179))))*6371*1000</f>
        <v>537.71654484247028</v>
      </c>
      <c r="U10" s="39">
        <f>ACOS(COS(RADIANS(90-O10))*COS(RADIANS(90-_xlfn.XLOOKUP(R10,'Mall Dataset'!$B$3:$B$157,'Mall Dataset'!$E$3:$E$157,,0)))+SIN(RADIANS(90-O10))*SIN(RADIANS(90-_xlfn.XLOOKUP(R10,'Mall Dataset'!$B$3:$B$157,'Mall Dataset'!$E$3:$E$157,,0)))*COS(RADIANS(P10-_xlfn.XLOOKUP(R10,'Mall Dataset'!$B$3:$B$157,'Mall Dataset'!$F$3:$F$157,,0))))*6371*1000</f>
        <v>864.40377028513637</v>
      </c>
      <c r="V10" s="39">
        <f>ACOS(COS(RADIANS(90-O10))*COS(RADIANS(90-_xlfn.XLOOKUP(S10,'Schools dataset'!$B$3:$B$187,'Schools dataset'!$J$3:$J$187,,0)))+SIN(RADIANS(90-O10))*SIN(RADIANS(90-_xlfn.XLOOKUP(S10,'Schools dataset'!$B$3:$B$187,'Schools dataset'!$J$3:$J$187,,0)))*COS(RADIANS(P10-_xlfn.XLOOKUP(S10,'Schools dataset'!$B$3:$B$187,'Schools dataset'!$K$3:$K$187,,0))))*6371*1000</f>
        <v>290.17676941079242</v>
      </c>
      <c r="W10" s="20">
        <f>_xlfn.XLOOKUP(T10,'HDB Recommender'!$P$10:$P$39,'HDB Recommender'!$Q$10:$Q$39,"&gt;30mins",1)</f>
        <v>8</v>
      </c>
      <c r="X10" s="20">
        <f>_xlfn.XLOOKUP(U10,'HDB Recommender'!$P$10:$P$39,'HDB Recommender'!$Q$10:$Q$39,"&gt;30mins",1)</f>
        <v>12</v>
      </c>
      <c r="Y10" s="20">
        <f>_xlfn.XLOOKUP(V10,'HDB Recommender'!$P$10:$P$39,'HDB Recommender'!$Q$10:$Q$39,"&gt;30mins",1)</f>
        <v>4</v>
      </c>
      <c r="Z10" s="39">
        <f t="shared" si="0"/>
        <v>8</v>
      </c>
      <c r="AA10" s="20" t="str">
        <f t="shared" si="1"/>
        <v>Within 1km</v>
      </c>
    </row>
    <row r="11" spans="2:29" hidden="1">
      <c r="B11" s="35" t="s">
        <v>317</v>
      </c>
      <c r="C11" s="35" t="s">
        <v>18</v>
      </c>
      <c r="D11" s="35" t="s">
        <v>318</v>
      </c>
      <c r="E11" s="35"/>
      <c r="F11" s="35" t="s">
        <v>334</v>
      </c>
      <c r="G11" s="35" t="s">
        <v>189</v>
      </c>
      <c r="H11" s="35">
        <v>68</v>
      </c>
      <c r="I11" s="35" t="s">
        <v>335</v>
      </c>
      <c r="J11" s="36">
        <v>2018</v>
      </c>
      <c r="K11" s="39">
        <v>93.5</v>
      </c>
      <c r="L11" s="37">
        <v>485000</v>
      </c>
      <c r="M11" s="35" t="s">
        <v>336</v>
      </c>
      <c r="N11" s="27">
        <v>561455</v>
      </c>
      <c r="O11" s="38">
        <v>1.36817376241157</v>
      </c>
      <c r="P11" s="38">
        <v>103.857520553516</v>
      </c>
      <c r="Q11" s="38" t="str" cm="1">
        <f t="array" ref="Q11">INDEX('MRT station dataset'!$C$3:$C$179, MATCH(MIN(SQRT(('MRT station dataset'!$E$3:$E$179-'Resale flat dataset'!O11)^2+('MRT station dataset'!$F$3:$F$179-'Resale flat dataset'!P11)^2)), SQRT(('MRT station dataset'!$E$3:$E$179-'Resale flat dataset'!O11)^2+('MRT station dataset'!$F$3:$F$179-'Resale flat dataset'!P11)^2), 0))</f>
        <v>ANG MO KIO MRT STATION</v>
      </c>
      <c r="R11" s="38" t="str" cm="1">
        <f t="array" ref="R11">INDEX('Mall Dataset'!$B$3:$B$157, MATCH(MIN(SQRT(('Mall Dataset'!$E$3:$E$157-'Resale flat dataset'!O11)^2+('Mall Dataset'!$F$3:$F$157-'Resale flat dataset'!P11)^2)), SQRT(('Mall Dataset'!$E$3:$E$157-'Resale flat dataset'!O11)^2+('Mall Dataset'!$F$3:$F$157-'Resale flat dataset'!P11)^2), 0))</f>
        <v>myVillage At Serangoon Garden</v>
      </c>
      <c r="S11" s="38" t="str" cm="1">
        <f t="array" ref="S11">INDEX('Schools dataset'!$B$3:$B$187, MATCH(MIN(SQRT(('Schools dataset'!$J$3:$J$187-'Resale flat dataset'!O11)^2+('Schools dataset'!$K$3:$K$187-'Resale flat dataset'!P11)^2)), SQRT(('Schools dataset'!$J$3:$J$187-'Resale flat dataset'!O11)^2+('Schools dataset'!$K$3:$K$187-'Resale flat dataset'!P11)^2), 0))</f>
        <v>JING SHAN PRIMARY SCHOOL</v>
      </c>
      <c r="T11" s="39">
        <f>ACOS(COS(RADIANS(90-O11))*COS(RADIANS(90-_xlfn.XLOOKUP(Q11,'MRT station dataset'!$C$3:$C$179,'MRT station dataset'!$E$3:$E$179)))+SIN(RADIANS(90-O11))*SIN(RADIANS(90-_xlfn.XLOOKUP(Q11,'MRT station dataset'!$C$3:$C$179,'MRT station dataset'!$E$3:$E$179)))*COS(RADIANS(P11-_xlfn.XLOOKUP('Resale flat dataset'!Q11,'MRT station dataset'!$C$3:$C$179,'MRT station dataset'!$F$3:$F$179))))*6371*1000</f>
        <v>856.33170200316113</v>
      </c>
      <c r="U11" s="39">
        <f>ACOS(COS(RADIANS(90-O11))*COS(RADIANS(90-_xlfn.XLOOKUP(R11,'Mall Dataset'!$B$3:$B$157,'Mall Dataset'!$E$3:$E$157,,0)))+SIN(RADIANS(90-O11))*SIN(RADIANS(90-_xlfn.XLOOKUP(R11,'Mall Dataset'!$B$3:$B$157,'Mall Dataset'!$E$3:$E$157,,0)))*COS(RADIANS(P11-_xlfn.XLOOKUP(R11,'Mall Dataset'!$B$3:$B$157,'Mall Dataset'!$F$3:$F$157,,0))))*6371*1000</f>
        <v>914.75610772972732</v>
      </c>
      <c r="V11" s="39">
        <f>ACOS(COS(RADIANS(90-O11))*COS(RADIANS(90-_xlfn.XLOOKUP(S11,'Schools dataset'!$B$3:$B$187,'Schools dataset'!$J$3:$J$187,,0)))+SIN(RADIANS(90-O11))*SIN(RADIANS(90-_xlfn.XLOOKUP(S11,'Schools dataset'!$B$3:$B$187,'Schools dataset'!$J$3:$J$187,,0)))*COS(RADIANS(P11-_xlfn.XLOOKUP(S11,'Schools dataset'!$B$3:$B$187,'Schools dataset'!$K$3:$K$187,,0))))*6371*1000</f>
        <v>750.00360524215591</v>
      </c>
      <c r="W11" s="20">
        <f>_xlfn.XLOOKUP(T11,'HDB Recommender'!$P$10:$P$39,'HDB Recommender'!$Q$10:$Q$39,"&gt;30mins",1)</f>
        <v>12</v>
      </c>
      <c r="X11" s="20">
        <f>_xlfn.XLOOKUP(U11,'HDB Recommender'!$P$10:$P$39,'HDB Recommender'!$Q$10:$Q$39,"&gt;30mins",1)</f>
        <v>13</v>
      </c>
      <c r="Y11" s="20">
        <f>_xlfn.XLOOKUP(V11,'HDB Recommender'!$P$10:$P$39,'HDB Recommender'!$Q$10:$Q$39,"&gt;30mins",1)</f>
        <v>11</v>
      </c>
      <c r="Z11" s="39">
        <f t="shared" si="0"/>
        <v>12</v>
      </c>
      <c r="AA11" s="20" t="str">
        <f t="shared" si="1"/>
        <v>Within 1km</v>
      </c>
    </row>
    <row r="12" spans="2:29">
      <c r="B12" s="35" t="s">
        <v>317</v>
      </c>
      <c r="C12" s="35" t="s">
        <v>18</v>
      </c>
      <c r="D12" s="35" t="s">
        <v>20</v>
      </c>
      <c r="E12" s="35">
        <v>324</v>
      </c>
      <c r="F12" s="35" t="s">
        <v>337</v>
      </c>
      <c r="G12" s="35" t="s">
        <v>184</v>
      </c>
      <c r="H12" s="35">
        <v>98</v>
      </c>
      <c r="I12" s="35" t="s">
        <v>320</v>
      </c>
      <c r="J12" s="36">
        <v>1978</v>
      </c>
      <c r="K12" s="39">
        <v>54</v>
      </c>
      <c r="L12" s="37">
        <v>553000</v>
      </c>
      <c r="M12" s="35" t="s">
        <v>187</v>
      </c>
      <c r="N12" s="27">
        <v>560324</v>
      </c>
      <c r="O12" s="38">
        <v>1.3683339220170501</v>
      </c>
      <c r="P12" s="38">
        <v>103.846879231399</v>
      </c>
      <c r="Q12" s="38" t="str" cm="1">
        <f t="array" ref="Q12">INDEX('MRT station dataset'!$C$3:$C$179, MATCH(MIN(SQRT(('MRT station dataset'!$E$3:$E$179-'Resale flat dataset'!O12)^2+('MRT station dataset'!$F$3:$F$179-'Resale flat dataset'!P12)^2)), SQRT(('MRT station dataset'!$E$3:$E$179-'Resale flat dataset'!O12)^2+('MRT station dataset'!$F$3:$F$179-'Resale flat dataset'!P12)^2), 0))</f>
        <v>ANG MO KIO MRT STATION</v>
      </c>
      <c r="R12" s="38" t="str" cm="1">
        <f t="array" ref="R12">INDEX('Mall Dataset'!$B$3:$B$157, MATCH(MIN(SQRT(('Mall Dataset'!$E$3:$E$157-'Resale flat dataset'!O12)^2+('Mall Dataset'!$F$3:$F$157-'Resale flat dataset'!P12)^2)), SQRT(('Mall Dataset'!$E$3:$E$157-'Resale flat dataset'!O12)^2+('Mall Dataset'!$F$3:$F$157-'Resale flat dataset'!P12)^2), 0))</f>
        <v>AMK Hub</v>
      </c>
      <c r="S12" s="38" t="str" cm="1">
        <f t="array" ref="S12">INDEX('Schools dataset'!$B$3:$B$187, MATCH(MIN(SQRT(('Schools dataset'!$J$3:$J$187-'Resale flat dataset'!O12)^2+('Schools dataset'!$K$3:$K$187-'Resale flat dataset'!P12)^2)), SQRT(('Schools dataset'!$J$3:$J$187-'Resale flat dataset'!O12)^2+('Schools dataset'!$K$3:$K$187-'Resale flat dataset'!P12)^2), 0))</f>
        <v>TECK GHEE PRIMARY SCHOOL</v>
      </c>
      <c r="T12" s="39">
        <f>ACOS(COS(RADIANS(90-O12))*COS(RADIANS(90-_xlfn.XLOOKUP(Q12,'MRT station dataset'!$C$3:$C$179,'MRT station dataset'!$E$3:$E$179)))+SIN(RADIANS(90-O12))*SIN(RADIANS(90-_xlfn.XLOOKUP(Q12,'MRT station dataset'!$C$3:$C$179,'MRT station dataset'!$E$3:$E$179)))*COS(RADIANS(P12-_xlfn.XLOOKUP('Resale flat dataset'!Q12,'MRT station dataset'!$C$3:$C$179,'MRT station dataset'!$F$3:$F$179))))*6371*1000</f>
        <v>352.56230651117249</v>
      </c>
      <c r="U12" s="39">
        <f>ACOS(COS(RADIANS(90-O12))*COS(RADIANS(90-_xlfn.XLOOKUP(R12,'Mall Dataset'!$B$3:$B$157,'Mall Dataset'!$E$3:$E$157,,0)))+SIN(RADIANS(90-O12))*SIN(RADIANS(90-_xlfn.XLOOKUP(R12,'Mall Dataset'!$B$3:$B$157,'Mall Dataset'!$E$3:$E$157,,0)))*COS(RADIANS(P12-_xlfn.XLOOKUP(R12,'Mall Dataset'!$B$3:$B$157,'Mall Dataset'!$F$3:$F$157,,0))))*6371*1000</f>
        <v>203.7878992226787</v>
      </c>
      <c r="V12" s="39">
        <f>ACOS(COS(RADIANS(90-O12))*COS(RADIANS(90-_xlfn.XLOOKUP(S12,'Schools dataset'!$B$3:$B$187,'Schools dataset'!$J$3:$J$187,,0)))+SIN(RADIANS(90-O12))*SIN(RADIANS(90-_xlfn.XLOOKUP(S12,'Schools dataset'!$B$3:$B$187,'Schools dataset'!$J$3:$J$187,,0)))*COS(RADIANS(P12-_xlfn.XLOOKUP(S12,'Schools dataset'!$B$3:$B$187,'Schools dataset'!$K$3:$K$187,,0))))*6371*1000</f>
        <v>547.62042346505905</v>
      </c>
      <c r="W12" s="20">
        <f>_xlfn.XLOOKUP(T12,'HDB Recommender'!$P$10:$P$39,'HDB Recommender'!$Q$10:$Q$39,"&gt;30mins",1)</f>
        <v>5</v>
      </c>
      <c r="X12" s="20">
        <f>_xlfn.XLOOKUP(U12,'HDB Recommender'!$P$10:$P$39,'HDB Recommender'!$Q$10:$Q$39,"&gt;30mins",1)</f>
        <v>3</v>
      </c>
      <c r="Y12" s="20">
        <f>_xlfn.XLOOKUP(V12,'HDB Recommender'!$P$10:$P$39,'HDB Recommender'!$Q$10:$Q$39,"&gt;30mins",1)</f>
        <v>8</v>
      </c>
      <c r="Z12" s="39">
        <f t="shared" si="0"/>
        <v>5.333333333333333</v>
      </c>
      <c r="AA12" s="20" t="str">
        <f t="shared" si="1"/>
        <v>Within 1km</v>
      </c>
    </row>
    <row r="13" spans="2:29">
      <c r="B13" s="35" t="s">
        <v>317</v>
      </c>
      <c r="C13" s="35" t="s">
        <v>18</v>
      </c>
      <c r="D13" s="35" t="s">
        <v>20</v>
      </c>
      <c r="E13" s="35">
        <v>612</v>
      </c>
      <c r="F13" s="35" t="s">
        <v>325</v>
      </c>
      <c r="G13" s="35" t="s">
        <v>191</v>
      </c>
      <c r="H13" s="35">
        <v>91</v>
      </c>
      <c r="I13" s="35" t="s">
        <v>320</v>
      </c>
      <c r="J13" s="36">
        <v>1980</v>
      </c>
      <c r="K13" s="39">
        <v>55.9166666666666</v>
      </c>
      <c r="L13" s="37">
        <v>490000</v>
      </c>
      <c r="M13" s="35" t="s">
        <v>192</v>
      </c>
      <c r="N13" s="27">
        <v>560612</v>
      </c>
      <c r="O13" s="38">
        <v>1.3789079137440901</v>
      </c>
      <c r="P13" s="38">
        <v>103.838602654716</v>
      </c>
      <c r="Q13" s="38" t="str" cm="1">
        <f t="array" ref="Q13">INDEX('MRT station dataset'!$C$3:$C$179, MATCH(MIN(SQRT(('MRT station dataset'!$E$3:$E$179-'Resale flat dataset'!O13)^2+('MRT station dataset'!$F$3:$F$179-'Resale flat dataset'!P13)^2)), SQRT(('MRT station dataset'!$E$3:$E$179-'Resale flat dataset'!O13)^2+('MRT station dataset'!$F$3:$F$179-'Resale flat dataset'!P13)^2), 0))</f>
        <v>YIO CHU KANG MRT STATION</v>
      </c>
      <c r="R13" s="38" t="str" cm="1">
        <f t="array" ref="R13">INDEX('Mall Dataset'!$B$3:$B$157, MATCH(MIN(SQRT(('Mall Dataset'!$E$3:$E$157-'Resale flat dataset'!O13)^2+('Mall Dataset'!$F$3:$F$157-'Resale flat dataset'!P13)^2)), SQRT(('Mall Dataset'!$E$3:$E$157-'Resale flat dataset'!O13)^2+('Mall Dataset'!$F$3:$F$157-'Resale flat dataset'!P13)^2), 0))</f>
        <v>Djitsun Mall AMK</v>
      </c>
      <c r="S13" s="38" t="str" cm="1">
        <f t="array" ref="S13">INDEX('Schools dataset'!$B$3:$B$187, MATCH(MIN(SQRT(('Schools dataset'!$J$3:$J$187-'Resale flat dataset'!O13)^2+('Schools dataset'!$K$3:$K$187-'Resale flat dataset'!P13)^2)), SQRT(('Schools dataset'!$J$3:$J$187-'Resale flat dataset'!O13)^2+('Schools dataset'!$K$3:$K$187-'Resale flat dataset'!P13)^2), 0))</f>
        <v>MAYFLOWER PRIMARY SCHOOL</v>
      </c>
      <c r="T13" s="39">
        <f>ACOS(COS(RADIANS(90-O13))*COS(RADIANS(90-_xlfn.XLOOKUP(Q13,'MRT station dataset'!$C$3:$C$179,'MRT station dataset'!$E$3:$E$179)))+SIN(RADIANS(90-O13))*SIN(RADIANS(90-_xlfn.XLOOKUP(Q13,'MRT station dataset'!$C$3:$C$179,'MRT station dataset'!$E$3:$E$179)))*COS(RADIANS(P13-_xlfn.XLOOKUP('Resale flat dataset'!Q13,'MRT station dataset'!$C$3:$C$179,'MRT station dataset'!$F$3:$F$179))))*6371*1000</f>
        <v>770.36265281759711</v>
      </c>
      <c r="U13" s="39">
        <f>ACOS(COS(RADIANS(90-O13))*COS(RADIANS(90-_xlfn.XLOOKUP(R13,'Mall Dataset'!$B$3:$B$157,'Mall Dataset'!$E$3:$E$157,,0)))+SIN(RADIANS(90-O13))*SIN(RADIANS(90-_xlfn.XLOOKUP(R13,'Mall Dataset'!$B$3:$B$157,'Mall Dataset'!$E$3:$E$157,,0)))*COS(RADIANS(P13-_xlfn.XLOOKUP(R13,'Mall Dataset'!$B$3:$B$157,'Mall Dataset'!$F$3:$F$157,,0))))*6371*1000</f>
        <v>989.21176584435352</v>
      </c>
      <c r="V13" s="39">
        <f>ACOS(COS(RADIANS(90-O13))*COS(RADIANS(90-_xlfn.XLOOKUP(S13,'Schools dataset'!$B$3:$B$187,'Schools dataset'!$J$3:$J$187,,0)))+SIN(RADIANS(90-O13))*SIN(RADIANS(90-_xlfn.XLOOKUP(S13,'Schools dataset'!$B$3:$B$187,'Schools dataset'!$J$3:$J$187,,0)))*COS(RADIANS(P13-_xlfn.XLOOKUP(S13,'Schools dataset'!$B$3:$B$187,'Schools dataset'!$K$3:$K$187,,0))))*6371*1000</f>
        <v>437.03906518073165</v>
      </c>
      <c r="W13" s="20">
        <f>_xlfn.XLOOKUP(T13,'HDB Recommender'!$P$10:$P$39,'HDB Recommender'!$Q$10:$Q$39,"&gt;30mins",1)</f>
        <v>11</v>
      </c>
      <c r="X13" s="20">
        <f>_xlfn.XLOOKUP(U13,'HDB Recommender'!$P$10:$P$39,'HDB Recommender'!$Q$10:$Q$39,"&gt;30mins",1)</f>
        <v>14</v>
      </c>
      <c r="Y13" s="20">
        <f>_xlfn.XLOOKUP(V13,'HDB Recommender'!$P$10:$P$39,'HDB Recommender'!$Q$10:$Q$39,"&gt;30mins",1)</f>
        <v>6</v>
      </c>
      <c r="Z13" s="39">
        <f t="shared" si="0"/>
        <v>10.333333333333334</v>
      </c>
      <c r="AA13" s="20" t="str">
        <f t="shared" si="1"/>
        <v>Within 1km</v>
      </c>
    </row>
    <row r="14" spans="2:29">
      <c r="B14" s="35" t="s">
        <v>317</v>
      </c>
      <c r="C14" s="35" t="s">
        <v>18</v>
      </c>
      <c r="D14" s="35" t="s">
        <v>20</v>
      </c>
      <c r="E14" s="35">
        <v>606</v>
      </c>
      <c r="F14" s="35" t="s">
        <v>331</v>
      </c>
      <c r="G14" s="35" t="s">
        <v>189</v>
      </c>
      <c r="H14" s="35">
        <v>91</v>
      </c>
      <c r="I14" s="35" t="s">
        <v>320</v>
      </c>
      <c r="J14" s="36">
        <v>1980</v>
      </c>
      <c r="K14" s="39">
        <v>55.75</v>
      </c>
      <c r="L14" s="37">
        <v>518000</v>
      </c>
      <c r="M14" s="35" t="s">
        <v>190</v>
      </c>
      <c r="N14" s="27">
        <v>560606</v>
      </c>
      <c r="O14" s="38">
        <v>1.3793277723867099</v>
      </c>
      <c r="P14" s="38">
        <v>103.83673603155999</v>
      </c>
      <c r="Q14" s="38" t="str" cm="1">
        <f t="array" ref="Q14">INDEX('MRT station dataset'!$C$3:$C$179, MATCH(MIN(SQRT(('MRT station dataset'!$E$3:$E$179-'Resale flat dataset'!O14)^2+('MRT station dataset'!$F$3:$F$179-'Resale flat dataset'!P14)^2)), SQRT(('MRT station dataset'!$E$3:$E$179-'Resale flat dataset'!O14)^2+('MRT station dataset'!$F$3:$F$179-'Resale flat dataset'!P14)^2), 0))</f>
        <v>LENTOR MRT STATION</v>
      </c>
      <c r="R14" s="38" t="str" cm="1">
        <f t="array" ref="R14">INDEX('Mall Dataset'!$B$3:$B$157, MATCH(MIN(SQRT(('Mall Dataset'!$E$3:$E$157-'Resale flat dataset'!O14)^2+('Mall Dataset'!$F$3:$F$157-'Resale flat dataset'!P14)^2)), SQRT(('Mall Dataset'!$E$3:$E$157-'Resale flat dataset'!O14)^2+('Mall Dataset'!$F$3:$F$157-'Resale flat dataset'!P14)^2), 0))</f>
        <v>Djitsun Mall AMK</v>
      </c>
      <c r="S14" s="38" t="str" cm="1">
        <f t="array" ref="S14">INDEX('Schools dataset'!$B$3:$B$187, MATCH(MIN(SQRT(('Schools dataset'!$J$3:$J$187-'Resale flat dataset'!O14)^2+('Schools dataset'!$K$3:$K$187-'Resale flat dataset'!P14)^2)), SQRT(('Schools dataset'!$J$3:$J$187-'Resale flat dataset'!O14)^2+('Schools dataset'!$K$3:$K$187-'Resale flat dataset'!P14)^2), 0))</f>
        <v>MAYFLOWER PRIMARY SCHOOL</v>
      </c>
      <c r="T14" s="39">
        <f>ACOS(COS(RADIANS(90-O14))*COS(RADIANS(90-_xlfn.XLOOKUP(Q14,'MRT station dataset'!$C$3:$C$179,'MRT station dataset'!$E$3:$E$179)))+SIN(RADIANS(90-O14))*SIN(RADIANS(90-_xlfn.XLOOKUP(Q14,'MRT station dataset'!$C$3:$C$179,'MRT station dataset'!$E$3:$E$179)))*COS(RADIANS(P14-_xlfn.XLOOKUP('Resale flat dataset'!Q14,'MRT station dataset'!$C$3:$C$179,'MRT station dataset'!$F$3:$F$179))))*6371*1000</f>
        <v>628.72617548969799</v>
      </c>
      <c r="U14" s="39">
        <f>ACOS(COS(RADIANS(90-O14))*COS(RADIANS(90-_xlfn.XLOOKUP(R14,'Mall Dataset'!$B$3:$B$157,'Mall Dataset'!$E$3:$E$157,,0)))+SIN(RADIANS(90-O14))*SIN(RADIANS(90-_xlfn.XLOOKUP(R14,'Mall Dataset'!$B$3:$B$157,'Mall Dataset'!$E$3:$E$157,,0)))*COS(RADIANS(P14-_xlfn.XLOOKUP(R14,'Mall Dataset'!$B$3:$B$157,'Mall Dataset'!$F$3:$F$157,,0))))*6371*1000</f>
        <v>1178.2187000750698</v>
      </c>
      <c r="V14" s="39">
        <f>ACOS(COS(RADIANS(90-O14))*COS(RADIANS(90-_xlfn.XLOOKUP(S14,'Schools dataset'!$B$3:$B$187,'Schools dataset'!$J$3:$J$187,,0)))+SIN(RADIANS(90-O14))*SIN(RADIANS(90-_xlfn.XLOOKUP(S14,'Schools dataset'!$B$3:$B$187,'Schools dataset'!$J$3:$J$187,,0)))*COS(RADIANS(P14-_xlfn.XLOOKUP(S14,'Schools dataset'!$B$3:$B$187,'Schools dataset'!$K$3:$K$187,,0))))*6371*1000</f>
        <v>368.59326013161842</v>
      </c>
      <c r="W14" s="20">
        <f>_xlfn.XLOOKUP(T14,'HDB Recommender'!$P$10:$P$39,'HDB Recommender'!$Q$10:$Q$39,"&gt;30mins",1)</f>
        <v>9</v>
      </c>
      <c r="X14" s="20">
        <f>_xlfn.XLOOKUP(U14,'HDB Recommender'!$P$10:$P$39,'HDB Recommender'!$Q$10:$Q$39,"&gt;30mins",1)</f>
        <v>16</v>
      </c>
      <c r="Y14" s="20">
        <f>_xlfn.XLOOKUP(V14,'HDB Recommender'!$P$10:$P$39,'HDB Recommender'!$Q$10:$Q$39,"&gt;30mins",1)</f>
        <v>5</v>
      </c>
      <c r="Z14" s="39">
        <f t="shared" si="0"/>
        <v>10</v>
      </c>
      <c r="AA14" s="20" t="str">
        <f t="shared" si="1"/>
        <v>Within 1km</v>
      </c>
    </row>
    <row r="15" spans="2:29">
      <c r="B15" s="35" t="s">
        <v>317</v>
      </c>
      <c r="C15" s="35" t="s">
        <v>18</v>
      </c>
      <c r="D15" s="35" t="s">
        <v>20</v>
      </c>
      <c r="E15" s="35">
        <v>537</v>
      </c>
      <c r="F15" s="35" t="s">
        <v>331</v>
      </c>
      <c r="G15" s="35" t="s">
        <v>184</v>
      </c>
      <c r="H15" s="35">
        <v>92</v>
      </c>
      <c r="I15" s="35" t="s">
        <v>320</v>
      </c>
      <c r="J15" s="36">
        <v>1980</v>
      </c>
      <c r="K15" s="39">
        <v>55.4166666666666</v>
      </c>
      <c r="L15" s="37">
        <v>500000</v>
      </c>
      <c r="M15" s="35" t="s">
        <v>188</v>
      </c>
      <c r="N15" s="27">
        <v>560537</v>
      </c>
      <c r="O15" s="38">
        <v>1.37520009617687</v>
      </c>
      <c r="P15" s="38">
        <v>103.853059796325</v>
      </c>
      <c r="Q15" s="38" t="str" cm="1">
        <f t="array" ref="Q15">INDEX('MRT station dataset'!$C$3:$C$179, MATCH(MIN(SQRT(('MRT station dataset'!$E$3:$E$179-'Resale flat dataset'!O15)^2+('MRT station dataset'!$F$3:$F$179-'Resale flat dataset'!P15)^2)), SQRT(('MRT station dataset'!$E$3:$E$179-'Resale flat dataset'!O15)^2+('MRT station dataset'!$F$3:$F$179-'Resale flat dataset'!P15)^2), 0))</f>
        <v>ANG MO KIO MRT STATION</v>
      </c>
      <c r="R15" s="38" t="str" cm="1">
        <f t="array" ref="R15">INDEX('Mall Dataset'!$B$3:$B$157, MATCH(MIN(SQRT(('Mall Dataset'!$E$3:$E$157-'Resale flat dataset'!O15)^2+('Mall Dataset'!$F$3:$F$157-'Resale flat dataset'!P15)^2)), SQRT(('Mall Dataset'!$E$3:$E$157-'Resale flat dataset'!O15)^2+('Mall Dataset'!$F$3:$F$157-'Resale flat dataset'!P15)^2), 0))</f>
        <v>Jubilee Square</v>
      </c>
      <c r="S15" s="38" t="str" cm="1">
        <f t="array" ref="S15">INDEX('Schools dataset'!$B$3:$B$187, MATCH(MIN(SQRT(('Schools dataset'!$J$3:$J$187-'Resale flat dataset'!O15)^2+('Schools dataset'!$K$3:$K$187-'Resale flat dataset'!P15)^2)), SQRT(('Schools dataset'!$J$3:$J$187-'Resale flat dataset'!O15)^2+('Schools dataset'!$K$3:$K$187-'Resale flat dataset'!P15)^2), 0))</f>
        <v>JING SHAN PRIMARY SCHOOL</v>
      </c>
      <c r="T15" s="39">
        <f>ACOS(COS(RADIANS(90-O15))*COS(RADIANS(90-_xlfn.XLOOKUP(Q15,'MRT station dataset'!$C$3:$C$179,'MRT station dataset'!$E$3:$E$179)))+SIN(RADIANS(90-O15))*SIN(RADIANS(90-_xlfn.XLOOKUP(Q15,'MRT station dataset'!$C$3:$C$179,'MRT station dataset'!$E$3:$E$179)))*COS(RADIANS(P15-_xlfn.XLOOKUP('Resale flat dataset'!Q15,'MRT station dataset'!$C$3:$C$179,'MRT station dataset'!$F$3:$F$179))))*6371*1000</f>
        <v>744.17342206313447</v>
      </c>
      <c r="U15" s="39">
        <f>ACOS(COS(RADIANS(90-O15))*COS(RADIANS(90-_xlfn.XLOOKUP(R15,'Mall Dataset'!$B$3:$B$157,'Mall Dataset'!$E$3:$E$157,,0)))+SIN(RADIANS(90-O15))*SIN(RADIANS(90-_xlfn.XLOOKUP(R15,'Mall Dataset'!$B$3:$B$157,'Mall Dataset'!$E$3:$E$157,,0)))*COS(RADIANS(P15-_xlfn.XLOOKUP(R15,'Mall Dataset'!$B$3:$B$157,'Mall Dataset'!$F$3:$F$157,,0))))*6371*1000</f>
        <v>693.6541278842268</v>
      </c>
      <c r="V15" s="39">
        <f>ACOS(COS(RADIANS(90-O15))*COS(RADIANS(90-_xlfn.XLOOKUP(S15,'Schools dataset'!$B$3:$B$187,'Schools dataset'!$J$3:$J$187,,0)))+SIN(RADIANS(90-O15))*SIN(RADIANS(90-_xlfn.XLOOKUP(S15,'Schools dataset'!$B$3:$B$187,'Schools dataset'!$J$3:$J$187,,0)))*COS(RADIANS(P15-_xlfn.XLOOKUP(S15,'Schools dataset'!$B$3:$B$187,'Schools dataset'!$K$3:$K$187,,0))))*6371*1000</f>
        <v>345.67334315170962</v>
      </c>
      <c r="W15" s="20">
        <f>_xlfn.XLOOKUP(T15,'HDB Recommender'!$P$10:$P$39,'HDB Recommender'!$Q$10:$Q$39,"&gt;30mins",1)</f>
        <v>10</v>
      </c>
      <c r="X15" s="20">
        <f>_xlfn.XLOOKUP(U15,'HDB Recommender'!$P$10:$P$39,'HDB Recommender'!$Q$10:$Q$39,"&gt;30mins",1)</f>
        <v>10</v>
      </c>
      <c r="Y15" s="20">
        <f>_xlfn.XLOOKUP(V15,'HDB Recommender'!$P$10:$P$39,'HDB Recommender'!$Q$10:$Q$39,"&gt;30mins",1)</f>
        <v>5</v>
      </c>
      <c r="Z15" s="39">
        <f t="shared" si="0"/>
        <v>8.3333333333333339</v>
      </c>
      <c r="AA15" s="20" t="str">
        <f t="shared" si="1"/>
        <v>Within 1km</v>
      </c>
    </row>
    <row r="16" spans="2:29">
      <c r="B16" s="35" t="s">
        <v>317</v>
      </c>
      <c r="C16" s="35" t="s">
        <v>18</v>
      </c>
      <c r="D16" s="35" t="s">
        <v>20</v>
      </c>
      <c r="E16" s="35">
        <v>512</v>
      </c>
      <c r="F16" s="35" t="s">
        <v>338</v>
      </c>
      <c r="G16" s="35" t="s">
        <v>184</v>
      </c>
      <c r="H16" s="35">
        <v>93</v>
      </c>
      <c r="I16" s="35" t="s">
        <v>320</v>
      </c>
      <c r="J16" s="36">
        <v>1980</v>
      </c>
      <c r="K16" s="39">
        <v>55.9166666666666</v>
      </c>
      <c r="L16" s="37">
        <v>538000</v>
      </c>
      <c r="M16" s="35" t="s">
        <v>185</v>
      </c>
      <c r="N16" s="27">
        <v>560512</v>
      </c>
      <c r="O16" s="38">
        <v>1.3726147414362</v>
      </c>
      <c r="P16" s="38">
        <v>103.849155674919</v>
      </c>
      <c r="Q16" s="38" t="str" cm="1">
        <f t="array" ref="Q16">INDEX('MRT station dataset'!$C$3:$C$179, MATCH(MIN(SQRT(('MRT station dataset'!$E$3:$E$179-'Resale flat dataset'!O16)^2+('MRT station dataset'!$F$3:$F$179-'Resale flat dataset'!P16)^2)), SQRT(('MRT station dataset'!$E$3:$E$179-'Resale flat dataset'!O16)^2+('MRT station dataset'!$F$3:$F$179-'Resale flat dataset'!P16)^2), 0))</f>
        <v>ANG MO KIO MRT STATION</v>
      </c>
      <c r="R16" s="38" t="str" cm="1">
        <f t="array" ref="R16">INDEX('Mall Dataset'!$B$3:$B$157, MATCH(MIN(SQRT(('Mall Dataset'!$E$3:$E$157-'Resale flat dataset'!O16)^2+('Mall Dataset'!$F$3:$F$157-'Resale flat dataset'!P16)^2)), SQRT(('Mall Dataset'!$E$3:$E$157-'Resale flat dataset'!O16)^2+('Mall Dataset'!$F$3:$F$157-'Resale flat dataset'!P16)^2), 0))</f>
        <v>Jubilee Square</v>
      </c>
      <c r="S16" s="38" t="str" cm="1">
        <f t="array" ref="S16">INDEX('Schools dataset'!$B$3:$B$187, MATCH(MIN(SQRT(('Schools dataset'!$J$3:$J$187-'Resale flat dataset'!O16)^2+('Schools dataset'!$K$3:$K$187-'Resale flat dataset'!P16)^2)), SQRT(('Schools dataset'!$J$3:$J$187-'Resale flat dataset'!O16)^2+('Schools dataset'!$K$3:$K$187-'Resale flat dataset'!P16)^2), 0))</f>
        <v>JING SHAN PRIMARY SCHOOL</v>
      </c>
      <c r="T16" s="39">
        <f>ACOS(COS(RADIANS(90-O16))*COS(RADIANS(90-_xlfn.XLOOKUP(Q16,'MRT station dataset'!$C$3:$C$179,'MRT station dataset'!$E$3:$E$179)))+SIN(RADIANS(90-O16))*SIN(RADIANS(90-_xlfn.XLOOKUP(Q16,'MRT station dataset'!$C$3:$C$179,'MRT station dataset'!$E$3:$E$179)))*COS(RADIANS(P16-_xlfn.XLOOKUP('Resale flat dataset'!Q16,'MRT station dataset'!$C$3:$C$179,'MRT station dataset'!$F$3:$F$179))))*6371*1000</f>
        <v>377.75542407749674</v>
      </c>
      <c r="U16" s="39">
        <f>ACOS(COS(RADIANS(90-O16))*COS(RADIANS(90-_xlfn.XLOOKUP(R16,'Mall Dataset'!$B$3:$B$157,'Mall Dataset'!$E$3:$E$157,,0)))+SIN(RADIANS(90-O16))*SIN(RADIANS(90-_xlfn.XLOOKUP(R16,'Mall Dataset'!$B$3:$B$157,'Mall Dataset'!$E$3:$E$157,,0)))*COS(RADIANS(P16-_xlfn.XLOOKUP(R16,'Mall Dataset'!$B$3:$B$157,'Mall Dataset'!$F$3:$F$157,,0))))*6371*1000</f>
        <v>173.11859616722279</v>
      </c>
      <c r="V16" s="39">
        <f>ACOS(COS(RADIANS(90-O16))*COS(RADIANS(90-_xlfn.XLOOKUP(S16,'Schools dataset'!$B$3:$B$187,'Schools dataset'!$J$3:$J$187,,0)))+SIN(RADIANS(90-O16))*SIN(RADIANS(90-_xlfn.XLOOKUP(S16,'Schools dataset'!$B$3:$B$187,'Schools dataset'!$J$3:$J$187,,0)))*COS(RADIANS(P16-_xlfn.XLOOKUP(S16,'Schools dataset'!$B$3:$B$187,'Schools dataset'!$K$3:$K$187,,0))))*6371*1000</f>
        <v>333.59405930299647</v>
      </c>
      <c r="W16" s="20">
        <f>_xlfn.XLOOKUP(T16,'HDB Recommender'!$P$10:$P$39,'HDB Recommender'!$Q$10:$Q$39,"&gt;30mins",1)</f>
        <v>6</v>
      </c>
      <c r="X16" s="20">
        <f>_xlfn.XLOOKUP(U16,'HDB Recommender'!$P$10:$P$39,'HDB Recommender'!$Q$10:$Q$39,"&gt;30mins",1)</f>
        <v>3</v>
      </c>
      <c r="Y16" s="20">
        <f>_xlfn.XLOOKUP(V16,'HDB Recommender'!$P$10:$P$39,'HDB Recommender'!$Q$10:$Q$39,"&gt;30mins",1)</f>
        <v>5</v>
      </c>
      <c r="Z16" s="39">
        <f t="shared" si="0"/>
        <v>4.666666666666667</v>
      </c>
      <c r="AA16" s="20" t="str">
        <f t="shared" si="1"/>
        <v>Within 1km</v>
      </c>
    </row>
    <row r="17" spans="2:27" hidden="1">
      <c r="B17" s="35" t="s">
        <v>317</v>
      </c>
      <c r="C17" s="35" t="s">
        <v>18</v>
      </c>
      <c r="D17" s="35" t="s">
        <v>20</v>
      </c>
      <c r="E17" s="35"/>
      <c r="F17" s="35" t="s">
        <v>339</v>
      </c>
      <c r="G17" s="35" t="s">
        <v>184</v>
      </c>
      <c r="H17" s="35">
        <v>92</v>
      </c>
      <c r="I17" s="35" t="s">
        <v>335</v>
      </c>
      <c r="J17" s="36">
        <v>2018</v>
      </c>
      <c r="K17" s="39">
        <v>93.8333333333333</v>
      </c>
      <c r="L17" s="37">
        <v>915000</v>
      </c>
      <c r="M17" s="35" t="s">
        <v>340</v>
      </c>
      <c r="N17" s="27">
        <v>562260</v>
      </c>
      <c r="O17" s="38">
        <v>1.36886409962902</v>
      </c>
      <c r="P17" s="38">
        <v>103.83395420063</v>
      </c>
      <c r="Q17" s="38" t="str" cm="1">
        <f t="array" ref="Q17">INDEX('MRT station dataset'!$C$3:$C$179, MATCH(MIN(SQRT(('MRT station dataset'!$E$3:$E$179-'Resale flat dataset'!O17)^2+('MRT station dataset'!$F$3:$F$179-'Resale flat dataset'!P17)^2)), SQRT(('MRT station dataset'!$E$3:$E$179-'Resale flat dataset'!O17)^2+('MRT station dataset'!$F$3:$F$179-'Resale flat dataset'!P17)^2), 0))</f>
        <v>MAYFLOWER MRT STATION</v>
      </c>
      <c r="R17" s="38" t="str" cm="1">
        <f t="array" ref="R17">INDEX('Mall Dataset'!$B$3:$B$157, MATCH(MIN(SQRT(('Mall Dataset'!$E$3:$E$157-'Resale flat dataset'!O17)^2+('Mall Dataset'!$F$3:$F$157-'Resale flat dataset'!P17)^2)), SQRT(('Mall Dataset'!$E$3:$E$157-'Resale flat dataset'!O17)^2+('Mall Dataset'!$F$3:$F$157-'Resale flat dataset'!P17)^2), 0))</f>
        <v>Djitsun Mall AMK</v>
      </c>
      <c r="S17" s="38" t="str" cm="1">
        <f t="array" ref="S17">INDEX('Schools dataset'!$B$3:$B$187, MATCH(MIN(SQRT(('Schools dataset'!$J$3:$J$187-'Resale flat dataset'!O17)^2+('Schools dataset'!$K$3:$K$187-'Resale flat dataset'!P17)^2)), SQRT(('Schools dataset'!$J$3:$J$187-'Resale flat dataset'!O17)^2+('Schools dataset'!$K$3:$K$187-'Resale flat dataset'!P17)^2), 0))</f>
        <v>CHIJ ST. NICHOLAS GIRLS' SCHOOL</v>
      </c>
      <c r="T17" s="39">
        <f>ACOS(COS(RADIANS(90-O17))*COS(RADIANS(90-_xlfn.XLOOKUP(Q17,'MRT station dataset'!$C$3:$C$179,'MRT station dataset'!$E$3:$E$179)))+SIN(RADIANS(90-O17))*SIN(RADIANS(90-_xlfn.XLOOKUP(Q17,'MRT station dataset'!$C$3:$C$179,'MRT station dataset'!$E$3:$E$179)))*COS(RADIANS(P17-_xlfn.XLOOKUP('Resale flat dataset'!Q17,'MRT station dataset'!$C$3:$C$179,'MRT station dataset'!$F$3:$F$179))))*6371*1000</f>
        <v>479.1068372895615</v>
      </c>
      <c r="U17" s="39">
        <f>ACOS(COS(RADIANS(90-O17))*COS(RADIANS(90-_xlfn.XLOOKUP(R17,'Mall Dataset'!$B$3:$B$157,'Mall Dataset'!$E$3:$E$157,,0)))+SIN(RADIANS(90-O17))*SIN(RADIANS(90-_xlfn.XLOOKUP(R17,'Mall Dataset'!$B$3:$B$157,'Mall Dataset'!$E$3:$E$157,,0)))*COS(RADIANS(P17-_xlfn.XLOOKUP(R17,'Mall Dataset'!$B$3:$B$157,'Mall Dataset'!$F$3:$F$157,,0))))*6371*1000</f>
        <v>1321.6324982875128</v>
      </c>
      <c r="V17" s="39">
        <f>ACOS(COS(RADIANS(90-O17))*COS(RADIANS(90-_xlfn.XLOOKUP(S17,'Schools dataset'!$B$3:$B$187,'Schools dataset'!$J$3:$J$187,,0)))+SIN(RADIANS(90-O17))*SIN(RADIANS(90-_xlfn.XLOOKUP(S17,'Schools dataset'!$B$3:$B$187,'Schools dataset'!$J$3:$J$187,,0)))*COS(RADIANS(P17-_xlfn.XLOOKUP(S17,'Schools dataset'!$B$3:$B$187,'Schools dataset'!$K$3:$K$187,,0))))*6371*1000</f>
        <v>513.99393290306455</v>
      </c>
      <c r="W17" s="20">
        <f>_xlfn.XLOOKUP(T17,'HDB Recommender'!$P$10:$P$39,'HDB Recommender'!$Q$10:$Q$39,"&gt;30mins",1)</f>
        <v>7</v>
      </c>
      <c r="X17" s="20">
        <f>_xlfn.XLOOKUP(U17,'HDB Recommender'!$P$10:$P$39,'HDB Recommender'!$Q$10:$Q$39,"&gt;30mins",1)</f>
        <v>18</v>
      </c>
      <c r="Y17" s="20">
        <f>_xlfn.XLOOKUP(V17,'HDB Recommender'!$P$10:$P$39,'HDB Recommender'!$Q$10:$Q$39,"&gt;30mins",1)</f>
        <v>7</v>
      </c>
      <c r="Z17" s="39">
        <f t="shared" si="0"/>
        <v>10.666666666666666</v>
      </c>
      <c r="AA17" s="20" t="str">
        <f t="shared" si="1"/>
        <v>Within 1km</v>
      </c>
    </row>
    <row r="18" spans="2:27" hidden="1">
      <c r="B18" s="35" t="s">
        <v>317</v>
      </c>
      <c r="C18" s="35" t="s">
        <v>18</v>
      </c>
      <c r="D18" s="35" t="s">
        <v>341</v>
      </c>
      <c r="E18" s="35">
        <v>306</v>
      </c>
      <c r="F18" s="35" t="s">
        <v>319</v>
      </c>
      <c r="G18" s="35" t="s">
        <v>323</v>
      </c>
      <c r="H18" s="35">
        <v>123</v>
      </c>
      <c r="I18" s="35" t="s">
        <v>342</v>
      </c>
      <c r="J18" s="36">
        <v>1977</v>
      </c>
      <c r="K18" s="39">
        <v>52.9166666666666</v>
      </c>
      <c r="L18" s="37">
        <v>698888</v>
      </c>
      <c r="M18" s="35" t="s">
        <v>343</v>
      </c>
      <c r="N18" s="27">
        <v>560306</v>
      </c>
      <c r="O18" s="38">
        <v>1.3657255222284601</v>
      </c>
      <c r="P18" s="38">
        <v>103.845750564626</v>
      </c>
      <c r="Q18" s="38" t="str" cm="1">
        <f t="array" ref="Q18">INDEX('MRT station dataset'!$C$3:$C$179, MATCH(MIN(SQRT(('MRT station dataset'!$E$3:$E$179-'Resale flat dataset'!O18)^2+('MRT station dataset'!$F$3:$F$179-'Resale flat dataset'!P18)^2)), SQRT(('MRT station dataset'!$E$3:$E$179-'Resale flat dataset'!O18)^2+('MRT station dataset'!$F$3:$F$179-'Resale flat dataset'!P18)^2), 0))</f>
        <v>ANG MO KIO MRT STATION</v>
      </c>
      <c r="R18" s="38" t="str" cm="1">
        <f t="array" ref="R18">INDEX('Mall Dataset'!$B$3:$B$157, MATCH(MIN(SQRT(('Mall Dataset'!$E$3:$E$157-'Resale flat dataset'!O18)^2+('Mall Dataset'!$F$3:$F$157-'Resale flat dataset'!P18)^2)), SQRT(('Mall Dataset'!$E$3:$E$157-'Resale flat dataset'!O18)^2+('Mall Dataset'!$F$3:$F$157-'Resale flat dataset'!P18)^2), 0))</f>
        <v>AMK Hub</v>
      </c>
      <c r="S18" s="38" t="str" cm="1">
        <f t="array" ref="S18">INDEX('Schools dataset'!$B$3:$B$187, MATCH(MIN(SQRT(('Schools dataset'!$J$3:$J$187-'Resale flat dataset'!O18)^2+('Schools dataset'!$K$3:$K$187-'Resale flat dataset'!P18)^2)), SQRT(('Schools dataset'!$J$3:$J$187-'Resale flat dataset'!O18)^2+('Schools dataset'!$K$3:$K$187-'Resale flat dataset'!P18)^2), 0))</f>
        <v>TECK GHEE PRIMARY SCHOOL</v>
      </c>
      <c r="T18" s="39">
        <f>ACOS(COS(RADIANS(90-O18))*COS(RADIANS(90-_xlfn.XLOOKUP(Q18,'MRT station dataset'!$C$3:$C$179,'MRT station dataset'!$E$3:$E$179)))+SIN(RADIANS(90-O18))*SIN(RADIANS(90-_xlfn.XLOOKUP(Q18,'MRT station dataset'!$C$3:$C$179,'MRT station dataset'!$E$3:$E$179)))*COS(RADIANS(P18-_xlfn.XLOOKUP('Resale flat dataset'!Q18,'MRT station dataset'!$C$3:$C$179,'MRT station dataset'!$F$3:$F$179))))*6371*1000</f>
        <v>608.88638987275192</v>
      </c>
      <c r="U18" s="39">
        <f>ACOS(COS(RADIANS(90-O18))*COS(RADIANS(90-_xlfn.XLOOKUP(R18,'Mall Dataset'!$B$3:$B$157,'Mall Dataset'!$E$3:$E$157,,0)))+SIN(RADIANS(90-O18))*SIN(RADIANS(90-_xlfn.XLOOKUP(R18,'Mall Dataset'!$B$3:$B$157,'Mall Dataset'!$E$3:$E$157,,0)))*COS(RADIANS(P18-_xlfn.XLOOKUP(R18,'Mall Dataset'!$B$3:$B$157,'Mall Dataset'!$F$3:$F$157,,0))))*6371*1000</f>
        <v>494.99655837340305</v>
      </c>
      <c r="V18" s="39">
        <f>ACOS(COS(RADIANS(90-O18))*COS(RADIANS(90-_xlfn.XLOOKUP(S18,'Schools dataset'!$B$3:$B$187,'Schools dataset'!$J$3:$J$187,,0)))+SIN(RADIANS(90-O18))*SIN(RADIANS(90-_xlfn.XLOOKUP(S18,'Schools dataset'!$B$3:$B$187,'Schools dataset'!$J$3:$J$187,,0)))*COS(RADIANS(P18-_xlfn.XLOOKUP(S18,'Schools dataset'!$B$3:$B$187,'Schools dataset'!$K$3:$K$187,,0))))*6371*1000</f>
        <v>584.6942383505716</v>
      </c>
      <c r="W18" s="20">
        <f>_xlfn.XLOOKUP(T18,'HDB Recommender'!$P$10:$P$39,'HDB Recommender'!$Q$10:$Q$39,"&gt;30mins",1)</f>
        <v>9</v>
      </c>
      <c r="X18" s="20">
        <f>_xlfn.XLOOKUP(U18,'HDB Recommender'!$P$10:$P$39,'HDB Recommender'!$Q$10:$Q$39,"&gt;30mins",1)</f>
        <v>7</v>
      </c>
      <c r="Y18" s="20">
        <f>_xlfn.XLOOKUP(V18,'HDB Recommender'!$P$10:$P$39,'HDB Recommender'!$Q$10:$Q$39,"&gt;30mins",1)</f>
        <v>8</v>
      </c>
      <c r="Z18" s="39">
        <f t="shared" si="0"/>
        <v>8</v>
      </c>
      <c r="AA18" s="20" t="str">
        <f t="shared" si="1"/>
        <v>Within 1km</v>
      </c>
    </row>
    <row r="19" spans="2:27" hidden="1">
      <c r="B19" s="35" t="s">
        <v>317</v>
      </c>
      <c r="C19" s="35" t="s">
        <v>18</v>
      </c>
      <c r="D19" s="35" t="s">
        <v>341</v>
      </c>
      <c r="E19" s="35">
        <v>458</v>
      </c>
      <c r="F19" s="35" t="s">
        <v>322</v>
      </c>
      <c r="G19" s="35" t="s">
        <v>344</v>
      </c>
      <c r="H19" s="35">
        <v>120</v>
      </c>
      <c r="I19" s="35" t="s">
        <v>326</v>
      </c>
      <c r="J19" s="36">
        <v>1980</v>
      </c>
      <c r="K19" s="39">
        <v>55.3333333333333</v>
      </c>
      <c r="L19" s="37">
        <v>690000</v>
      </c>
      <c r="M19" s="35" t="s">
        <v>345</v>
      </c>
      <c r="N19" s="27">
        <v>560458</v>
      </c>
      <c r="O19" s="38">
        <v>1.36656815236771</v>
      </c>
      <c r="P19" s="38">
        <v>103.859626843322</v>
      </c>
      <c r="Q19" s="38" t="str" cm="1">
        <f t="array" ref="Q19">INDEX('MRT station dataset'!$C$3:$C$179, MATCH(MIN(SQRT(('MRT station dataset'!$E$3:$E$179-'Resale flat dataset'!O19)^2+('MRT station dataset'!$F$3:$F$179-'Resale flat dataset'!P19)^2)), SQRT(('MRT station dataset'!$E$3:$E$179-'Resale flat dataset'!O19)^2+('MRT station dataset'!$F$3:$F$179-'Resale flat dataset'!P19)^2), 0))</f>
        <v>ANG MO KIO MRT STATION</v>
      </c>
      <c r="R19" s="38" t="str" cm="1">
        <f t="array" ref="R19">INDEX('Mall Dataset'!$B$3:$B$157, MATCH(MIN(SQRT(('Mall Dataset'!$E$3:$E$157-'Resale flat dataset'!O19)^2+('Mall Dataset'!$F$3:$F$157-'Resale flat dataset'!P19)^2)), SQRT(('Mall Dataset'!$E$3:$E$157-'Resale flat dataset'!O19)^2+('Mall Dataset'!$F$3:$F$157-'Resale flat dataset'!P19)^2), 0))</f>
        <v>myVillage At Serangoon Garden</v>
      </c>
      <c r="S19" s="38" t="str" cm="1">
        <f t="array" ref="S19">INDEX('Schools dataset'!$B$3:$B$187, MATCH(MIN(SQRT(('Schools dataset'!$J$3:$J$187-'Resale flat dataset'!O19)^2+('Schools dataset'!$K$3:$K$187-'Resale flat dataset'!P19)^2)), SQRT(('Schools dataset'!$J$3:$J$187-'Resale flat dataset'!O19)^2+('Schools dataset'!$K$3:$K$187-'Resale flat dataset'!P19)^2), 0))</f>
        <v>TECK GHEE PRIMARY SCHOOL</v>
      </c>
      <c r="T19" s="39">
        <f>ACOS(COS(RADIANS(90-O19))*COS(RADIANS(90-_xlfn.XLOOKUP(Q19,'MRT station dataset'!$C$3:$C$179,'MRT station dataset'!$E$3:$E$179)))+SIN(RADIANS(90-O19))*SIN(RADIANS(90-_xlfn.XLOOKUP(Q19,'MRT station dataset'!$C$3:$C$179,'MRT station dataset'!$E$3:$E$179)))*COS(RADIANS(P19-_xlfn.XLOOKUP('Resale flat dataset'!Q19,'MRT station dataset'!$C$3:$C$179,'MRT station dataset'!$F$3:$F$179))))*6371*1000</f>
        <v>1123.126847082274</v>
      </c>
      <c r="U19" s="39">
        <f>ACOS(COS(RADIANS(90-O19))*COS(RADIANS(90-_xlfn.XLOOKUP(R19,'Mall Dataset'!$B$3:$B$157,'Mall Dataset'!$E$3:$E$157,,0)))+SIN(RADIANS(90-O19))*SIN(RADIANS(90-_xlfn.XLOOKUP(R19,'Mall Dataset'!$B$3:$B$157,'Mall Dataset'!$E$3:$E$157,,0)))*COS(RADIANS(P19-_xlfn.XLOOKUP(R19,'Mall Dataset'!$B$3:$B$157,'Mall Dataset'!$F$3:$F$157,,0))))*6371*1000</f>
        <v>635.90316569859965</v>
      </c>
      <c r="V19" s="39">
        <f>ACOS(COS(RADIANS(90-O19))*COS(RADIANS(90-_xlfn.XLOOKUP(S19,'Schools dataset'!$B$3:$B$187,'Schools dataset'!$J$3:$J$187,,0)))+SIN(RADIANS(90-O19))*SIN(RADIANS(90-_xlfn.XLOOKUP(S19,'Schools dataset'!$B$3:$B$187,'Schools dataset'!$J$3:$J$187,,0)))*COS(RADIANS(P19-_xlfn.XLOOKUP(S19,'Schools dataset'!$B$3:$B$187,'Schools dataset'!$K$3:$K$187,,0))))*6371*1000</f>
        <v>963.32219452816776</v>
      </c>
      <c r="W19" s="20">
        <f>_xlfn.XLOOKUP(T19,'HDB Recommender'!$P$10:$P$39,'HDB Recommender'!$Q$10:$Q$39,"&gt;30mins",1)</f>
        <v>15</v>
      </c>
      <c r="X19" s="20">
        <f>_xlfn.XLOOKUP(U19,'HDB Recommender'!$P$10:$P$39,'HDB Recommender'!$Q$10:$Q$39,"&gt;30mins",1)</f>
        <v>9</v>
      </c>
      <c r="Y19" s="20">
        <f>_xlfn.XLOOKUP(V19,'HDB Recommender'!$P$10:$P$39,'HDB Recommender'!$Q$10:$Q$39,"&gt;30mins",1)</f>
        <v>13</v>
      </c>
      <c r="Z19" s="39">
        <f t="shared" si="0"/>
        <v>12.333333333333334</v>
      </c>
      <c r="AA19" s="20" t="str">
        <f t="shared" si="1"/>
        <v>Within 1km</v>
      </c>
    </row>
    <row r="20" spans="2:27" hidden="1">
      <c r="B20" s="35" t="s">
        <v>317</v>
      </c>
      <c r="C20" s="35" t="s">
        <v>18</v>
      </c>
      <c r="D20" s="35" t="s">
        <v>341</v>
      </c>
      <c r="E20" s="35">
        <v>439</v>
      </c>
      <c r="F20" s="35" t="s">
        <v>322</v>
      </c>
      <c r="G20" s="35" t="s">
        <v>346</v>
      </c>
      <c r="H20" s="35">
        <v>119</v>
      </c>
      <c r="I20" s="35" t="s">
        <v>326</v>
      </c>
      <c r="J20" s="36">
        <v>1979</v>
      </c>
      <c r="K20" s="39">
        <v>54.3333333333333</v>
      </c>
      <c r="L20" s="37">
        <v>713800</v>
      </c>
      <c r="M20" s="35" t="s">
        <v>347</v>
      </c>
      <c r="N20" s="27">
        <v>560439</v>
      </c>
      <c r="O20" s="38">
        <v>1.3662919786480201</v>
      </c>
      <c r="P20" s="38">
        <v>103.85349630883</v>
      </c>
      <c r="Q20" s="38" t="str" cm="1">
        <f t="array" ref="Q20">INDEX('MRT station dataset'!$C$3:$C$179, MATCH(MIN(SQRT(('MRT station dataset'!$E$3:$E$179-'Resale flat dataset'!O20)^2+('MRT station dataset'!$F$3:$F$179-'Resale flat dataset'!P20)^2)), SQRT(('MRT station dataset'!$E$3:$E$179-'Resale flat dataset'!O20)^2+('MRT station dataset'!$F$3:$F$179-'Resale flat dataset'!P20)^2), 0))</f>
        <v>ANG MO KIO MRT STATION</v>
      </c>
      <c r="R20" s="38" t="str" cm="1">
        <f t="array" ref="R20">INDEX('Mall Dataset'!$B$3:$B$157, MATCH(MIN(SQRT(('Mall Dataset'!$E$3:$E$157-'Resale flat dataset'!O20)^2+('Mall Dataset'!$F$3:$F$157-'Resale flat dataset'!P20)^2)), SQRT(('Mall Dataset'!$E$3:$E$157-'Resale flat dataset'!O20)^2+('Mall Dataset'!$F$3:$F$157-'Resale flat dataset'!P20)^2), 0))</f>
        <v>AMK Hub</v>
      </c>
      <c r="S20" s="38" t="str" cm="1">
        <f t="array" ref="S20">INDEX('Schools dataset'!$B$3:$B$187, MATCH(MIN(SQRT(('Schools dataset'!$J$3:$J$187-'Resale flat dataset'!O20)^2+('Schools dataset'!$K$3:$K$187-'Resale flat dataset'!P20)^2)), SQRT(('Schools dataset'!$J$3:$J$187-'Resale flat dataset'!O20)^2+('Schools dataset'!$K$3:$K$187-'Resale flat dataset'!P20)^2), 0))</f>
        <v>TECK GHEE PRIMARY SCHOOL</v>
      </c>
      <c r="T20" s="39">
        <f>ACOS(COS(RADIANS(90-O20))*COS(RADIANS(90-_xlfn.XLOOKUP(Q20,'MRT station dataset'!$C$3:$C$179,'MRT station dataset'!$E$3:$E$179)))+SIN(RADIANS(90-O20))*SIN(RADIANS(90-_xlfn.XLOOKUP(Q20,'MRT station dataset'!$C$3:$C$179,'MRT station dataset'!$E$3:$E$179)))*COS(RADIANS(P20-_xlfn.XLOOKUP('Resale flat dataset'!Q20,'MRT station dataset'!$C$3:$C$179,'MRT station dataset'!$F$3:$F$179))))*6371*1000</f>
        <v>521.24523412486303</v>
      </c>
      <c r="U20" s="39">
        <f>ACOS(COS(RADIANS(90-O20))*COS(RADIANS(90-_xlfn.XLOOKUP(R20,'Mall Dataset'!$B$3:$B$157,'Mall Dataset'!$E$3:$E$157,,0)))+SIN(RADIANS(90-O20))*SIN(RADIANS(90-_xlfn.XLOOKUP(R20,'Mall Dataset'!$B$3:$B$157,'Mall Dataset'!$E$3:$E$157,,0)))*COS(RADIANS(P20-_xlfn.XLOOKUP(R20,'Mall Dataset'!$B$3:$B$157,'Mall Dataset'!$F$3:$F$157,,0))))*6371*1000</f>
        <v>649.22353664486889</v>
      </c>
      <c r="V20" s="39">
        <f>ACOS(COS(RADIANS(90-O20))*COS(RADIANS(90-_xlfn.XLOOKUP(S20,'Schools dataset'!$B$3:$B$187,'Schools dataset'!$J$3:$J$187,,0)))+SIN(RADIANS(90-O20))*SIN(RADIANS(90-_xlfn.XLOOKUP(S20,'Schools dataset'!$B$3:$B$187,'Schools dataset'!$J$3:$J$187,,0)))*COS(RADIANS(P20-_xlfn.XLOOKUP(S20,'Schools dataset'!$B$3:$B$187,'Schools dataset'!$K$3:$K$187,,0))))*6371*1000</f>
        <v>285.47246157242091</v>
      </c>
      <c r="W20" s="20">
        <f>_xlfn.XLOOKUP(T20,'HDB Recommender'!$P$10:$P$39,'HDB Recommender'!$Q$10:$Q$39,"&gt;30mins",1)</f>
        <v>7</v>
      </c>
      <c r="X20" s="20">
        <f>_xlfn.XLOOKUP(U20,'HDB Recommender'!$P$10:$P$39,'HDB Recommender'!$Q$10:$Q$39,"&gt;30mins",1)</f>
        <v>9</v>
      </c>
      <c r="Y20" s="20">
        <f>_xlfn.XLOOKUP(V20,'HDB Recommender'!$P$10:$P$39,'HDB Recommender'!$Q$10:$Q$39,"&gt;30mins",1)</f>
        <v>4</v>
      </c>
      <c r="Z20" s="39">
        <f t="shared" si="0"/>
        <v>6.666666666666667</v>
      </c>
      <c r="AA20" s="20" t="str">
        <f t="shared" si="1"/>
        <v>Within 1km</v>
      </c>
    </row>
    <row r="21" spans="2:27" hidden="1">
      <c r="B21" s="35" t="s">
        <v>317</v>
      </c>
      <c r="C21" s="35" t="s">
        <v>18</v>
      </c>
      <c r="D21" s="35" t="s">
        <v>341</v>
      </c>
      <c r="E21" s="35">
        <v>350</v>
      </c>
      <c r="F21" s="35" t="s">
        <v>348</v>
      </c>
      <c r="G21" s="35" t="s">
        <v>349</v>
      </c>
      <c r="H21" s="35">
        <v>110</v>
      </c>
      <c r="I21" s="35" t="s">
        <v>326</v>
      </c>
      <c r="J21" s="36">
        <v>2001</v>
      </c>
      <c r="K21" s="39">
        <v>77.25</v>
      </c>
      <c r="L21" s="37">
        <v>750000</v>
      </c>
      <c r="M21" s="35" t="s">
        <v>350</v>
      </c>
      <c r="N21" s="27">
        <v>560350</v>
      </c>
      <c r="O21" s="38">
        <v>1.3637131176306301</v>
      </c>
      <c r="P21" s="38">
        <v>103.85004423187701</v>
      </c>
      <c r="Q21" s="38" t="str" cm="1">
        <f t="array" ref="Q21">INDEX('MRT station dataset'!$C$3:$C$179, MATCH(MIN(SQRT(('MRT station dataset'!$E$3:$E$179-'Resale flat dataset'!O21)^2+('MRT station dataset'!$F$3:$F$179-'Resale flat dataset'!P21)^2)), SQRT(('MRT station dataset'!$E$3:$E$179-'Resale flat dataset'!O21)^2+('MRT station dataset'!$F$3:$F$179-'Resale flat dataset'!P21)^2), 0))</f>
        <v>ANG MO KIO MRT STATION</v>
      </c>
      <c r="R21" s="38" t="str" cm="1">
        <f t="array" ref="R21">INDEX('Mall Dataset'!$B$3:$B$157, MATCH(MIN(SQRT(('Mall Dataset'!$E$3:$E$157-'Resale flat dataset'!O21)^2+('Mall Dataset'!$F$3:$F$157-'Resale flat dataset'!P21)^2)), SQRT(('Mall Dataset'!$E$3:$E$157-'Resale flat dataset'!O21)^2+('Mall Dataset'!$F$3:$F$157-'Resale flat dataset'!P21)^2), 0))</f>
        <v>AMK Hub</v>
      </c>
      <c r="S21" s="38" t="str" cm="1">
        <f t="array" ref="S21">INDEX('Schools dataset'!$B$3:$B$187, MATCH(MIN(SQRT(('Schools dataset'!$J$3:$J$187-'Resale flat dataset'!O21)^2+('Schools dataset'!$K$3:$K$187-'Resale flat dataset'!P21)^2)), SQRT(('Schools dataset'!$J$3:$J$187-'Resale flat dataset'!O21)^2+('Schools dataset'!$K$3:$K$187-'Resale flat dataset'!P21)^2), 0))</f>
        <v>TECK GHEE PRIMARY SCHOOL</v>
      </c>
      <c r="T21" s="39">
        <f>ACOS(COS(RADIANS(90-O21))*COS(RADIANS(90-_xlfn.XLOOKUP(Q21,'MRT station dataset'!$C$3:$C$179,'MRT station dataset'!$E$3:$E$179)))+SIN(RADIANS(90-O21))*SIN(RADIANS(90-_xlfn.XLOOKUP(Q21,'MRT station dataset'!$C$3:$C$179,'MRT station dataset'!$E$3:$E$179)))*COS(RADIANS(P21-_xlfn.XLOOKUP('Resale flat dataset'!Q21,'MRT station dataset'!$C$3:$C$179,'MRT station dataset'!$F$3:$F$179))))*6371*1000</f>
        <v>621.43984742199439</v>
      </c>
      <c r="U21" s="39">
        <f>ACOS(COS(RADIANS(90-O21))*COS(RADIANS(90-_xlfn.XLOOKUP(R21,'Mall Dataset'!$B$3:$B$157,'Mall Dataset'!$E$3:$E$157,,0)))+SIN(RADIANS(90-O21))*SIN(RADIANS(90-_xlfn.XLOOKUP(R21,'Mall Dataset'!$B$3:$B$157,'Mall Dataset'!$E$3:$E$157,,0)))*COS(RADIANS(P21-_xlfn.XLOOKUP(R21,'Mall Dataset'!$B$3:$B$157,'Mall Dataset'!$F$3:$F$157,,0))))*6371*1000</f>
        <v>640.78833174888655</v>
      </c>
      <c r="V21" s="39">
        <f>ACOS(COS(RADIANS(90-O21))*COS(RADIANS(90-_xlfn.XLOOKUP(S21,'Schools dataset'!$B$3:$B$187,'Schools dataset'!$J$3:$J$187,,0)))+SIN(RADIANS(90-O21))*SIN(RADIANS(90-_xlfn.XLOOKUP(S21,'Schools dataset'!$B$3:$B$187,'Schools dataset'!$J$3:$J$187,,0)))*COS(RADIANS(P21-_xlfn.XLOOKUP(S21,'Schools dataset'!$B$3:$B$187,'Schools dataset'!$K$3:$K$187,,0))))*6371*1000</f>
        <v>240.65485723457058</v>
      </c>
      <c r="W21" s="20">
        <f>_xlfn.XLOOKUP(T21,'HDB Recommender'!$P$10:$P$39,'HDB Recommender'!$Q$10:$Q$39,"&gt;30mins",1)</f>
        <v>9</v>
      </c>
      <c r="X21" s="20">
        <f>_xlfn.XLOOKUP(U21,'HDB Recommender'!$P$10:$P$39,'HDB Recommender'!$Q$10:$Q$39,"&gt;30mins",1)</f>
        <v>9</v>
      </c>
      <c r="Y21" s="20">
        <f>_xlfn.XLOOKUP(V21,'HDB Recommender'!$P$10:$P$39,'HDB Recommender'!$Q$10:$Q$39,"&gt;30mins",1)</f>
        <v>4</v>
      </c>
      <c r="Z21" s="39">
        <f t="shared" si="0"/>
        <v>7.333333333333333</v>
      </c>
      <c r="AA21" s="20" t="str">
        <f t="shared" si="1"/>
        <v>Within 1km</v>
      </c>
    </row>
    <row r="22" spans="2:27" hidden="1">
      <c r="B22" s="35" t="s">
        <v>317</v>
      </c>
      <c r="C22" s="35" t="s">
        <v>351</v>
      </c>
      <c r="D22" s="35" t="s">
        <v>318</v>
      </c>
      <c r="E22" s="35">
        <v>115</v>
      </c>
      <c r="F22" s="35" t="s">
        <v>352</v>
      </c>
      <c r="G22" s="35" t="s">
        <v>191</v>
      </c>
      <c r="H22" s="35">
        <v>73</v>
      </c>
      <c r="I22" s="35" t="s">
        <v>320</v>
      </c>
      <c r="J22" s="36">
        <v>1978</v>
      </c>
      <c r="K22" s="39">
        <v>53.6666666666666</v>
      </c>
      <c r="L22" s="37">
        <v>390000</v>
      </c>
      <c r="M22" s="35" t="s">
        <v>353</v>
      </c>
      <c r="N22" s="27">
        <v>460115</v>
      </c>
      <c r="O22" s="38">
        <v>1.33143368026417</v>
      </c>
      <c r="P22" s="38">
        <v>103.936865404278</v>
      </c>
      <c r="Q22" s="38" t="str" cm="1">
        <f t="array" ref="Q22">INDEX('MRT station dataset'!$C$3:$C$179, MATCH(MIN(SQRT(('MRT station dataset'!$E$3:$E$179-'Resale flat dataset'!O22)^2+('MRT station dataset'!$F$3:$F$179-'Resale flat dataset'!P22)^2)), SQRT(('MRT station dataset'!$E$3:$E$179-'Resale flat dataset'!O22)^2+('MRT station dataset'!$F$3:$F$179-'Resale flat dataset'!P22)^2), 0))</f>
        <v>BEDOK RESERVOIR MRT STATION</v>
      </c>
      <c r="R22" s="38" t="str" cm="1">
        <f t="array" ref="R22">INDEX('Mall Dataset'!$B$3:$B$157, MATCH(MIN(SQRT(('Mall Dataset'!$E$3:$E$157-'Resale flat dataset'!O22)^2+('Mall Dataset'!$F$3:$F$157-'Resale flat dataset'!P22)^2)), SQRT(('Mall Dataset'!$E$3:$E$157-'Resale flat dataset'!O22)^2+('Mall Dataset'!$F$3:$F$157-'Resale flat dataset'!P22)^2), 0))</f>
        <v>Djitsun Mall Bedok</v>
      </c>
      <c r="S22" s="38" t="str" cm="1">
        <f t="array" ref="S22">INDEX('Schools dataset'!$B$3:$B$187, MATCH(MIN(SQRT(('Schools dataset'!$J$3:$J$187-'Resale flat dataset'!O22)^2+('Schools dataset'!$K$3:$K$187-'Resale flat dataset'!P22)^2)), SQRT(('Schools dataset'!$J$3:$J$187-'Resale flat dataset'!O22)^2+('Schools dataset'!$K$3:$K$187-'Resale flat dataset'!P22)^2), 0))</f>
        <v>RED SWASTIKA SCHOOL</v>
      </c>
      <c r="T22" s="39">
        <f>ACOS(COS(RADIANS(90-O22))*COS(RADIANS(90-_xlfn.XLOOKUP(Q22,'MRT station dataset'!$C$3:$C$179,'MRT station dataset'!$E$3:$E$179)))+SIN(RADIANS(90-O22))*SIN(RADIANS(90-_xlfn.XLOOKUP(Q22,'MRT station dataset'!$C$3:$C$179,'MRT station dataset'!$E$3:$E$179)))*COS(RADIANS(P22-_xlfn.XLOOKUP('Resale flat dataset'!Q22,'MRT station dataset'!$C$3:$C$179,'MRT station dataset'!$F$3:$F$179))))*6371*1000</f>
        <v>773.94432398505876</v>
      </c>
      <c r="U22" s="39">
        <f>ACOS(COS(RADIANS(90-O22))*COS(RADIANS(90-_xlfn.XLOOKUP(R22,'Mall Dataset'!$B$3:$B$157,'Mall Dataset'!$E$3:$E$157,,0)))+SIN(RADIANS(90-O22))*SIN(RADIANS(90-_xlfn.XLOOKUP(R22,'Mall Dataset'!$B$3:$B$157,'Mall Dataset'!$E$3:$E$157,,0)))*COS(RADIANS(P22-_xlfn.XLOOKUP(R22,'Mall Dataset'!$B$3:$B$157,'Mall Dataset'!$F$3:$F$157,,0))))*6371*1000</f>
        <v>1248.6904901627497</v>
      </c>
      <c r="V22" s="39">
        <f>ACOS(COS(RADIANS(90-O22))*COS(RADIANS(90-_xlfn.XLOOKUP(S22,'Schools dataset'!$B$3:$B$187,'Schools dataset'!$J$3:$J$187,,0)))+SIN(RADIANS(90-O22))*SIN(RADIANS(90-_xlfn.XLOOKUP(S22,'Schools dataset'!$B$3:$B$187,'Schools dataset'!$J$3:$J$187,,0)))*COS(RADIANS(P22-_xlfn.XLOOKUP(S22,'Schools dataset'!$B$3:$B$187,'Schools dataset'!$K$3:$K$187,,0))))*6371*1000</f>
        <v>406.5515988833186</v>
      </c>
      <c r="W22" s="20">
        <f>_xlfn.XLOOKUP(T22,'HDB Recommender'!$P$10:$P$39,'HDB Recommender'!$Q$10:$Q$39,"&gt;30mins",1)</f>
        <v>11</v>
      </c>
      <c r="X22" s="20">
        <f>_xlfn.XLOOKUP(U22,'HDB Recommender'!$P$10:$P$39,'HDB Recommender'!$Q$10:$Q$39,"&gt;30mins",1)</f>
        <v>17</v>
      </c>
      <c r="Y22" s="20">
        <f>_xlfn.XLOOKUP(V22,'HDB Recommender'!$P$10:$P$39,'HDB Recommender'!$Q$10:$Q$39,"&gt;30mins",1)</f>
        <v>6</v>
      </c>
      <c r="Z22" s="39">
        <f t="shared" si="0"/>
        <v>11.333333333333334</v>
      </c>
      <c r="AA22" s="20" t="str">
        <f t="shared" si="1"/>
        <v>Within 1km</v>
      </c>
    </row>
    <row r="23" spans="2:27" hidden="1">
      <c r="B23" s="35" t="s">
        <v>317</v>
      </c>
      <c r="C23" s="35" t="s">
        <v>351</v>
      </c>
      <c r="D23" s="35" t="s">
        <v>318</v>
      </c>
      <c r="E23" s="35">
        <v>217</v>
      </c>
      <c r="F23" s="35" t="s">
        <v>354</v>
      </c>
      <c r="G23" s="35" t="s">
        <v>349</v>
      </c>
      <c r="H23" s="35">
        <v>68</v>
      </c>
      <c r="I23" s="35" t="s">
        <v>320</v>
      </c>
      <c r="J23" s="36">
        <v>1979</v>
      </c>
      <c r="K23" s="39">
        <v>55.0833333333333</v>
      </c>
      <c r="L23" s="37">
        <v>380000</v>
      </c>
      <c r="M23" s="35" t="s">
        <v>355</v>
      </c>
      <c r="N23" s="27">
        <v>460217</v>
      </c>
      <c r="O23" s="38">
        <v>1.3268372172142699</v>
      </c>
      <c r="P23" s="38">
        <v>103.93392071271801</v>
      </c>
      <c r="Q23" s="38" t="str" cm="1">
        <f t="array" ref="Q23">INDEX('MRT station dataset'!$C$3:$C$179, MATCH(MIN(SQRT(('MRT station dataset'!$E$3:$E$179-'Resale flat dataset'!O23)^2+('MRT station dataset'!$F$3:$F$179-'Resale flat dataset'!P23)^2)), SQRT(('MRT station dataset'!$E$3:$E$179-'Resale flat dataset'!O23)^2+('MRT station dataset'!$F$3:$F$179-'Resale flat dataset'!P23)^2), 0))</f>
        <v>BEDOK MRT STATION</v>
      </c>
      <c r="R23" s="38" t="str" cm="1">
        <f t="array" ref="R23">INDEX('Mall Dataset'!$B$3:$B$157, MATCH(MIN(SQRT(('Mall Dataset'!$E$3:$E$157-'Resale flat dataset'!O23)^2+('Mall Dataset'!$F$3:$F$157-'Resale flat dataset'!P23)^2)), SQRT(('Mall Dataset'!$E$3:$E$157-'Resale flat dataset'!O23)^2+('Mall Dataset'!$F$3:$F$157-'Resale flat dataset'!P23)^2), 0))</f>
        <v>Djitsun Mall Bedok</v>
      </c>
      <c r="S23" s="38" t="str" cm="1">
        <f t="array" ref="S23">INDEX('Schools dataset'!$B$3:$B$187, MATCH(MIN(SQRT(('Schools dataset'!$J$3:$J$187-'Resale flat dataset'!O23)^2+('Schools dataset'!$K$3:$K$187-'Resale flat dataset'!P23)^2)), SQRT(('Schools dataset'!$J$3:$J$187-'Resale flat dataset'!O23)^2+('Schools dataset'!$K$3:$K$187-'Resale flat dataset'!P23)^2), 0))</f>
        <v>FENGSHAN PRIMARY SCHOOL</v>
      </c>
      <c r="T23" s="39">
        <f>ACOS(COS(RADIANS(90-O23))*COS(RADIANS(90-_xlfn.XLOOKUP(Q23,'MRT station dataset'!$C$3:$C$179,'MRT station dataset'!$E$3:$E$179)))+SIN(RADIANS(90-O23))*SIN(RADIANS(90-_xlfn.XLOOKUP(Q23,'MRT station dataset'!$C$3:$C$179,'MRT station dataset'!$E$3:$E$179)))*COS(RADIANS(P23-_xlfn.XLOOKUP('Resale flat dataset'!Q23,'MRT station dataset'!$C$3:$C$179,'MRT station dataset'!$F$3:$F$179))))*6371*1000</f>
        <v>538.04518788266887</v>
      </c>
      <c r="U23" s="39">
        <f>ACOS(COS(RADIANS(90-O23))*COS(RADIANS(90-_xlfn.XLOOKUP(R23,'Mall Dataset'!$B$3:$B$157,'Mall Dataset'!$E$3:$E$157,,0)))+SIN(RADIANS(90-O23))*SIN(RADIANS(90-_xlfn.XLOOKUP(R23,'Mall Dataset'!$B$3:$B$157,'Mall Dataset'!$E$3:$E$157,,0)))*COS(RADIANS(P23-_xlfn.XLOOKUP(R23,'Mall Dataset'!$B$3:$B$157,'Mall Dataset'!$F$3:$F$157,,0))))*6371*1000</f>
        <v>777.16322492055622</v>
      </c>
      <c r="V23" s="39">
        <f>ACOS(COS(RADIANS(90-O23))*COS(RADIANS(90-_xlfn.XLOOKUP(S23,'Schools dataset'!$B$3:$B$187,'Schools dataset'!$J$3:$J$187,,0)))+SIN(RADIANS(90-O23))*SIN(RADIANS(90-_xlfn.XLOOKUP(S23,'Schools dataset'!$B$3:$B$187,'Schools dataset'!$J$3:$J$187,,0)))*COS(RADIANS(P23-_xlfn.XLOOKUP(S23,'Schools dataset'!$B$3:$B$187,'Schools dataset'!$K$3:$K$187,,0))))*6371*1000</f>
        <v>402.12517983255134</v>
      </c>
      <c r="W23" s="20">
        <f>_xlfn.XLOOKUP(T23,'HDB Recommender'!$P$10:$P$39,'HDB Recommender'!$Q$10:$Q$39,"&gt;30mins",1)</f>
        <v>8</v>
      </c>
      <c r="X23" s="20">
        <f>_xlfn.XLOOKUP(U23,'HDB Recommender'!$P$10:$P$39,'HDB Recommender'!$Q$10:$Q$39,"&gt;30mins",1)</f>
        <v>11</v>
      </c>
      <c r="Y23" s="20">
        <f>_xlfn.XLOOKUP(V23,'HDB Recommender'!$P$10:$P$39,'HDB Recommender'!$Q$10:$Q$39,"&gt;30mins",1)</f>
        <v>6</v>
      </c>
      <c r="Z23" s="39">
        <f t="shared" si="0"/>
        <v>8.3333333333333339</v>
      </c>
      <c r="AA23" s="20" t="str">
        <f t="shared" si="1"/>
        <v>Within 1km</v>
      </c>
    </row>
    <row r="24" spans="2:27" hidden="1">
      <c r="B24" s="35" t="s">
        <v>317</v>
      </c>
      <c r="C24" s="35" t="s">
        <v>351</v>
      </c>
      <c r="D24" s="35" t="s">
        <v>318</v>
      </c>
      <c r="E24" s="35">
        <v>134</v>
      </c>
      <c r="F24" s="35" t="s">
        <v>356</v>
      </c>
      <c r="G24" s="35" t="s">
        <v>349</v>
      </c>
      <c r="H24" s="35">
        <v>67</v>
      </c>
      <c r="I24" s="35" t="s">
        <v>320</v>
      </c>
      <c r="J24" s="36">
        <v>1978</v>
      </c>
      <c r="K24" s="39">
        <v>53.6666666666666</v>
      </c>
      <c r="L24" s="37">
        <v>350000</v>
      </c>
      <c r="M24" s="35" t="s">
        <v>357</v>
      </c>
      <c r="N24" s="27">
        <v>460134</v>
      </c>
      <c r="O24" s="38">
        <v>1.3283213331325501</v>
      </c>
      <c r="P24" s="38">
        <v>103.93658216345</v>
      </c>
      <c r="Q24" s="38" t="str" cm="1">
        <f t="array" ref="Q24">INDEX('MRT station dataset'!$C$3:$C$179, MATCH(MIN(SQRT(('MRT station dataset'!$E$3:$E$179-'Resale flat dataset'!O24)^2+('MRT station dataset'!$F$3:$F$179-'Resale flat dataset'!P24)^2)), SQRT(('MRT station dataset'!$E$3:$E$179-'Resale flat dataset'!O24)^2+('MRT station dataset'!$F$3:$F$179-'Resale flat dataset'!P24)^2), 0))</f>
        <v>BEDOK MRT STATION</v>
      </c>
      <c r="R24" s="38" t="str" cm="1">
        <f t="array" ref="R24">INDEX('Mall Dataset'!$B$3:$B$157, MATCH(MIN(SQRT(('Mall Dataset'!$E$3:$E$157-'Resale flat dataset'!O24)^2+('Mall Dataset'!$F$3:$F$157-'Resale flat dataset'!P24)^2)), SQRT(('Mall Dataset'!$E$3:$E$157-'Resale flat dataset'!O24)^2+('Mall Dataset'!$F$3:$F$157-'Resale flat dataset'!P24)^2), 0))</f>
        <v>Djitsun Mall Bedok</v>
      </c>
      <c r="S24" s="38" t="str" cm="1">
        <f t="array" ref="S24">INDEX('Schools dataset'!$B$3:$B$187, MATCH(MIN(SQRT(('Schools dataset'!$J$3:$J$187-'Resale flat dataset'!O24)^2+('Schools dataset'!$K$3:$K$187-'Resale flat dataset'!P24)^2)), SQRT(('Schools dataset'!$J$3:$J$187-'Resale flat dataset'!O24)^2+('Schools dataset'!$K$3:$K$187-'Resale flat dataset'!P24)^2), 0))</f>
        <v>FENGSHAN PRIMARY SCHOOL</v>
      </c>
      <c r="T24" s="39">
        <f>ACOS(COS(RADIANS(90-O24))*COS(RADIANS(90-_xlfn.XLOOKUP(Q24,'MRT station dataset'!$C$3:$C$179,'MRT station dataset'!$E$3:$E$179)))+SIN(RADIANS(90-O24))*SIN(RADIANS(90-_xlfn.XLOOKUP(Q24,'MRT station dataset'!$C$3:$C$179,'MRT station dataset'!$E$3:$E$179)))*COS(RADIANS(P24-_xlfn.XLOOKUP('Resale flat dataset'!Q24,'MRT station dataset'!$C$3:$C$179,'MRT station dataset'!$F$3:$F$179))))*6371*1000</f>
        <v>875.37734916499346</v>
      </c>
      <c r="U24" s="39">
        <f>ACOS(COS(RADIANS(90-O24))*COS(RADIANS(90-_xlfn.XLOOKUP(R24,'Mall Dataset'!$B$3:$B$157,'Mall Dataset'!$E$3:$E$157,,0)))+SIN(RADIANS(90-O24))*SIN(RADIANS(90-_xlfn.XLOOKUP(R24,'Mall Dataset'!$B$3:$B$157,'Mall Dataset'!$E$3:$E$157,,0)))*COS(RADIANS(P24-_xlfn.XLOOKUP(R24,'Mall Dataset'!$B$3:$B$157,'Mall Dataset'!$F$3:$F$157,,0))))*6371*1000</f>
        <v>1096.4891922376983</v>
      </c>
      <c r="V24" s="39">
        <f>ACOS(COS(RADIANS(90-O24))*COS(RADIANS(90-_xlfn.XLOOKUP(S24,'Schools dataset'!$B$3:$B$187,'Schools dataset'!$J$3:$J$187,,0)))+SIN(RADIANS(90-O24))*SIN(RADIANS(90-_xlfn.XLOOKUP(S24,'Schools dataset'!$B$3:$B$187,'Schools dataset'!$J$3:$J$187,,0)))*COS(RADIANS(P24-_xlfn.XLOOKUP(S24,'Schools dataset'!$B$3:$B$187,'Schools dataset'!$K$3:$K$187,,0))))*6371*1000</f>
        <v>553.35252558609136</v>
      </c>
      <c r="W24" s="20">
        <f>_xlfn.XLOOKUP(T24,'HDB Recommender'!$P$10:$P$39,'HDB Recommender'!$Q$10:$Q$39,"&gt;30mins",1)</f>
        <v>12</v>
      </c>
      <c r="X24" s="20">
        <f>_xlfn.XLOOKUP(U24,'HDB Recommender'!$P$10:$P$39,'HDB Recommender'!$Q$10:$Q$39,"&gt;30mins",1)</f>
        <v>15</v>
      </c>
      <c r="Y24" s="20">
        <f>_xlfn.XLOOKUP(V24,'HDB Recommender'!$P$10:$P$39,'HDB Recommender'!$Q$10:$Q$39,"&gt;30mins",1)</f>
        <v>8</v>
      </c>
      <c r="Z24" s="39">
        <f t="shared" si="0"/>
        <v>11.666666666666666</v>
      </c>
      <c r="AA24" s="20" t="str">
        <f t="shared" si="1"/>
        <v>Within 1km</v>
      </c>
    </row>
    <row r="25" spans="2:27" hidden="1">
      <c r="B25" s="35" t="s">
        <v>317</v>
      </c>
      <c r="C25" s="35" t="s">
        <v>351</v>
      </c>
      <c r="D25" s="35" t="s">
        <v>318</v>
      </c>
      <c r="E25" s="35">
        <v>529</v>
      </c>
      <c r="F25" s="35" t="s">
        <v>358</v>
      </c>
      <c r="G25" s="35" t="s">
        <v>184</v>
      </c>
      <c r="H25" s="35">
        <v>68</v>
      </c>
      <c r="I25" s="35" t="s">
        <v>320</v>
      </c>
      <c r="J25" s="36">
        <v>1979</v>
      </c>
      <c r="K25" s="39">
        <v>54.9166666666666</v>
      </c>
      <c r="L25" s="37">
        <v>368000</v>
      </c>
      <c r="M25" s="35" t="s">
        <v>359</v>
      </c>
      <c r="N25" s="27">
        <v>460529</v>
      </c>
      <c r="O25" s="38">
        <v>1.3342694614427499</v>
      </c>
      <c r="P25" s="38">
        <v>103.92654228460199</v>
      </c>
      <c r="Q25" s="38" t="str" cm="1">
        <f t="array" ref="Q25">INDEX('MRT station dataset'!$C$3:$C$179, MATCH(MIN(SQRT(('MRT station dataset'!$E$3:$E$179-'Resale flat dataset'!O25)^2+('MRT station dataset'!$F$3:$F$179-'Resale flat dataset'!P25)^2)), SQRT(('MRT station dataset'!$E$3:$E$179-'Resale flat dataset'!O25)^2+('MRT station dataset'!$F$3:$F$179-'Resale flat dataset'!P25)^2), 0))</f>
        <v>BEDOK RESERVOIR MRT STATION</v>
      </c>
      <c r="R25" s="38" t="str" cm="1">
        <f t="array" ref="R25">INDEX('Mall Dataset'!$B$3:$B$157, MATCH(MIN(SQRT(('Mall Dataset'!$E$3:$E$157-'Resale flat dataset'!O25)^2+('Mall Dataset'!$F$3:$F$157-'Resale flat dataset'!P25)^2)), SQRT(('Mall Dataset'!$E$3:$E$157-'Resale flat dataset'!O25)^2+('Mall Dataset'!$F$3:$F$157-'Resale flat dataset'!P25)^2), 0))</f>
        <v>Djitsun Mall Bedok</v>
      </c>
      <c r="S25" s="38" t="str" cm="1">
        <f t="array" ref="S25">INDEX('Schools dataset'!$B$3:$B$187, MATCH(MIN(SQRT(('Schools dataset'!$J$3:$J$187-'Resale flat dataset'!O25)^2+('Schools dataset'!$K$3:$K$187-'Resale flat dataset'!P25)^2)), SQRT(('Schools dataset'!$J$3:$J$187-'Resale flat dataset'!O25)^2+('Schools dataset'!$K$3:$K$187-'Resale flat dataset'!P25)^2), 0))</f>
        <v>DAMAI PRIMARY SCHOOL</v>
      </c>
      <c r="T25" s="39">
        <f>ACOS(COS(RADIANS(90-O25))*COS(RADIANS(90-_xlfn.XLOOKUP(Q25,'MRT station dataset'!$C$3:$C$179,'MRT station dataset'!$E$3:$E$179)))+SIN(RADIANS(90-O25))*SIN(RADIANS(90-_xlfn.XLOOKUP(Q25,'MRT station dataset'!$C$3:$C$179,'MRT station dataset'!$E$3:$E$179)))*COS(RADIANS(P25-_xlfn.XLOOKUP('Resale flat dataset'!Q25,'MRT station dataset'!$C$3:$C$179,'MRT station dataset'!$F$3:$F$179))))*6371*1000</f>
        <v>680.23460374650836</v>
      </c>
      <c r="U25" s="39">
        <f>ACOS(COS(RADIANS(90-O25))*COS(RADIANS(90-_xlfn.XLOOKUP(R25,'Mall Dataset'!$B$3:$B$157,'Mall Dataset'!$E$3:$E$157,,0)))+SIN(RADIANS(90-O25))*SIN(RADIANS(90-_xlfn.XLOOKUP(R25,'Mall Dataset'!$B$3:$B$157,'Mall Dataset'!$E$3:$E$157,,0)))*COS(RADIANS(P25-_xlfn.XLOOKUP(R25,'Mall Dataset'!$B$3:$B$157,'Mall Dataset'!$F$3:$F$157,,0))))*6371*1000</f>
        <v>906.59032881747009</v>
      </c>
      <c r="V25" s="39">
        <f>ACOS(COS(RADIANS(90-O25))*COS(RADIANS(90-_xlfn.XLOOKUP(S25,'Schools dataset'!$B$3:$B$187,'Schools dataset'!$J$3:$J$187,,0)))+SIN(RADIANS(90-O25))*SIN(RADIANS(90-_xlfn.XLOOKUP(S25,'Schools dataset'!$B$3:$B$187,'Schools dataset'!$J$3:$J$187,,0)))*COS(RADIANS(P25-_xlfn.XLOOKUP(S25,'Schools dataset'!$B$3:$B$187,'Schools dataset'!$K$3:$K$187,,0))))*6371*1000</f>
        <v>594.27052596429951</v>
      </c>
      <c r="W25" s="20">
        <f>_xlfn.XLOOKUP(T25,'HDB Recommender'!$P$10:$P$39,'HDB Recommender'!$Q$10:$Q$39,"&gt;30mins",1)</f>
        <v>10</v>
      </c>
      <c r="X25" s="20">
        <f>_xlfn.XLOOKUP(U25,'HDB Recommender'!$P$10:$P$39,'HDB Recommender'!$Q$10:$Q$39,"&gt;30mins",1)</f>
        <v>13</v>
      </c>
      <c r="Y25" s="20">
        <f>_xlfn.XLOOKUP(V25,'HDB Recommender'!$P$10:$P$39,'HDB Recommender'!$Q$10:$Q$39,"&gt;30mins",1)</f>
        <v>8</v>
      </c>
      <c r="Z25" s="39">
        <f t="shared" si="0"/>
        <v>10.333333333333334</v>
      </c>
      <c r="AA25" s="20" t="str">
        <f t="shared" si="1"/>
        <v>Within 1km</v>
      </c>
    </row>
    <row r="26" spans="2:27" hidden="1">
      <c r="B26" s="35" t="s">
        <v>317</v>
      </c>
      <c r="C26" s="35" t="s">
        <v>351</v>
      </c>
      <c r="D26" s="35" t="s">
        <v>318</v>
      </c>
      <c r="E26" s="35">
        <v>501</v>
      </c>
      <c r="F26" s="35" t="s">
        <v>358</v>
      </c>
      <c r="G26" s="35" t="s">
        <v>184</v>
      </c>
      <c r="H26" s="35">
        <v>59</v>
      </c>
      <c r="I26" s="35" t="s">
        <v>326</v>
      </c>
      <c r="J26" s="36">
        <v>1978</v>
      </c>
      <c r="K26" s="39">
        <v>53.5833333333333</v>
      </c>
      <c r="L26" s="37">
        <v>365000</v>
      </c>
      <c r="M26" s="35" t="s">
        <v>360</v>
      </c>
      <c r="N26" s="27">
        <v>460501</v>
      </c>
      <c r="O26" s="38">
        <v>1.33164071248973</v>
      </c>
      <c r="P26" s="38">
        <v>103.931167665142</v>
      </c>
      <c r="Q26" s="38" t="str" cm="1">
        <f t="array" ref="Q26">INDEX('MRT station dataset'!$C$3:$C$179, MATCH(MIN(SQRT(('MRT station dataset'!$E$3:$E$179-'Resale flat dataset'!O26)^2+('MRT station dataset'!$F$3:$F$179-'Resale flat dataset'!P26)^2)), SQRT(('MRT station dataset'!$E$3:$E$179-'Resale flat dataset'!O26)^2+('MRT station dataset'!$F$3:$F$179-'Resale flat dataset'!P26)^2), 0))</f>
        <v>BEDOK RESERVOIR MRT STATION</v>
      </c>
      <c r="R26" s="38" t="str" cm="1">
        <f t="array" ref="R26">INDEX('Mall Dataset'!$B$3:$B$157, MATCH(MIN(SQRT(('Mall Dataset'!$E$3:$E$157-'Resale flat dataset'!O26)^2+('Mall Dataset'!$F$3:$F$157-'Resale flat dataset'!P26)^2)), SQRT(('Mall Dataset'!$E$3:$E$157-'Resale flat dataset'!O26)^2+('Mall Dataset'!$F$3:$F$157-'Resale flat dataset'!P26)^2), 0))</f>
        <v>Djitsun Mall Bedok</v>
      </c>
      <c r="S26" s="38" t="str" cm="1">
        <f t="array" ref="S26">INDEX('Schools dataset'!$B$3:$B$187, MATCH(MIN(SQRT(('Schools dataset'!$J$3:$J$187-'Resale flat dataset'!O26)^2+('Schools dataset'!$K$3:$K$187-'Resale flat dataset'!P26)^2)), SQRT(('Schools dataset'!$J$3:$J$187-'Resale flat dataset'!O26)^2+('Schools dataset'!$K$3:$K$187-'Resale flat dataset'!P26)^2), 0))</f>
        <v>FENGSHAN PRIMARY SCHOOL</v>
      </c>
      <c r="T26" s="39">
        <f>ACOS(COS(RADIANS(90-O26))*COS(RADIANS(90-_xlfn.XLOOKUP(Q26,'MRT station dataset'!$C$3:$C$179,'MRT station dataset'!$E$3:$E$179)))+SIN(RADIANS(90-O26))*SIN(RADIANS(90-_xlfn.XLOOKUP(Q26,'MRT station dataset'!$C$3:$C$179,'MRT station dataset'!$E$3:$E$179)))*COS(RADIANS(P26-_xlfn.XLOOKUP('Resale flat dataset'!Q26,'MRT station dataset'!$C$3:$C$179,'MRT station dataset'!$F$3:$F$179))))*6371*1000</f>
        <v>563.26205975048799</v>
      </c>
      <c r="U26" s="39">
        <f>ACOS(COS(RADIANS(90-O26))*COS(RADIANS(90-_xlfn.XLOOKUP(R26,'Mall Dataset'!$B$3:$B$157,'Mall Dataset'!$E$3:$E$157,,0)))+SIN(RADIANS(90-O26))*SIN(RADIANS(90-_xlfn.XLOOKUP(R26,'Mall Dataset'!$B$3:$B$157,'Mall Dataset'!$E$3:$E$157,,0)))*COS(RADIANS(P26-_xlfn.XLOOKUP(R26,'Mall Dataset'!$B$3:$B$157,'Mall Dataset'!$F$3:$F$157,,0))))*6371*1000</f>
        <v>770.73319196807529</v>
      </c>
      <c r="V26" s="39">
        <f>ACOS(COS(RADIANS(90-O26))*COS(RADIANS(90-_xlfn.XLOOKUP(S26,'Schools dataset'!$B$3:$B$187,'Schools dataset'!$J$3:$J$187,,0)))+SIN(RADIANS(90-O26))*SIN(RADIANS(90-_xlfn.XLOOKUP(S26,'Schools dataset'!$B$3:$B$187,'Schools dataset'!$J$3:$J$187,,0)))*COS(RADIANS(P26-_xlfn.XLOOKUP(S26,'Schools dataset'!$B$3:$B$187,'Schools dataset'!$K$3:$K$187,,0))))*6371*1000</f>
        <v>218.9372846113431</v>
      </c>
      <c r="W26" s="20">
        <f>_xlfn.XLOOKUP(T26,'HDB Recommender'!$P$10:$P$39,'HDB Recommender'!$Q$10:$Q$39,"&gt;30mins",1)</f>
        <v>8</v>
      </c>
      <c r="X26" s="20">
        <f>_xlfn.XLOOKUP(U26,'HDB Recommender'!$P$10:$P$39,'HDB Recommender'!$Q$10:$Q$39,"&gt;30mins",1)</f>
        <v>11</v>
      </c>
      <c r="Y26" s="20">
        <f>_xlfn.XLOOKUP(V26,'HDB Recommender'!$P$10:$P$39,'HDB Recommender'!$Q$10:$Q$39,"&gt;30mins",1)</f>
        <v>3</v>
      </c>
      <c r="Z26" s="39">
        <f t="shared" si="0"/>
        <v>7.333333333333333</v>
      </c>
      <c r="AA26" s="20" t="str">
        <f t="shared" si="1"/>
        <v>Within 1km</v>
      </c>
    </row>
    <row r="27" spans="2:27" hidden="1">
      <c r="B27" s="35" t="s">
        <v>317</v>
      </c>
      <c r="C27" s="35" t="s">
        <v>351</v>
      </c>
      <c r="D27" s="35" t="s">
        <v>318</v>
      </c>
      <c r="E27" s="35">
        <v>539</v>
      </c>
      <c r="F27" s="35" t="s">
        <v>358</v>
      </c>
      <c r="G27" s="35" t="s">
        <v>189</v>
      </c>
      <c r="H27" s="35">
        <v>68</v>
      </c>
      <c r="I27" s="35" t="s">
        <v>320</v>
      </c>
      <c r="J27" s="36">
        <v>1980</v>
      </c>
      <c r="K27" s="39">
        <v>55.3333333333333</v>
      </c>
      <c r="L27" s="37">
        <v>368000</v>
      </c>
      <c r="M27" s="35" t="s">
        <v>361</v>
      </c>
      <c r="N27" s="27">
        <v>460539</v>
      </c>
      <c r="O27" s="38">
        <v>1.33131111312379</v>
      </c>
      <c r="P27" s="38">
        <v>103.925307784513</v>
      </c>
      <c r="Q27" s="38" t="str" cm="1">
        <f t="array" ref="Q27">INDEX('MRT station dataset'!$C$3:$C$179, MATCH(MIN(SQRT(('MRT station dataset'!$E$3:$E$179-'Resale flat dataset'!O27)^2+('MRT station dataset'!$F$3:$F$179-'Resale flat dataset'!P27)^2)), SQRT(('MRT station dataset'!$E$3:$E$179-'Resale flat dataset'!O27)^2+('MRT station dataset'!$F$3:$F$179-'Resale flat dataset'!P27)^2), 0))</f>
        <v>BEDOK NORTH MRT STATION</v>
      </c>
      <c r="R27" s="38" t="str" cm="1">
        <f t="array" ref="R27">INDEX('Mall Dataset'!$B$3:$B$157, MATCH(MIN(SQRT(('Mall Dataset'!$E$3:$E$157-'Resale flat dataset'!O27)^2+('Mall Dataset'!$F$3:$F$157-'Resale flat dataset'!P27)^2)), SQRT(('Mall Dataset'!$E$3:$E$157-'Resale flat dataset'!O27)^2+('Mall Dataset'!$F$3:$F$157-'Resale flat dataset'!P27)^2), 0))</f>
        <v>Djitsun Mall Bedok</v>
      </c>
      <c r="S27" s="38" t="str" cm="1">
        <f t="array" ref="S27">INDEX('Schools dataset'!$B$3:$B$187, MATCH(MIN(SQRT(('Schools dataset'!$J$3:$J$187-'Resale flat dataset'!O27)^2+('Schools dataset'!$K$3:$K$187-'Resale flat dataset'!P27)^2)), SQRT(('Schools dataset'!$J$3:$J$187-'Resale flat dataset'!O27)^2+('Schools dataset'!$K$3:$K$187-'Resale flat dataset'!P27)^2), 0))</f>
        <v>DAMAI PRIMARY SCHOOL</v>
      </c>
      <c r="T27" s="39">
        <f>ACOS(COS(RADIANS(90-O27))*COS(RADIANS(90-_xlfn.XLOOKUP(Q27,'MRT station dataset'!$C$3:$C$179,'MRT station dataset'!$E$3:$E$179)))+SIN(RADIANS(90-O27))*SIN(RADIANS(90-_xlfn.XLOOKUP(Q27,'MRT station dataset'!$C$3:$C$179,'MRT station dataset'!$E$3:$E$179)))*COS(RADIANS(P27-_xlfn.XLOOKUP('Resale flat dataset'!Q27,'MRT station dataset'!$C$3:$C$179,'MRT station dataset'!$F$3:$F$179))))*6371*1000</f>
        <v>895.511829510967</v>
      </c>
      <c r="U27" s="39">
        <f>ACOS(COS(RADIANS(90-O27))*COS(RADIANS(90-_xlfn.XLOOKUP(R27,'Mall Dataset'!$B$3:$B$157,'Mall Dataset'!$E$3:$E$157,,0)))+SIN(RADIANS(90-O27))*SIN(RADIANS(90-_xlfn.XLOOKUP(R27,'Mall Dataset'!$B$3:$B$157,'Mall Dataset'!$E$3:$E$157,,0)))*COS(RADIANS(P27-_xlfn.XLOOKUP(R27,'Mall Dataset'!$B$3:$B$157,'Mall Dataset'!$F$3:$F$157,,0))))*6371*1000</f>
        <v>605.16458612116298</v>
      </c>
      <c r="V27" s="39">
        <f>ACOS(COS(RADIANS(90-O27))*COS(RADIANS(90-_xlfn.XLOOKUP(S27,'Schools dataset'!$B$3:$B$187,'Schools dataset'!$J$3:$J$187,,0)))+SIN(RADIANS(90-O27))*SIN(RADIANS(90-_xlfn.XLOOKUP(S27,'Schools dataset'!$B$3:$B$187,'Schools dataset'!$J$3:$J$187,,0)))*COS(RADIANS(P27-_xlfn.XLOOKUP(S27,'Schools dataset'!$B$3:$B$187,'Schools dataset'!$K$3:$K$187,,0))))*6371*1000</f>
        <v>625.52509811286393</v>
      </c>
      <c r="W27" s="20">
        <f>_xlfn.XLOOKUP(T27,'HDB Recommender'!$P$10:$P$39,'HDB Recommender'!$Q$10:$Q$39,"&gt;30mins",1)</f>
        <v>12</v>
      </c>
      <c r="X27" s="20">
        <f>_xlfn.XLOOKUP(U27,'HDB Recommender'!$P$10:$P$39,'HDB Recommender'!$Q$10:$Q$39,"&gt;30mins",1)</f>
        <v>9</v>
      </c>
      <c r="Y27" s="20">
        <f>_xlfn.XLOOKUP(V27,'HDB Recommender'!$P$10:$P$39,'HDB Recommender'!$Q$10:$Q$39,"&gt;30mins",1)</f>
        <v>9</v>
      </c>
      <c r="Z27" s="39">
        <f t="shared" si="0"/>
        <v>10</v>
      </c>
      <c r="AA27" s="20" t="str">
        <f t="shared" si="1"/>
        <v>Within 1km</v>
      </c>
    </row>
    <row r="28" spans="2:27" hidden="1">
      <c r="B28" s="35" t="s">
        <v>317</v>
      </c>
      <c r="C28" s="35" t="s">
        <v>351</v>
      </c>
      <c r="D28" s="35" t="s">
        <v>318</v>
      </c>
      <c r="E28" s="35"/>
      <c r="F28" s="35" t="s">
        <v>362</v>
      </c>
      <c r="G28" s="35" t="s">
        <v>191</v>
      </c>
      <c r="H28" s="35">
        <v>67</v>
      </c>
      <c r="I28" s="35" t="s">
        <v>363</v>
      </c>
      <c r="J28" s="36">
        <v>2014</v>
      </c>
      <c r="K28" s="39">
        <v>90</v>
      </c>
      <c r="L28" s="37">
        <v>620000</v>
      </c>
      <c r="M28" s="35" t="s">
        <v>364</v>
      </c>
      <c r="N28" s="27">
        <v>472748</v>
      </c>
      <c r="O28" s="38">
        <v>1.33629391354583</v>
      </c>
      <c r="P28" s="38">
        <v>103.921242294579</v>
      </c>
      <c r="Q28" s="38" t="str" cm="1">
        <f t="array" ref="Q28">INDEX('MRT station dataset'!$C$3:$C$179, MATCH(MIN(SQRT(('MRT station dataset'!$E$3:$E$179-'Resale flat dataset'!O28)^2+('MRT station dataset'!$F$3:$F$179-'Resale flat dataset'!P28)^2)), SQRT(('MRT station dataset'!$E$3:$E$179-'Resale flat dataset'!O28)^2+('MRT station dataset'!$F$3:$F$179-'Resale flat dataset'!P28)^2), 0))</f>
        <v>BEDOK NORTH MRT STATION</v>
      </c>
      <c r="R28" s="38" t="str" cm="1">
        <f t="array" ref="R28">INDEX('Mall Dataset'!$B$3:$B$157, MATCH(MIN(SQRT(('Mall Dataset'!$E$3:$E$157-'Resale flat dataset'!O28)^2+('Mall Dataset'!$F$3:$F$157-'Resale flat dataset'!P28)^2)), SQRT(('Mall Dataset'!$E$3:$E$157-'Resale flat dataset'!O28)^2+('Mall Dataset'!$F$3:$F$157-'Resale flat dataset'!P28)^2), 0))</f>
        <v>Djitsun Mall Bedok</v>
      </c>
      <c r="S28" s="38" t="str" cm="1">
        <f t="array" ref="S28">INDEX('Schools dataset'!$B$3:$B$187, MATCH(MIN(SQRT(('Schools dataset'!$J$3:$J$187-'Resale flat dataset'!O28)^2+('Schools dataset'!$K$3:$K$187-'Resale flat dataset'!P28)^2)), SQRT(('Schools dataset'!$J$3:$J$187-'Resale flat dataset'!O28)^2+('Schools dataset'!$K$3:$K$187-'Resale flat dataset'!P28)^2), 0))</f>
        <v>DAMAI PRIMARY SCHOOL</v>
      </c>
      <c r="T28" s="39">
        <f>ACOS(COS(RADIANS(90-O28))*COS(RADIANS(90-_xlfn.XLOOKUP(Q28,'MRT station dataset'!$C$3:$C$179,'MRT station dataset'!$E$3:$E$179)))+SIN(RADIANS(90-O28))*SIN(RADIANS(90-_xlfn.XLOOKUP(Q28,'MRT station dataset'!$C$3:$C$179,'MRT station dataset'!$E$3:$E$179)))*COS(RADIANS(P28-_xlfn.XLOOKUP('Resale flat dataset'!Q28,'MRT station dataset'!$C$3:$C$179,'MRT station dataset'!$F$3:$F$179))))*6371*1000</f>
        <v>401.64807782716537</v>
      </c>
      <c r="U28" s="39">
        <f>ACOS(COS(RADIANS(90-O28))*COS(RADIANS(90-_xlfn.XLOOKUP(R28,'Mall Dataset'!$B$3:$B$157,'Mall Dataset'!$E$3:$E$157,,0)))+SIN(RADIANS(90-O28))*SIN(RADIANS(90-_xlfn.XLOOKUP(R28,'Mall Dataset'!$B$3:$B$157,'Mall Dataset'!$E$3:$E$157,,0)))*COS(RADIANS(P28-_xlfn.XLOOKUP(R28,'Mall Dataset'!$B$3:$B$157,'Mall Dataset'!$F$3:$F$157,,0))))*6371*1000</f>
        <v>1297.2253096294553</v>
      </c>
      <c r="V28" s="39">
        <f>ACOS(COS(RADIANS(90-O28))*COS(RADIANS(90-_xlfn.XLOOKUP(S28,'Schools dataset'!$B$3:$B$187,'Schools dataset'!$J$3:$J$187,,0)))+SIN(RADIANS(90-O28))*SIN(RADIANS(90-_xlfn.XLOOKUP(S28,'Schools dataset'!$B$3:$B$187,'Schools dataset'!$J$3:$J$187,,0)))*COS(RADIANS(P28-_xlfn.XLOOKUP(S28,'Schools dataset'!$B$3:$B$187,'Schools dataset'!$K$3:$K$187,,0))))*6371*1000</f>
        <v>116.62282619082376</v>
      </c>
      <c r="W28" s="20">
        <f>_xlfn.XLOOKUP(T28,'HDB Recommender'!$P$10:$P$39,'HDB Recommender'!$Q$10:$Q$39,"&gt;30mins",1)</f>
        <v>6</v>
      </c>
      <c r="X28" s="20">
        <f>_xlfn.XLOOKUP(U28,'HDB Recommender'!$P$10:$P$39,'HDB Recommender'!$Q$10:$Q$39,"&gt;30mins",1)</f>
        <v>18</v>
      </c>
      <c r="Y28" s="20">
        <f>_xlfn.XLOOKUP(V28,'HDB Recommender'!$P$10:$P$39,'HDB Recommender'!$Q$10:$Q$39,"&gt;30mins",1)</f>
        <v>2</v>
      </c>
      <c r="Z28" s="39">
        <f t="shared" si="0"/>
        <v>8.6666666666666661</v>
      </c>
      <c r="AA28" s="20" t="str">
        <f t="shared" si="1"/>
        <v>Within 1km</v>
      </c>
    </row>
    <row r="29" spans="2:27" hidden="1">
      <c r="B29" s="35" t="s">
        <v>317</v>
      </c>
      <c r="C29" s="35" t="s">
        <v>351</v>
      </c>
      <c r="D29" s="35" t="s">
        <v>318</v>
      </c>
      <c r="E29" s="35"/>
      <c r="F29" s="35" t="s">
        <v>362</v>
      </c>
      <c r="G29" s="35" t="s">
        <v>184</v>
      </c>
      <c r="H29" s="35">
        <v>66</v>
      </c>
      <c r="I29" s="35" t="s">
        <v>363</v>
      </c>
      <c r="J29" s="36">
        <v>2014</v>
      </c>
      <c r="K29" s="39">
        <v>90</v>
      </c>
      <c r="L29" s="37">
        <v>608000</v>
      </c>
      <c r="M29" s="35" t="s">
        <v>365</v>
      </c>
      <c r="N29" s="27">
        <v>473748</v>
      </c>
      <c r="O29" s="38">
        <v>1.3361617562811601</v>
      </c>
      <c r="P29" s="38">
        <v>103.92149259831901</v>
      </c>
      <c r="Q29" s="38" t="str" cm="1">
        <f t="array" ref="Q29">INDEX('MRT station dataset'!$C$3:$C$179, MATCH(MIN(SQRT(('MRT station dataset'!$E$3:$E$179-'Resale flat dataset'!O29)^2+('MRT station dataset'!$F$3:$F$179-'Resale flat dataset'!P29)^2)), SQRT(('MRT station dataset'!$E$3:$E$179-'Resale flat dataset'!O29)^2+('MRT station dataset'!$F$3:$F$179-'Resale flat dataset'!P29)^2), 0))</f>
        <v>BEDOK NORTH MRT STATION</v>
      </c>
      <c r="R29" s="38" t="str" cm="1">
        <f t="array" ref="R29">INDEX('Mall Dataset'!$B$3:$B$157, MATCH(MIN(SQRT(('Mall Dataset'!$E$3:$E$157-'Resale flat dataset'!O29)^2+('Mall Dataset'!$F$3:$F$157-'Resale flat dataset'!P29)^2)), SQRT(('Mall Dataset'!$E$3:$E$157-'Resale flat dataset'!O29)^2+('Mall Dataset'!$F$3:$F$157-'Resale flat dataset'!P29)^2), 0))</f>
        <v>Djitsun Mall Bedok</v>
      </c>
      <c r="S29" s="38" t="str" cm="1">
        <f t="array" ref="S29">INDEX('Schools dataset'!$B$3:$B$187, MATCH(MIN(SQRT(('Schools dataset'!$J$3:$J$187-'Resale flat dataset'!O29)^2+('Schools dataset'!$K$3:$K$187-'Resale flat dataset'!P29)^2)), SQRT(('Schools dataset'!$J$3:$J$187-'Resale flat dataset'!O29)^2+('Schools dataset'!$K$3:$K$187-'Resale flat dataset'!P29)^2), 0))</f>
        <v>DAMAI PRIMARY SCHOOL</v>
      </c>
      <c r="T29" s="39">
        <f>ACOS(COS(RADIANS(90-O29))*COS(RADIANS(90-_xlfn.XLOOKUP(Q29,'MRT station dataset'!$C$3:$C$179,'MRT station dataset'!$E$3:$E$179)))+SIN(RADIANS(90-O29))*SIN(RADIANS(90-_xlfn.XLOOKUP(Q29,'MRT station dataset'!$C$3:$C$179,'MRT station dataset'!$E$3:$E$179)))*COS(RADIANS(P29-_xlfn.XLOOKUP('Resale flat dataset'!Q29,'MRT station dataset'!$C$3:$C$179,'MRT station dataset'!$F$3:$F$179))))*6371*1000</f>
        <v>420.90399198606065</v>
      </c>
      <c r="U29" s="39">
        <f>ACOS(COS(RADIANS(90-O29))*COS(RADIANS(90-_xlfn.XLOOKUP(R29,'Mall Dataset'!$B$3:$B$157,'Mall Dataset'!$E$3:$E$157,,0)))+SIN(RADIANS(90-O29))*SIN(RADIANS(90-_xlfn.XLOOKUP(R29,'Mall Dataset'!$B$3:$B$157,'Mall Dataset'!$E$3:$E$157,,0)))*COS(RADIANS(P29-_xlfn.XLOOKUP(R29,'Mall Dataset'!$B$3:$B$157,'Mall Dataset'!$F$3:$F$157,,0))))*6371*1000</f>
        <v>1270.8859362856322</v>
      </c>
      <c r="V29" s="39">
        <f>ACOS(COS(RADIANS(90-O29))*COS(RADIANS(90-_xlfn.XLOOKUP(S29,'Schools dataset'!$B$3:$B$187,'Schools dataset'!$J$3:$J$187,,0)))+SIN(RADIANS(90-O29))*SIN(RADIANS(90-_xlfn.XLOOKUP(S29,'Schools dataset'!$B$3:$B$187,'Schools dataset'!$J$3:$J$187,,0)))*COS(RADIANS(P29-_xlfn.XLOOKUP(S29,'Schools dataset'!$B$3:$B$187,'Schools dataset'!$K$3:$K$187,,0))))*6371*1000</f>
        <v>104.37154880958977</v>
      </c>
      <c r="W29" s="20">
        <f>_xlfn.XLOOKUP(T29,'HDB Recommender'!$P$10:$P$39,'HDB Recommender'!$Q$10:$Q$39,"&gt;30mins",1)</f>
        <v>6</v>
      </c>
      <c r="X29" s="20">
        <f>_xlfn.XLOOKUP(U29,'HDB Recommender'!$P$10:$P$39,'HDB Recommender'!$Q$10:$Q$39,"&gt;30mins",1)</f>
        <v>17</v>
      </c>
      <c r="Y29" s="20">
        <f>_xlfn.XLOOKUP(V29,'HDB Recommender'!$P$10:$P$39,'HDB Recommender'!$Q$10:$Q$39,"&gt;30mins",1)</f>
        <v>2</v>
      </c>
      <c r="Z29" s="39">
        <f t="shared" si="0"/>
        <v>8.3333333333333339</v>
      </c>
      <c r="AA29" s="20" t="str">
        <f t="shared" si="1"/>
        <v>Within 1km</v>
      </c>
    </row>
    <row r="30" spans="2:27" hidden="1">
      <c r="B30" s="35" t="s">
        <v>317</v>
      </c>
      <c r="C30" s="35" t="s">
        <v>351</v>
      </c>
      <c r="D30" s="35" t="s">
        <v>318</v>
      </c>
      <c r="E30" s="35">
        <v>616</v>
      </c>
      <c r="F30" s="35" t="s">
        <v>366</v>
      </c>
      <c r="G30" s="35" t="s">
        <v>191</v>
      </c>
      <c r="H30" s="35">
        <v>68</v>
      </c>
      <c r="I30" s="35" t="s">
        <v>320</v>
      </c>
      <c r="J30" s="36">
        <v>1982</v>
      </c>
      <c r="K30" s="39">
        <v>57.6666666666666</v>
      </c>
      <c r="L30" s="37">
        <v>375000</v>
      </c>
      <c r="M30" s="35" t="s">
        <v>367</v>
      </c>
      <c r="N30" s="27">
        <v>470616</v>
      </c>
      <c r="O30" s="38">
        <v>1.3318271323841699</v>
      </c>
      <c r="P30" s="38">
        <v>103.91499104559099</v>
      </c>
      <c r="Q30" s="38" t="str" cm="1">
        <f t="array" ref="Q30">INDEX('MRT station dataset'!$C$3:$C$179, MATCH(MIN(SQRT(('MRT station dataset'!$E$3:$E$179-'Resale flat dataset'!O30)^2+('MRT station dataset'!$F$3:$F$179-'Resale flat dataset'!P30)^2)), SQRT(('MRT station dataset'!$E$3:$E$179-'Resale flat dataset'!O30)^2+('MRT station dataset'!$F$3:$F$179-'Resale flat dataset'!P30)^2), 0))</f>
        <v>BEDOK NORTH MRT STATION</v>
      </c>
      <c r="R30" s="38" t="str" cm="1">
        <f t="array" ref="R30">INDEX('Mall Dataset'!$B$3:$B$157, MATCH(MIN(SQRT(('Mall Dataset'!$E$3:$E$157-'Resale flat dataset'!O30)^2+('Mall Dataset'!$F$3:$F$157-'Resale flat dataset'!P30)^2)), SQRT(('Mall Dataset'!$E$3:$E$157-'Resale flat dataset'!O30)^2+('Mall Dataset'!$F$3:$F$157-'Resale flat dataset'!P30)^2), 0))</f>
        <v>Djitsun Mall Bedok</v>
      </c>
      <c r="S30" s="38" t="str" cm="1">
        <f t="array" ref="S30">INDEX('Schools dataset'!$B$3:$B$187, MATCH(MIN(SQRT(('Schools dataset'!$J$3:$J$187-'Resale flat dataset'!O30)^2+('Schools dataset'!$K$3:$K$187-'Resale flat dataset'!P30)^2)), SQRT(('Schools dataset'!$J$3:$J$187-'Resale flat dataset'!O30)^2+('Schools dataset'!$K$3:$K$187-'Resale flat dataset'!P30)^2), 0))</f>
        <v>TELOK KURAU PRIMARY SCHOOL</v>
      </c>
      <c r="T30" s="39">
        <f>ACOS(COS(RADIANS(90-O30))*COS(RADIANS(90-_xlfn.XLOOKUP(Q30,'MRT station dataset'!$C$3:$C$179,'MRT station dataset'!$E$3:$E$179)))+SIN(RADIANS(90-O30))*SIN(RADIANS(90-_xlfn.XLOOKUP(Q30,'MRT station dataset'!$C$3:$C$179,'MRT station dataset'!$E$3:$E$179)))*COS(RADIANS(P30-_xlfn.XLOOKUP('Resale flat dataset'!Q30,'MRT station dataset'!$C$3:$C$179,'MRT station dataset'!$F$3:$F$179))))*6371*1000</f>
        <v>462.52643783234413</v>
      </c>
      <c r="U30" s="39">
        <f>ACOS(COS(RADIANS(90-O30))*COS(RADIANS(90-_xlfn.XLOOKUP(R30,'Mall Dataset'!$B$3:$B$157,'Mall Dataset'!$E$3:$E$157,,0)))+SIN(RADIANS(90-O30))*SIN(RADIANS(90-_xlfn.XLOOKUP(R30,'Mall Dataset'!$B$3:$B$157,'Mall Dataset'!$E$3:$E$157,,0)))*COS(RADIANS(P30-_xlfn.XLOOKUP(R30,'Mall Dataset'!$B$3:$B$157,'Mall Dataset'!$F$3:$F$157,,0))))*6371*1000</f>
        <v>1474.3528892071345</v>
      </c>
      <c r="V30" s="39">
        <f>ACOS(COS(RADIANS(90-O30))*COS(RADIANS(90-_xlfn.XLOOKUP(S30,'Schools dataset'!$B$3:$B$187,'Schools dataset'!$J$3:$J$187,,0)))+SIN(RADIANS(90-O30))*SIN(RADIANS(90-_xlfn.XLOOKUP(S30,'Schools dataset'!$B$3:$B$187,'Schools dataset'!$J$3:$J$187,,0)))*COS(RADIANS(P30-_xlfn.XLOOKUP(S30,'Schools dataset'!$B$3:$B$187,'Schools dataset'!$K$3:$K$187,,0))))*6371*1000</f>
        <v>450.46460767173403</v>
      </c>
      <c r="W30" s="20">
        <f>_xlfn.XLOOKUP(T30,'HDB Recommender'!$P$10:$P$39,'HDB Recommender'!$Q$10:$Q$39,"&gt;30mins",1)</f>
        <v>7</v>
      </c>
      <c r="X30" s="20">
        <f>_xlfn.XLOOKUP(U30,'HDB Recommender'!$P$10:$P$39,'HDB Recommender'!$Q$10:$Q$39,"&gt;30mins",1)</f>
        <v>20</v>
      </c>
      <c r="Y30" s="20">
        <f>_xlfn.XLOOKUP(V30,'HDB Recommender'!$P$10:$P$39,'HDB Recommender'!$Q$10:$Q$39,"&gt;30mins",1)</f>
        <v>7</v>
      </c>
      <c r="Z30" s="39">
        <f t="shared" si="0"/>
        <v>11.333333333333334</v>
      </c>
      <c r="AA30" s="20" t="str">
        <f t="shared" si="1"/>
        <v>Within 1km</v>
      </c>
    </row>
    <row r="31" spans="2:27" hidden="1">
      <c r="B31" s="35" t="s">
        <v>317</v>
      </c>
      <c r="C31" s="35" t="s">
        <v>351</v>
      </c>
      <c r="D31" s="35" t="s">
        <v>318</v>
      </c>
      <c r="E31" s="35">
        <v>712</v>
      </c>
      <c r="F31" s="35" t="s">
        <v>366</v>
      </c>
      <c r="G31" s="35" t="s">
        <v>184</v>
      </c>
      <c r="H31" s="35">
        <v>68</v>
      </c>
      <c r="I31" s="35" t="s">
        <v>320</v>
      </c>
      <c r="J31" s="36">
        <v>1981</v>
      </c>
      <c r="K31" s="39">
        <v>56.8333333333333</v>
      </c>
      <c r="L31" s="37">
        <v>360000</v>
      </c>
      <c r="M31" s="35" t="s">
        <v>368</v>
      </c>
      <c r="N31" s="27">
        <v>470712</v>
      </c>
      <c r="O31" s="38">
        <v>1.3359072918616299</v>
      </c>
      <c r="P31" s="38">
        <v>103.92263404313699</v>
      </c>
      <c r="Q31" s="38" t="str" cm="1">
        <f t="array" ref="Q31">INDEX('MRT station dataset'!$C$3:$C$179, MATCH(MIN(SQRT(('MRT station dataset'!$E$3:$E$179-'Resale flat dataset'!O31)^2+('MRT station dataset'!$F$3:$F$179-'Resale flat dataset'!P31)^2)), SQRT(('MRT station dataset'!$E$3:$E$179-'Resale flat dataset'!O31)^2+('MRT station dataset'!$F$3:$F$179-'Resale flat dataset'!P31)^2), 0))</f>
        <v>BEDOK NORTH MRT STATION</v>
      </c>
      <c r="R31" s="38" t="str" cm="1">
        <f t="array" ref="R31">INDEX('Mall Dataset'!$B$3:$B$157, MATCH(MIN(SQRT(('Mall Dataset'!$E$3:$E$157-'Resale flat dataset'!O31)^2+('Mall Dataset'!$F$3:$F$157-'Resale flat dataset'!P31)^2)), SQRT(('Mall Dataset'!$E$3:$E$157-'Resale flat dataset'!O31)^2+('Mall Dataset'!$F$3:$F$157-'Resale flat dataset'!P31)^2), 0))</f>
        <v>Djitsun Mall Bedok</v>
      </c>
      <c r="S31" s="38" t="str" cm="1">
        <f t="array" ref="S31">INDEX('Schools dataset'!$B$3:$B$187, MATCH(MIN(SQRT(('Schools dataset'!$J$3:$J$187-'Resale flat dataset'!O31)^2+('Schools dataset'!$K$3:$K$187-'Resale flat dataset'!P31)^2)), SQRT(('Schools dataset'!$J$3:$J$187-'Resale flat dataset'!O31)^2+('Schools dataset'!$K$3:$K$187-'Resale flat dataset'!P31)^2), 0))</f>
        <v>DAMAI PRIMARY SCHOOL</v>
      </c>
      <c r="T31" s="39">
        <f>ACOS(COS(RADIANS(90-O31))*COS(RADIANS(90-_xlfn.XLOOKUP(Q31,'MRT station dataset'!$C$3:$C$179,'MRT station dataset'!$E$3:$E$179)))+SIN(RADIANS(90-O31))*SIN(RADIANS(90-_xlfn.XLOOKUP(Q31,'MRT station dataset'!$C$3:$C$179,'MRT station dataset'!$E$3:$E$179)))*COS(RADIANS(P31-_xlfn.XLOOKUP('Resale flat dataset'!Q31,'MRT station dataset'!$C$3:$C$179,'MRT station dataset'!$F$3:$F$179))))*6371*1000</f>
        <v>532.34677787048224</v>
      </c>
      <c r="U31" s="39">
        <f>ACOS(COS(RADIANS(90-O31))*COS(RADIANS(90-_xlfn.XLOOKUP(R31,'Mall Dataset'!$B$3:$B$157,'Mall Dataset'!$E$3:$E$157,,0)))+SIN(RADIANS(90-O31))*SIN(RADIANS(90-_xlfn.XLOOKUP(R31,'Mall Dataset'!$B$3:$B$157,'Mall Dataset'!$E$3:$E$157,,0)))*COS(RADIANS(P31-_xlfn.XLOOKUP(R31,'Mall Dataset'!$B$3:$B$157,'Mall Dataset'!$F$3:$F$157,,0))))*6371*1000</f>
        <v>1189.3295946149499</v>
      </c>
      <c r="V31" s="39">
        <f>ACOS(COS(RADIANS(90-O31))*COS(RADIANS(90-_xlfn.XLOOKUP(S31,'Schools dataset'!$B$3:$B$187,'Schools dataset'!$J$3:$J$187,,0)))+SIN(RADIANS(90-O31))*SIN(RADIANS(90-_xlfn.XLOOKUP(S31,'Schools dataset'!$B$3:$B$187,'Schools dataset'!$J$3:$J$187,,0)))*COS(RADIANS(P31-_xlfn.XLOOKUP(S31,'Schools dataset'!$B$3:$B$187,'Schools dataset'!$K$3:$K$187,,0))))*6371*1000</f>
        <v>166.87875630331916</v>
      </c>
      <c r="W31" s="20">
        <f>_xlfn.XLOOKUP(T31,'HDB Recommender'!$P$10:$P$39,'HDB Recommender'!$Q$10:$Q$39,"&gt;30mins",1)</f>
        <v>8</v>
      </c>
      <c r="X31" s="20">
        <f>_xlfn.XLOOKUP(U31,'HDB Recommender'!$P$10:$P$39,'HDB Recommender'!$Q$10:$Q$39,"&gt;30mins",1)</f>
        <v>16</v>
      </c>
      <c r="Y31" s="20">
        <f>_xlfn.XLOOKUP(V31,'HDB Recommender'!$P$10:$P$39,'HDB Recommender'!$Q$10:$Q$39,"&gt;30mins",1)</f>
        <v>3</v>
      </c>
      <c r="Z31" s="39">
        <f t="shared" si="0"/>
        <v>9</v>
      </c>
      <c r="AA31" s="20" t="str">
        <f t="shared" si="1"/>
        <v>Within 1km</v>
      </c>
    </row>
    <row r="32" spans="2:27" hidden="1">
      <c r="B32" s="35" t="s">
        <v>317</v>
      </c>
      <c r="C32" s="35" t="s">
        <v>351</v>
      </c>
      <c r="D32" s="35" t="s">
        <v>318</v>
      </c>
      <c r="E32" s="35">
        <v>151</v>
      </c>
      <c r="F32" s="35" t="s">
        <v>366</v>
      </c>
      <c r="G32" s="35" t="s">
        <v>189</v>
      </c>
      <c r="H32" s="35">
        <v>63</v>
      </c>
      <c r="I32" s="35" t="s">
        <v>369</v>
      </c>
      <c r="J32" s="36">
        <v>1988</v>
      </c>
      <c r="K32" s="39">
        <v>64.0833333333333</v>
      </c>
      <c r="L32" s="37">
        <v>370000</v>
      </c>
      <c r="M32" s="35" t="s">
        <v>370</v>
      </c>
      <c r="N32" s="27">
        <v>470151</v>
      </c>
      <c r="O32" s="38">
        <v>1.3355761945470199</v>
      </c>
      <c r="P32" s="38">
        <v>103.91154577969201</v>
      </c>
      <c r="Q32" s="38" t="str" cm="1">
        <f t="array" ref="Q32">INDEX('MRT station dataset'!$C$3:$C$179, MATCH(MIN(SQRT(('MRT station dataset'!$E$3:$E$179-'Resale flat dataset'!O32)^2+('MRT station dataset'!$F$3:$F$179-'Resale flat dataset'!P32)^2)), SQRT(('MRT station dataset'!$E$3:$E$179-'Resale flat dataset'!O32)^2+('MRT station dataset'!$F$3:$F$179-'Resale flat dataset'!P32)^2), 0))</f>
        <v>KAKI BUKIT MRT STATION</v>
      </c>
      <c r="R32" s="38" t="str" cm="1">
        <f t="array" ref="R32">INDEX('Mall Dataset'!$B$3:$B$157, MATCH(MIN(SQRT(('Mall Dataset'!$E$3:$E$157-'Resale flat dataset'!O32)^2+('Mall Dataset'!$F$3:$F$157-'Resale flat dataset'!P32)^2)), SQRT(('Mall Dataset'!$E$3:$E$157-'Resale flat dataset'!O32)^2+('Mall Dataset'!$F$3:$F$157-'Resale flat dataset'!P32)^2), 0))</f>
        <v>Djitsun Mall Bedok</v>
      </c>
      <c r="S32" s="38" t="str" cm="1">
        <f t="array" ref="S32">INDEX('Schools dataset'!$B$3:$B$187, MATCH(MIN(SQRT(('Schools dataset'!$J$3:$J$187-'Resale flat dataset'!O32)^2+('Schools dataset'!$K$3:$K$187-'Resale flat dataset'!P32)^2)), SQRT(('Schools dataset'!$J$3:$J$187-'Resale flat dataset'!O32)^2+('Schools dataset'!$K$3:$K$187-'Resale flat dataset'!P32)^2), 0))</f>
        <v>TELOK KURAU PRIMARY SCHOOL</v>
      </c>
      <c r="T32" s="39">
        <f>ACOS(COS(RADIANS(90-O32))*COS(RADIANS(90-_xlfn.XLOOKUP(Q32,'MRT station dataset'!$C$3:$C$179,'MRT station dataset'!$E$3:$E$179)))+SIN(RADIANS(90-O32))*SIN(RADIANS(90-_xlfn.XLOOKUP(Q32,'MRT station dataset'!$C$3:$C$179,'MRT station dataset'!$E$3:$E$179)))*COS(RADIANS(P32-_xlfn.XLOOKUP('Resale flat dataset'!Q32,'MRT station dataset'!$C$3:$C$179,'MRT station dataset'!$F$3:$F$179))))*6371*1000</f>
        <v>344.59192011200668</v>
      </c>
      <c r="U32" s="39">
        <f>ACOS(COS(RADIANS(90-O32))*COS(RADIANS(90-_xlfn.XLOOKUP(R32,'Mall Dataset'!$B$3:$B$157,'Mall Dataset'!$E$3:$E$157,,0)))+SIN(RADIANS(90-O32))*SIN(RADIANS(90-_xlfn.XLOOKUP(R32,'Mall Dataset'!$B$3:$B$157,'Mall Dataset'!$E$3:$E$157,,0)))*COS(RADIANS(P32-_xlfn.XLOOKUP(R32,'Mall Dataset'!$B$3:$B$157,'Mall Dataset'!$F$3:$F$157,,0))))*6371*1000</f>
        <v>2010.5394797023405</v>
      </c>
      <c r="V32" s="39">
        <f>ACOS(COS(RADIANS(90-O32))*COS(RADIANS(90-_xlfn.XLOOKUP(S32,'Schools dataset'!$B$3:$B$187,'Schools dataset'!$J$3:$J$187,,0)))+SIN(RADIANS(90-O32))*SIN(RADIANS(90-_xlfn.XLOOKUP(S32,'Schools dataset'!$B$3:$B$187,'Schools dataset'!$J$3:$J$187,,0)))*COS(RADIANS(P32-_xlfn.XLOOKUP(S32,'Schools dataset'!$B$3:$B$187,'Schools dataset'!$K$3:$K$187,,0))))*6371*1000</f>
        <v>501.77218109733724</v>
      </c>
      <c r="W32" s="20">
        <f>_xlfn.XLOOKUP(T32,'HDB Recommender'!$P$10:$P$39,'HDB Recommender'!$Q$10:$Q$39,"&gt;30mins",1)</f>
        <v>5</v>
      </c>
      <c r="X32" s="20">
        <f>_xlfn.XLOOKUP(U32,'HDB Recommender'!$P$10:$P$39,'HDB Recommender'!$Q$10:$Q$39,"&gt;30mins",1)</f>
        <v>27</v>
      </c>
      <c r="Y32" s="20">
        <f>_xlfn.XLOOKUP(V32,'HDB Recommender'!$P$10:$P$39,'HDB Recommender'!$Q$10:$Q$39,"&gt;30mins",1)</f>
        <v>7</v>
      </c>
      <c r="Z32" s="39">
        <f t="shared" si="0"/>
        <v>13</v>
      </c>
      <c r="AA32" s="20" t="str">
        <f t="shared" si="1"/>
        <v>Within 1km</v>
      </c>
    </row>
    <row r="33" spans="2:27" hidden="1">
      <c r="B33" s="35" t="s">
        <v>317</v>
      </c>
      <c r="C33" s="35" t="s">
        <v>351</v>
      </c>
      <c r="D33" s="35" t="s">
        <v>318</v>
      </c>
      <c r="E33" s="35">
        <v>20</v>
      </c>
      <c r="F33" s="35" t="s">
        <v>371</v>
      </c>
      <c r="G33" s="35" t="s">
        <v>349</v>
      </c>
      <c r="H33" s="35">
        <v>65</v>
      </c>
      <c r="I33" s="35" t="s">
        <v>326</v>
      </c>
      <c r="J33" s="36">
        <v>1972</v>
      </c>
      <c r="K33" s="39">
        <v>47.9166666666666</v>
      </c>
      <c r="L33" s="37">
        <v>330000</v>
      </c>
      <c r="M33" s="35" t="s">
        <v>372</v>
      </c>
      <c r="N33" s="27">
        <v>461020</v>
      </c>
      <c r="O33" s="38">
        <v>1.3262727124323299</v>
      </c>
      <c r="P33" s="38">
        <v>103.922885287154</v>
      </c>
      <c r="Q33" s="38" t="str" cm="1">
        <f t="array" ref="Q33">INDEX('MRT station dataset'!$C$3:$C$179, MATCH(MIN(SQRT(('MRT station dataset'!$E$3:$E$179-'Resale flat dataset'!O33)^2+('MRT station dataset'!$F$3:$F$179-'Resale flat dataset'!P33)^2)), SQRT(('MRT station dataset'!$E$3:$E$179-'Resale flat dataset'!O33)^2+('MRT station dataset'!$F$3:$F$179-'Resale flat dataset'!P33)^2), 0))</f>
        <v>BEDOK MRT STATION</v>
      </c>
      <c r="R33" s="38" t="str" cm="1">
        <f t="array" ref="R33">INDEX('Mall Dataset'!$B$3:$B$157, MATCH(MIN(SQRT(('Mall Dataset'!$E$3:$E$157-'Resale flat dataset'!O33)^2+('Mall Dataset'!$F$3:$F$157-'Resale flat dataset'!P33)^2)), SQRT(('Mall Dataset'!$E$3:$E$157-'Resale flat dataset'!O33)^2+('Mall Dataset'!$F$3:$F$157-'Resale flat dataset'!P33)^2), 0))</f>
        <v>Djitsun Mall Bedok</v>
      </c>
      <c r="S33" s="38" t="str" cm="1">
        <f t="array" ref="S33">INDEX('Schools dataset'!$B$3:$B$187, MATCH(MIN(SQRT(('Schools dataset'!$J$3:$J$187-'Resale flat dataset'!O33)^2+('Schools dataset'!$K$3:$K$187-'Resale flat dataset'!P33)^2)), SQRT(('Schools dataset'!$J$3:$J$187-'Resale flat dataset'!O33)^2+('Schools dataset'!$K$3:$K$187-'Resale flat dataset'!P33)^2), 0))</f>
        <v>OPERA ESTATE PRIMARY SCHOOL</v>
      </c>
      <c r="T33" s="39">
        <f>ACOS(COS(RADIANS(90-O33))*COS(RADIANS(90-_xlfn.XLOOKUP(Q33,'MRT station dataset'!$C$3:$C$179,'MRT station dataset'!$E$3:$E$179)))+SIN(RADIANS(90-O33))*SIN(RADIANS(90-_xlfn.XLOOKUP(Q33,'MRT station dataset'!$C$3:$C$179,'MRT station dataset'!$E$3:$E$179)))*COS(RADIANS(P33-_xlfn.XLOOKUP('Resale flat dataset'!Q33,'MRT station dataset'!$C$3:$C$179,'MRT station dataset'!$F$3:$F$179))))*6371*1000</f>
        <v>830.30145176225028</v>
      </c>
      <c r="U33" s="39">
        <f>ACOS(COS(RADIANS(90-O33))*COS(RADIANS(90-_xlfn.XLOOKUP(R33,'Mall Dataset'!$B$3:$B$157,'Mall Dataset'!$E$3:$E$157,,0)))+SIN(RADIANS(90-O33))*SIN(RADIANS(90-_xlfn.XLOOKUP(R33,'Mall Dataset'!$B$3:$B$157,'Mall Dataset'!$E$3:$E$157,,0)))*COS(RADIANS(P33-_xlfn.XLOOKUP(R33,'Mall Dataset'!$B$3:$B$157,'Mall Dataset'!$F$3:$F$157,,0))))*6371*1000</f>
        <v>453.89887417019457</v>
      </c>
      <c r="V33" s="39">
        <f>ACOS(COS(RADIANS(90-O33))*COS(RADIANS(90-_xlfn.XLOOKUP(S33,'Schools dataset'!$B$3:$B$187,'Schools dataset'!$J$3:$J$187,,0)))+SIN(RADIANS(90-O33))*SIN(RADIANS(90-_xlfn.XLOOKUP(S33,'Schools dataset'!$B$3:$B$187,'Schools dataset'!$J$3:$J$187,,0)))*COS(RADIANS(P33-_xlfn.XLOOKUP(S33,'Schools dataset'!$B$3:$B$187,'Schools dataset'!$K$3:$K$187,,0))))*6371*1000</f>
        <v>707.56781936110679</v>
      </c>
      <c r="W33" s="20">
        <f>_xlfn.XLOOKUP(T33,'HDB Recommender'!$P$10:$P$39,'HDB Recommender'!$Q$10:$Q$39,"&gt;30mins",1)</f>
        <v>12</v>
      </c>
      <c r="X33" s="20">
        <f>_xlfn.XLOOKUP(U33,'HDB Recommender'!$P$10:$P$39,'HDB Recommender'!$Q$10:$Q$39,"&gt;30mins",1)</f>
        <v>7</v>
      </c>
      <c r="Y33" s="20">
        <f>_xlfn.XLOOKUP(V33,'HDB Recommender'!$P$10:$P$39,'HDB Recommender'!$Q$10:$Q$39,"&gt;30mins",1)</f>
        <v>10</v>
      </c>
      <c r="Z33" s="39">
        <f t="shared" si="0"/>
        <v>9.6666666666666661</v>
      </c>
      <c r="AA33" s="20" t="str">
        <f t="shared" si="1"/>
        <v>Within 1km</v>
      </c>
    </row>
    <row r="34" spans="2:27" hidden="1">
      <c r="B34" s="35" t="s">
        <v>317</v>
      </c>
      <c r="C34" s="35" t="s">
        <v>351</v>
      </c>
      <c r="D34" s="35" t="s">
        <v>20</v>
      </c>
      <c r="E34" s="35">
        <v>507</v>
      </c>
      <c r="F34" s="35" t="s">
        <v>373</v>
      </c>
      <c r="G34" s="35" t="s">
        <v>349</v>
      </c>
      <c r="H34" s="35">
        <v>92</v>
      </c>
      <c r="I34" s="35" t="s">
        <v>320</v>
      </c>
      <c r="J34" s="36">
        <v>1978</v>
      </c>
      <c r="K34" s="39">
        <v>54.1666666666666</v>
      </c>
      <c r="L34" s="37">
        <v>435000</v>
      </c>
      <c r="M34" s="35" t="s">
        <v>374</v>
      </c>
      <c r="N34" s="27">
        <v>460507</v>
      </c>
      <c r="O34" s="38">
        <v>1.33298071677208</v>
      </c>
      <c r="P34" s="38">
        <v>103.93259903289</v>
      </c>
      <c r="Q34" s="38" t="str" cm="1">
        <f t="array" ref="Q34">INDEX('MRT station dataset'!$C$3:$C$179, MATCH(MIN(SQRT(('MRT station dataset'!$E$3:$E$179-'Resale flat dataset'!O34)^2+('MRT station dataset'!$F$3:$F$179-'Resale flat dataset'!P34)^2)), SQRT(('MRT station dataset'!$E$3:$E$179-'Resale flat dataset'!O34)^2+('MRT station dataset'!$F$3:$F$179-'Resale flat dataset'!P34)^2), 0))</f>
        <v>BEDOK RESERVOIR MRT STATION</v>
      </c>
      <c r="R34" s="38" t="str" cm="1">
        <f t="array" ref="R34">INDEX('Mall Dataset'!$B$3:$B$157, MATCH(MIN(SQRT(('Mall Dataset'!$E$3:$E$157-'Resale flat dataset'!O34)^2+('Mall Dataset'!$F$3:$F$157-'Resale flat dataset'!P34)^2)), SQRT(('Mall Dataset'!$E$3:$E$157-'Resale flat dataset'!O34)^2+('Mall Dataset'!$F$3:$F$157-'Resale flat dataset'!P34)^2), 0))</f>
        <v>Djitsun Mall Bedok</v>
      </c>
      <c r="S34" s="38" t="str" cm="1">
        <f t="array" ref="S34">INDEX('Schools dataset'!$B$3:$B$187, MATCH(MIN(SQRT(('Schools dataset'!$J$3:$J$187-'Resale flat dataset'!O34)^2+('Schools dataset'!$K$3:$K$187-'Resale flat dataset'!P34)^2)), SQRT(('Schools dataset'!$J$3:$J$187-'Resale flat dataset'!O34)^2+('Schools dataset'!$K$3:$K$187-'Resale flat dataset'!P34)^2), 0))</f>
        <v>YU NENG PRIMARY SCHOOL</v>
      </c>
      <c r="T34" s="39">
        <f>ACOS(COS(RADIANS(90-O34))*COS(RADIANS(90-_xlfn.XLOOKUP(Q34,'MRT station dataset'!$C$3:$C$179,'MRT station dataset'!$E$3:$E$179)))+SIN(RADIANS(90-O34))*SIN(RADIANS(90-_xlfn.XLOOKUP(Q34,'MRT station dataset'!$C$3:$C$179,'MRT station dataset'!$E$3:$E$179)))*COS(RADIANS(P34-_xlfn.XLOOKUP('Resale flat dataset'!Q34,'MRT station dataset'!$C$3:$C$179,'MRT station dataset'!$F$3:$F$179))))*6371*1000</f>
        <v>404.88318593387152</v>
      </c>
      <c r="U34" s="39">
        <f>ACOS(COS(RADIANS(90-O34))*COS(RADIANS(90-_xlfn.XLOOKUP(R34,'Mall Dataset'!$B$3:$B$157,'Mall Dataset'!$E$3:$E$157,,0)))+SIN(RADIANS(90-O34))*SIN(RADIANS(90-_xlfn.XLOOKUP(R34,'Mall Dataset'!$B$3:$B$157,'Mall Dataset'!$E$3:$E$157,,0)))*COS(RADIANS(P34-_xlfn.XLOOKUP(R34,'Mall Dataset'!$B$3:$B$157,'Mall Dataset'!$F$3:$F$157,,0))))*6371*1000</f>
        <v>986.35321321846561</v>
      </c>
      <c r="V34" s="39">
        <f>ACOS(COS(RADIANS(90-O34))*COS(RADIANS(90-_xlfn.XLOOKUP(S34,'Schools dataset'!$B$3:$B$187,'Schools dataset'!$J$3:$J$187,,0)))+SIN(RADIANS(90-O34))*SIN(RADIANS(90-_xlfn.XLOOKUP(S34,'Schools dataset'!$B$3:$B$187,'Schools dataset'!$J$3:$J$187,,0)))*COS(RADIANS(P34-_xlfn.XLOOKUP(S34,'Schools dataset'!$B$3:$B$187,'Schools dataset'!$K$3:$K$187,,0))))*6371*1000</f>
        <v>112.94328352964311</v>
      </c>
      <c r="W34" s="20">
        <f>_xlfn.XLOOKUP(T34,'HDB Recommender'!$P$10:$P$39,'HDB Recommender'!$Q$10:$Q$39,"&gt;30mins",1)</f>
        <v>6</v>
      </c>
      <c r="X34" s="20">
        <f>_xlfn.XLOOKUP(U34,'HDB Recommender'!$P$10:$P$39,'HDB Recommender'!$Q$10:$Q$39,"&gt;30mins",1)</f>
        <v>14</v>
      </c>
      <c r="Y34" s="20">
        <f>_xlfn.XLOOKUP(V34,'HDB Recommender'!$P$10:$P$39,'HDB Recommender'!$Q$10:$Q$39,"&gt;30mins",1)</f>
        <v>2</v>
      </c>
      <c r="Z34" s="39">
        <f t="shared" si="0"/>
        <v>7.333333333333333</v>
      </c>
      <c r="AA34" s="20" t="str">
        <f t="shared" si="1"/>
        <v>Within 1km</v>
      </c>
    </row>
    <row r="35" spans="2:27" hidden="1">
      <c r="B35" s="35" t="s">
        <v>317</v>
      </c>
      <c r="C35" s="35" t="s">
        <v>351</v>
      </c>
      <c r="D35" s="35" t="s">
        <v>20</v>
      </c>
      <c r="E35" s="35">
        <v>107</v>
      </c>
      <c r="F35" s="35" t="s">
        <v>352</v>
      </c>
      <c r="G35" s="35" t="s">
        <v>349</v>
      </c>
      <c r="H35" s="35">
        <v>91</v>
      </c>
      <c r="I35" s="35" t="s">
        <v>320</v>
      </c>
      <c r="J35" s="36">
        <v>1977</v>
      </c>
      <c r="K35" s="39">
        <v>52.8333333333333</v>
      </c>
      <c r="L35" s="37">
        <v>468000</v>
      </c>
      <c r="M35" s="35" t="s">
        <v>375</v>
      </c>
      <c r="N35" s="27">
        <v>460107</v>
      </c>
      <c r="O35" s="38">
        <v>1.3323174074578299</v>
      </c>
      <c r="P35" s="38">
        <v>103.936301267285</v>
      </c>
      <c r="Q35" s="38" t="str" cm="1">
        <f t="array" ref="Q35">INDEX('MRT station dataset'!$C$3:$C$179, MATCH(MIN(SQRT(('MRT station dataset'!$E$3:$E$179-'Resale flat dataset'!O35)^2+('MRT station dataset'!$F$3:$F$179-'Resale flat dataset'!P35)^2)), SQRT(('MRT station dataset'!$E$3:$E$179-'Resale flat dataset'!O35)^2+('MRT station dataset'!$F$3:$F$179-'Resale flat dataset'!P35)^2), 0))</f>
        <v>BEDOK RESERVOIR MRT STATION</v>
      </c>
      <c r="R35" s="38" t="str" cm="1">
        <f t="array" ref="R35">INDEX('Mall Dataset'!$B$3:$B$157, MATCH(MIN(SQRT(('Mall Dataset'!$E$3:$E$157-'Resale flat dataset'!O35)^2+('Mall Dataset'!$F$3:$F$157-'Resale flat dataset'!P35)^2)), SQRT(('Mall Dataset'!$E$3:$E$157-'Resale flat dataset'!O35)^2+('Mall Dataset'!$F$3:$F$157-'Resale flat dataset'!P35)^2), 0))</f>
        <v>Djitsun Mall Bedok</v>
      </c>
      <c r="S35" s="38" t="str" cm="1">
        <f t="array" ref="S35">INDEX('Schools dataset'!$B$3:$B$187, MATCH(MIN(SQRT(('Schools dataset'!$J$3:$J$187-'Resale flat dataset'!O35)^2+('Schools dataset'!$K$3:$K$187-'Resale flat dataset'!P35)^2)), SQRT(('Schools dataset'!$J$3:$J$187-'Resale flat dataset'!O35)^2+('Schools dataset'!$K$3:$K$187-'Resale flat dataset'!P35)^2), 0))</f>
        <v>RED SWASTIKA SCHOOL</v>
      </c>
      <c r="T35" s="39">
        <f>ACOS(COS(RADIANS(90-O35))*COS(RADIANS(90-_xlfn.XLOOKUP(Q35,'MRT station dataset'!$C$3:$C$179,'MRT station dataset'!$E$3:$E$179)))+SIN(RADIANS(90-O35))*SIN(RADIANS(90-_xlfn.XLOOKUP(Q35,'MRT station dataset'!$C$3:$C$179,'MRT station dataset'!$E$3:$E$179)))*COS(RADIANS(P35-_xlfn.XLOOKUP('Resale flat dataset'!Q35,'MRT station dataset'!$C$3:$C$179,'MRT station dataset'!$F$3:$F$179))))*6371*1000</f>
        <v>659.26373219010804</v>
      </c>
      <c r="U35" s="39">
        <f>ACOS(COS(RADIANS(90-O35))*COS(RADIANS(90-_xlfn.XLOOKUP(R35,'Mall Dataset'!$B$3:$B$157,'Mall Dataset'!$E$3:$E$157,,0)))+SIN(RADIANS(90-O35))*SIN(RADIANS(90-_xlfn.XLOOKUP(R35,'Mall Dataset'!$B$3:$B$157,'Mall Dataset'!$E$3:$E$157,,0)))*COS(RADIANS(P35-_xlfn.XLOOKUP(R35,'Mall Dataset'!$B$3:$B$157,'Mall Dataset'!$F$3:$F$157,,0))))*6371*1000</f>
        <v>1245.2912566992713</v>
      </c>
      <c r="V35" s="39">
        <f>ACOS(COS(RADIANS(90-O35))*COS(RADIANS(90-_xlfn.XLOOKUP(S35,'Schools dataset'!$B$3:$B$187,'Schools dataset'!$J$3:$J$187,,0)))+SIN(RADIANS(90-O35))*SIN(RADIANS(90-_xlfn.XLOOKUP(S35,'Schools dataset'!$B$3:$B$187,'Schools dataset'!$J$3:$J$187,,0)))*COS(RADIANS(P35-_xlfn.XLOOKUP(S35,'Schools dataset'!$B$3:$B$187,'Schools dataset'!$K$3:$K$187,,0))))*6371*1000</f>
        <v>293.30737747276925</v>
      </c>
      <c r="W35" s="20">
        <f>_xlfn.XLOOKUP(T35,'HDB Recommender'!$P$10:$P$39,'HDB Recommender'!$Q$10:$Q$39,"&gt;30mins",1)</f>
        <v>9</v>
      </c>
      <c r="X35" s="20">
        <f>_xlfn.XLOOKUP(U35,'HDB Recommender'!$P$10:$P$39,'HDB Recommender'!$Q$10:$Q$39,"&gt;30mins",1)</f>
        <v>17</v>
      </c>
      <c r="Y35" s="20">
        <f>_xlfn.XLOOKUP(V35,'HDB Recommender'!$P$10:$P$39,'HDB Recommender'!$Q$10:$Q$39,"&gt;30mins",1)</f>
        <v>4</v>
      </c>
      <c r="Z35" s="39">
        <f t="shared" si="0"/>
        <v>10</v>
      </c>
      <c r="AA35" s="20" t="str">
        <f t="shared" si="1"/>
        <v>Within 1km</v>
      </c>
    </row>
    <row r="36" spans="2:27" hidden="1">
      <c r="B36" s="35" t="s">
        <v>317</v>
      </c>
      <c r="C36" s="35" t="s">
        <v>351</v>
      </c>
      <c r="D36" s="35" t="s">
        <v>20</v>
      </c>
      <c r="E36" s="35"/>
      <c r="F36" s="35" t="s">
        <v>376</v>
      </c>
      <c r="G36" s="35" t="s">
        <v>189</v>
      </c>
      <c r="H36" s="35">
        <v>93</v>
      </c>
      <c r="I36" s="35" t="s">
        <v>335</v>
      </c>
      <c r="J36" s="36">
        <v>2018</v>
      </c>
      <c r="K36" s="39">
        <v>94.3333333333333</v>
      </c>
      <c r="L36" s="37">
        <v>740000</v>
      </c>
      <c r="M36" s="35" t="s">
        <v>377</v>
      </c>
      <c r="N36" s="27">
        <v>462186</v>
      </c>
      <c r="O36" s="38">
        <v>1.33003736213542</v>
      </c>
      <c r="P36" s="38">
        <v>103.940842245677</v>
      </c>
      <c r="Q36" s="38" t="str" cm="1">
        <f t="array" ref="Q36">INDEX('MRT station dataset'!$C$3:$C$179, MATCH(MIN(SQRT(('MRT station dataset'!$E$3:$E$179-'Resale flat dataset'!O36)^2+('MRT station dataset'!$F$3:$F$179-'Resale flat dataset'!P36)^2)), SQRT(('MRT station dataset'!$E$3:$E$179-'Resale flat dataset'!O36)^2+('MRT station dataset'!$F$3:$F$179-'Resale flat dataset'!P36)^2), 0))</f>
        <v>TANAH MERAH MRT STATION</v>
      </c>
      <c r="R36" s="38" t="str" cm="1">
        <f t="array" ref="R36">INDEX('Mall Dataset'!$B$3:$B$157, MATCH(MIN(SQRT(('Mall Dataset'!$E$3:$E$157-'Resale flat dataset'!O36)^2+('Mall Dataset'!$F$3:$F$157-'Resale flat dataset'!P36)^2)), SQRT(('Mall Dataset'!$E$3:$E$157-'Resale flat dataset'!O36)^2+('Mall Dataset'!$F$3:$F$157-'Resale flat dataset'!P36)^2), 0))</f>
        <v>Djitsun Mall Bedok</v>
      </c>
      <c r="S36" s="38" t="str" cm="1">
        <f t="array" ref="S36">INDEX('Schools dataset'!$B$3:$B$187, MATCH(MIN(SQRT(('Schools dataset'!$J$3:$J$187-'Resale flat dataset'!O36)^2+('Schools dataset'!$K$3:$K$187-'Resale flat dataset'!P36)^2)), SQRT(('Schools dataset'!$J$3:$J$187-'Resale flat dataset'!O36)^2+('Schools dataset'!$K$3:$K$187-'Resale flat dataset'!P36)^2), 0))</f>
        <v>ST. ANTHONY'S CANOSSIAN PRIMARY SCHOOL</v>
      </c>
      <c r="T36" s="39">
        <f>ACOS(COS(RADIANS(90-O36))*COS(RADIANS(90-_xlfn.XLOOKUP(Q36,'MRT station dataset'!$C$3:$C$179,'MRT station dataset'!$E$3:$E$179)))+SIN(RADIANS(90-O36))*SIN(RADIANS(90-_xlfn.XLOOKUP(Q36,'MRT station dataset'!$C$3:$C$179,'MRT station dataset'!$E$3:$E$179)))*COS(RADIANS(P36-_xlfn.XLOOKUP('Resale flat dataset'!Q36,'MRT station dataset'!$C$3:$C$179,'MRT station dataset'!$F$3:$F$179))))*6371*1000</f>
        <v>683.84149553725319</v>
      </c>
      <c r="U36" s="39">
        <f>ACOS(COS(RADIANS(90-O36))*COS(RADIANS(90-_xlfn.XLOOKUP(R36,'Mall Dataset'!$B$3:$B$157,'Mall Dataset'!$E$3:$E$157,,0)))+SIN(RADIANS(90-O36))*SIN(RADIANS(90-_xlfn.XLOOKUP(R36,'Mall Dataset'!$B$3:$B$157,'Mall Dataset'!$E$3:$E$157,,0)))*COS(RADIANS(P36-_xlfn.XLOOKUP(R36,'Mall Dataset'!$B$3:$B$157,'Mall Dataset'!$F$3:$F$157,,0))))*6371*1000</f>
        <v>1602.6768694230975</v>
      </c>
      <c r="V36" s="39">
        <f>ACOS(COS(RADIANS(90-O36))*COS(RADIANS(90-_xlfn.XLOOKUP(S36,'Schools dataset'!$B$3:$B$187,'Schools dataset'!$J$3:$J$187,,0)))+SIN(RADIANS(90-O36))*SIN(RADIANS(90-_xlfn.XLOOKUP(S36,'Schools dataset'!$B$3:$B$187,'Schools dataset'!$J$3:$J$187,,0)))*COS(RADIANS(P36-_xlfn.XLOOKUP(S36,'Schools dataset'!$B$3:$B$187,'Schools dataset'!$K$3:$K$187,,0))))*6371*1000</f>
        <v>571.83672121362861</v>
      </c>
      <c r="W36" s="20">
        <f>_xlfn.XLOOKUP(T36,'HDB Recommender'!$P$10:$P$39,'HDB Recommender'!$Q$10:$Q$39,"&gt;30mins",1)</f>
        <v>10</v>
      </c>
      <c r="X36" s="20">
        <f>_xlfn.XLOOKUP(U36,'HDB Recommender'!$P$10:$P$39,'HDB Recommender'!$Q$10:$Q$39,"&gt;30mins",1)</f>
        <v>22</v>
      </c>
      <c r="Y36" s="20">
        <f>_xlfn.XLOOKUP(V36,'HDB Recommender'!$P$10:$P$39,'HDB Recommender'!$Q$10:$Q$39,"&gt;30mins",1)</f>
        <v>8</v>
      </c>
      <c r="Z36" s="39">
        <f t="shared" si="0"/>
        <v>13.333333333333334</v>
      </c>
      <c r="AA36" s="20" t="str">
        <f t="shared" si="1"/>
        <v>Within 1km</v>
      </c>
    </row>
    <row r="37" spans="2:27" hidden="1">
      <c r="B37" s="35" t="s">
        <v>317</v>
      </c>
      <c r="C37" s="35" t="s">
        <v>351</v>
      </c>
      <c r="D37" s="35" t="s">
        <v>20</v>
      </c>
      <c r="E37" s="35">
        <v>122</v>
      </c>
      <c r="F37" s="35" t="s">
        <v>366</v>
      </c>
      <c r="G37" s="35" t="s">
        <v>189</v>
      </c>
      <c r="H37" s="35">
        <v>103</v>
      </c>
      <c r="I37" s="35" t="s">
        <v>335</v>
      </c>
      <c r="J37" s="36">
        <v>1987</v>
      </c>
      <c r="K37" s="39">
        <v>62.75</v>
      </c>
      <c r="L37" s="37">
        <v>565000</v>
      </c>
      <c r="M37" s="35" t="s">
        <v>378</v>
      </c>
      <c r="N37" s="27">
        <v>470122</v>
      </c>
      <c r="O37" s="38">
        <v>1.3319788590372501</v>
      </c>
      <c r="P37" s="38">
        <v>103.910623676887</v>
      </c>
      <c r="Q37" s="38" t="str" cm="1">
        <f t="array" ref="Q37">INDEX('MRT station dataset'!$C$3:$C$179, MATCH(MIN(SQRT(('MRT station dataset'!$E$3:$E$179-'Resale flat dataset'!O37)^2+('MRT station dataset'!$F$3:$F$179-'Resale flat dataset'!P37)^2)), SQRT(('MRT station dataset'!$E$3:$E$179-'Resale flat dataset'!O37)^2+('MRT station dataset'!$F$3:$F$179-'Resale flat dataset'!P37)^2), 0))</f>
        <v>KAKI BUKIT MRT STATION</v>
      </c>
      <c r="R37" s="38" t="str" cm="1">
        <f t="array" ref="R37">INDEX('Mall Dataset'!$B$3:$B$157, MATCH(MIN(SQRT(('Mall Dataset'!$E$3:$E$157-'Resale flat dataset'!O37)^2+('Mall Dataset'!$F$3:$F$157-'Resale flat dataset'!P37)^2)), SQRT(('Mall Dataset'!$E$3:$E$157-'Resale flat dataset'!O37)^2+('Mall Dataset'!$F$3:$F$157-'Resale flat dataset'!P37)^2), 0))</f>
        <v>Djitsun Mall Bedok</v>
      </c>
      <c r="S37" s="38" t="str" cm="1">
        <f t="array" ref="S37">INDEX('Schools dataset'!$B$3:$B$187, MATCH(MIN(SQRT(('Schools dataset'!$J$3:$J$187-'Resale flat dataset'!O37)^2+('Schools dataset'!$K$3:$K$187-'Resale flat dataset'!P37)^2)), SQRT(('Schools dataset'!$J$3:$J$187-'Resale flat dataset'!O37)^2+('Schools dataset'!$K$3:$K$187-'Resale flat dataset'!P37)^2), 0))</f>
        <v>TELOK KURAU PRIMARY SCHOOL</v>
      </c>
      <c r="T37" s="39">
        <f>ACOS(COS(RADIANS(90-O37))*COS(RADIANS(90-_xlfn.XLOOKUP(Q37,'MRT station dataset'!$C$3:$C$179,'MRT station dataset'!$E$3:$E$179)))+SIN(RADIANS(90-O37))*SIN(RADIANS(90-_xlfn.XLOOKUP(Q37,'MRT station dataset'!$C$3:$C$179,'MRT station dataset'!$E$3:$E$179)))*COS(RADIANS(P37-_xlfn.XLOOKUP('Resale flat dataset'!Q37,'MRT station dataset'!$C$3:$C$179,'MRT station dataset'!$F$3:$F$179))))*6371*1000</f>
        <v>410.59175047861805</v>
      </c>
      <c r="U37" s="39">
        <f>ACOS(COS(RADIANS(90-O37))*COS(RADIANS(90-_xlfn.XLOOKUP(R37,'Mall Dataset'!$B$3:$B$157,'Mall Dataset'!$E$3:$E$157,,0)))+SIN(RADIANS(90-O37))*SIN(RADIANS(90-_xlfn.XLOOKUP(R37,'Mall Dataset'!$B$3:$B$157,'Mall Dataset'!$E$3:$E$157,,0)))*COS(RADIANS(P37-_xlfn.XLOOKUP(R37,'Mall Dataset'!$B$3:$B$157,'Mall Dataset'!$F$3:$F$157,,0))))*6371*1000</f>
        <v>1929.6791306153534</v>
      </c>
      <c r="V37" s="39">
        <f>ACOS(COS(RADIANS(90-O37))*COS(RADIANS(90-_xlfn.XLOOKUP(S37,'Schools dataset'!$B$3:$B$187,'Schools dataset'!$J$3:$J$187,,0)))+SIN(RADIANS(90-O37))*SIN(RADIANS(90-_xlfn.XLOOKUP(S37,'Schools dataset'!$B$3:$B$187,'Schools dataset'!$J$3:$J$187,,0)))*COS(RADIANS(P37-_xlfn.XLOOKUP(S37,'Schools dataset'!$B$3:$B$187,'Schools dataset'!$K$3:$K$187,,0))))*6371*1000</f>
        <v>106.93448919806147</v>
      </c>
      <c r="W37" s="20">
        <f>_xlfn.XLOOKUP(T37,'HDB Recommender'!$P$10:$P$39,'HDB Recommender'!$Q$10:$Q$39,"&gt;30mins",1)</f>
        <v>6</v>
      </c>
      <c r="X37" s="20">
        <f>_xlfn.XLOOKUP(U37,'HDB Recommender'!$P$10:$P$39,'HDB Recommender'!$Q$10:$Q$39,"&gt;30mins",1)</f>
        <v>26</v>
      </c>
      <c r="Y37" s="20">
        <f>_xlfn.XLOOKUP(V37,'HDB Recommender'!$P$10:$P$39,'HDB Recommender'!$Q$10:$Q$39,"&gt;30mins",1)</f>
        <v>2</v>
      </c>
      <c r="Z37" s="39">
        <f t="shared" si="0"/>
        <v>11.333333333333334</v>
      </c>
      <c r="AA37" s="20" t="str">
        <f t="shared" si="1"/>
        <v>Within 1km</v>
      </c>
    </row>
    <row r="38" spans="2:27" hidden="1">
      <c r="B38" s="35" t="s">
        <v>317</v>
      </c>
      <c r="C38" s="35" t="s">
        <v>351</v>
      </c>
      <c r="D38" s="35" t="s">
        <v>20</v>
      </c>
      <c r="E38" s="35">
        <v>718</v>
      </c>
      <c r="F38" s="35" t="s">
        <v>366</v>
      </c>
      <c r="G38" s="35" t="s">
        <v>184</v>
      </c>
      <c r="H38" s="35">
        <v>104</v>
      </c>
      <c r="I38" s="35" t="s">
        <v>335</v>
      </c>
      <c r="J38" s="36">
        <v>1984</v>
      </c>
      <c r="K38" s="39">
        <v>59.3333333333333</v>
      </c>
      <c r="L38" s="37">
        <v>552888</v>
      </c>
      <c r="M38" s="35" t="s">
        <v>379</v>
      </c>
      <c r="N38" s="27">
        <v>470718</v>
      </c>
      <c r="O38" s="38">
        <v>1.3366305993765</v>
      </c>
      <c r="P38" s="38">
        <v>103.92574851611</v>
      </c>
      <c r="Q38" s="38" t="str" cm="1">
        <f t="array" ref="Q38">INDEX('MRT station dataset'!$C$3:$C$179, MATCH(MIN(SQRT(('MRT station dataset'!$E$3:$E$179-'Resale flat dataset'!O38)^2+('MRT station dataset'!$F$3:$F$179-'Resale flat dataset'!P38)^2)), SQRT(('MRT station dataset'!$E$3:$E$179-'Resale flat dataset'!O38)^2+('MRT station dataset'!$F$3:$F$179-'Resale flat dataset'!P38)^2), 0))</f>
        <v>BEDOK RESERVOIR MRT STATION</v>
      </c>
      <c r="R38" s="38" t="str" cm="1">
        <f t="array" ref="R38">INDEX('Mall Dataset'!$B$3:$B$157, MATCH(MIN(SQRT(('Mall Dataset'!$E$3:$E$157-'Resale flat dataset'!O38)^2+('Mall Dataset'!$F$3:$F$157-'Resale flat dataset'!P38)^2)), SQRT(('Mall Dataset'!$E$3:$E$157-'Resale flat dataset'!O38)^2+('Mall Dataset'!$F$3:$F$157-'Resale flat dataset'!P38)^2), 0))</f>
        <v>Djitsun Mall Bedok</v>
      </c>
      <c r="S38" s="38" t="str" cm="1">
        <f t="array" ref="S38">INDEX('Schools dataset'!$B$3:$B$187, MATCH(MIN(SQRT(('Schools dataset'!$J$3:$J$187-'Resale flat dataset'!O38)^2+('Schools dataset'!$K$3:$K$187-'Resale flat dataset'!P38)^2)), SQRT(('Schools dataset'!$J$3:$J$187-'Resale flat dataset'!O38)^2+('Schools dataset'!$K$3:$K$187-'Resale flat dataset'!P38)^2), 0))</f>
        <v>DAMAI PRIMARY SCHOOL</v>
      </c>
      <c r="T38" s="39">
        <f>ACOS(COS(RADIANS(90-O38))*COS(RADIANS(90-_xlfn.XLOOKUP(Q38,'MRT station dataset'!$C$3:$C$179,'MRT station dataset'!$E$3:$E$179)))+SIN(RADIANS(90-O38))*SIN(RADIANS(90-_xlfn.XLOOKUP(Q38,'MRT station dataset'!$C$3:$C$179,'MRT station dataset'!$E$3:$E$179)))*COS(RADIANS(P38-_xlfn.XLOOKUP('Resale flat dataset'!Q38,'MRT station dataset'!$C$3:$C$179,'MRT station dataset'!$F$3:$F$179))))*6371*1000</f>
        <v>717.18515090084225</v>
      </c>
      <c r="U38" s="39">
        <f>ACOS(COS(RADIANS(90-O38))*COS(RADIANS(90-_xlfn.XLOOKUP(R38,'Mall Dataset'!$B$3:$B$157,'Mall Dataset'!$E$3:$E$157,,0)))+SIN(RADIANS(90-O38))*SIN(RADIANS(90-_xlfn.XLOOKUP(R38,'Mall Dataset'!$B$3:$B$157,'Mall Dataset'!$E$3:$E$157,,0)))*COS(RADIANS(P38-_xlfn.XLOOKUP(R38,'Mall Dataset'!$B$3:$B$157,'Mall Dataset'!$F$3:$F$157,,0))))*6371*1000</f>
        <v>1175.7267924578573</v>
      </c>
      <c r="V38" s="39">
        <f>ACOS(COS(RADIANS(90-O38))*COS(RADIANS(90-_xlfn.XLOOKUP(S38,'Schools dataset'!$B$3:$B$187,'Schools dataset'!$J$3:$J$187,,0)))+SIN(RADIANS(90-O38))*SIN(RADIANS(90-_xlfn.XLOOKUP(S38,'Schools dataset'!$B$3:$B$187,'Schools dataset'!$J$3:$J$187,,0)))*COS(RADIANS(P38-_xlfn.XLOOKUP(S38,'Schools dataset'!$B$3:$B$187,'Schools dataset'!$K$3:$K$187,,0))))*6371*1000</f>
        <v>519.36935031989037</v>
      </c>
      <c r="W38" s="20">
        <f>_xlfn.XLOOKUP(T38,'HDB Recommender'!$P$10:$P$39,'HDB Recommender'!$Q$10:$Q$39,"&gt;30mins",1)</f>
        <v>10</v>
      </c>
      <c r="X38" s="20">
        <f>_xlfn.XLOOKUP(U38,'HDB Recommender'!$P$10:$P$39,'HDB Recommender'!$Q$10:$Q$39,"&gt;30mins",1)</f>
        <v>16</v>
      </c>
      <c r="Y38" s="20">
        <f>_xlfn.XLOOKUP(V38,'HDB Recommender'!$P$10:$P$39,'HDB Recommender'!$Q$10:$Q$39,"&gt;30mins",1)</f>
        <v>7</v>
      </c>
      <c r="Z38" s="39">
        <f t="shared" si="0"/>
        <v>11</v>
      </c>
      <c r="AA38" s="20" t="str">
        <f t="shared" si="1"/>
        <v>Within 1km</v>
      </c>
    </row>
    <row r="39" spans="2:27" hidden="1">
      <c r="B39" s="35" t="s">
        <v>317</v>
      </c>
      <c r="C39" s="35" t="s">
        <v>351</v>
      </c>
      <c r="D39" s="35" t="s">
        <v>20</v>
      </c>
      <c r="E39" s="35">
        <v>134</v>
      </c>
      <c r="F39" s="35" t="s">
        <v>366</v>
      </c>
      <c r="G39" s="35" t="s">
        <v>349</v>
      </c>
      <c r="H39" s="35">
        <v>84</v>
      </c>
      <c r="I39" s="35" t="s">
        <v>369</v>
      </c>
      <c r="J39" s="36">
        <v>1987</v>
      </c>
      <c r="K39" s="39">
        <v>62.6666666666666</v>
      </c>
      <c r="L39" s="37">
        <v>460000</v>
      </c>
      <c r="M39" s="35" t="s">
        <v>380</v>
      </c>
      <c r="N39" s="27">
        <v>470134</v>
      </c>
      <c r="O39" s="38">
        <v>1.33277860691699</v>
      </c>
      <c r="P39" s="38">
        <v>103.912631126804</v>
      </c>
      <c r="Q39" s="38" t="str" cm="1">
        <f t="array" ref="Q39">INDEX('MRT station dataset'!$C$3:$C$179, MATCH(MIN(SQRT(('MRT station dataset'!$E$3:$E$179-'Resale flat dataset'!O39)^2+('MRT station dataset'!$F$3:$F$179-'Resale flat dataset'!P39)^2)), SQRT(('MRT station dataset'!$E$3:$E$179-'Resale flat dataset'!O39)^2+('MRT station dataset'!$F$3:$F$179-'Resale flat dataset'!P39)^2), 0))</f>
        <v>KAKI BUKIT MRT STATION</v>
      </c>
      <c r="R39" s="38" t="str" cm="1">
        <f t="array" ref="R39">INDEX('Mall Dataset'!$B$3:$B$157, MATCH(MIN(SQRT(('Mall Dataset'!$E$3:$E$157-'Resale flat dataset'!O39)^2+('Mall Dataset'!$F$3:$F$157-'Resale flat dataset'!P39)^2)), SQRT(('Mall Dataset'!$E$3:$E$157-'Resale flat dataset'!O39)^2+('Mall Dataset'!$F$3:$F$157-'Resale flat dataset'!P39)^2), 0))</f>
        <v>Djitsun Mall Bedok</v>
      </c>
      <c r="S39" s="38" t="str" cm="1">
        <f t="array" ref="S39">INDEX('Schools dataset'!$B$3:$B$187, MATCH(MIN(SQRT(('Schools dataset'!$J$3:$J$187-'Resale flat dataset'!O39)^2+('Schools dataset'!$K$3:$K$187-'Resale flat dataset'!P39)^2)), SQRT(('Schools dataset'!$J$3:$J$187-'Resale flat dataset'!O39)^2+('Schools dataset'!$K$3:$K$187-'Resale flat dataset'!P39)^2), 0))</f>
        <v>TELOK KURAU PRIMARY SCHOOL</v>
      </c>
      <c r="T39" s="39">
        <f>ACOS(COS(RADIANS(90-O39))*COS(RADIANS(90-_xlfn.XLOOKUP(Q39,'MRT station dataset'!$C$3:$C$179,'MRT station dataset'!$E$3:$E$179)))+SIN(RADIANS(90-O39))*SIN(RADIANS(90-_xlfn.XLOOKUP(Q39,'MRT station dataset'!$C$3:$C$179,'MRT station dataset'!$E$3:$E$179)))*COS(RADIANS(P39-_xlfn.XLOOKUP('Resale flat dataset'!Q39,'MRT station dataset'!$C$3:$C$179,'MRT station dataset'!$F$3:$F$179))))*6371*1000</f>
        <v>521.45023593899896</v>
      </c>
      <c r="U39" s="39">
        <f>ACOS(COS(RADIANS(90-O39))*COS(RADIANS(90-_xlfn.XLOOKUP(R39,'Mall Dataset'!$B$3:$B$157,'Mall Dataset'!$E$3:$E$157,,0)))+SIN(RADIANS(90-O39))*SIN(RADIANS(90-_xlfn.XLOOKUP(R39,'Mall Dataset'!$B$3:$B$157,'Mall Dataset'!$E$3:$E$157,,0)))*COS(RADIANS(P39-_xlfn.XLOOKUP(R39,'Mall Dataset'!$B$3:$B$157,'Mall Dataset'!$F$3:$F$157,,0))))*6371*1000</f>
        <v>1756.7817627108586</v>
      </c>
      <c r="V39" s="39">
        <f>ACOS(COS(RADIANS(90-O39))*COS(RADIANS(90-_xlfn.XLOOKUP(S39,'Schools dataset'!$B$3:$B$187,'Schools dataset'!$J$3:$J$187,,0)))+SIN(RADIANS(90-O39))*SIN(RADIANS(90-_xlfn.XLOOKUP(S39,'Schools dataset'!$B$3:$B$187,'Schools dataset'!$J$3:$J$187,,0)))*COS(RADIANS(P39-_xlfn.XLOOKUP(S39,'Schools dataset'!$B$3:$B$187,'Schools dataset'!$K$3:$K$187,,0))))*6371*1000</f>
        <v>260.12320151468236</v>
      </c>
      <c r="W39" s="20">
        <f>_xlfn.XLOOKUP(T39,'HDB Recommender'!$P$10:$P$39,'HDB Recommender'!$Q$10:$Q$39,"&gt;30mins",1)</f>
        <v>7</v>
      </c>
      <c r="X39" s="20">
        <f>_xlfn.XLOOKUP(U39,'HDB Recommender'!$P$10:$P$39,'HDB Recommender'!$Q$10:$Q$39,"&gt;30mins",1)</f>
        <v>24</v>
      </c>
      <c r="Y39" s="20">
        <f>_xlfn.XLOOKUP(V39,'HDB Recommender'!$P$10:$P$39,'HDB Recommender'!$Q$10:$Q$39,"&gt;30mins",1)</f>
        <v>4</v>
      </c>
      <c r="Z39" s="39">
        <f t="shared" si="0"/>
        <v>11.666666666666666</v>
      </c>
      <c r="AA39" s="20" t="str">
        <f t="shared" si="1"/>
        <v>Within 1km</v>
      </c>
    </row>
    <row r="40" spans="2:27" hidden="1">
      <c r="B40" s="35" t="s">
        <v>317</v>
      </c>
      <c r="C40" s="35" t="s">
        <v>351</v>
      </c>
      <c r="D40" s="35" t="s">
        <v>20</v>
      </c>
      <c r="E40" s="35">
        <v>64</v>
      </c>
      <c r="F40" s="35" t="s">
        <v>381</v>
      </c>
      <c r="G40" s="35" t="s">
        <v>184</v>
      </c>
      <c r="H40" s="35">
        <v>92</v>
      </c>
      <c r="I40" s="35" t="s">
        <v>320</v>
      </c>
      <c r="J40" s="36">
        <v>1978</v>
      </c>
      <c r="K40" s="39">
        <v>53.75</v>
      </c>
      <c r="L40" s="37">
        <v>500000</v>
      </c>
      <c r="M40" s="35" t="s">
        <v>382</v>
      </c>
      <c r="N40" s="27">
        <v>460064</v>
      </c>
      <c r="O40" s="38">
        <v>1.3242249299906399</v>
      </c>
      <c r="P40" s="38">
        <v>103.93985537620701</v>
      </c>
      <c r="Q40" s="38" t="str" cm="1">
        <f t="array" ref="Q40">INDEX('MRT station dataset'!$C$3:$C$179, MATCH(MIN(SQRT(('MRT station dataset'!$E$3:$E$179-'Resale flat dataset'!O40)^2+('MRT station dataset'!$F$3:$F$179-'Resale flat dataset'!P40)^2)), SQRT(('MRT station dataset'!$E$3:$E$179-'Resale flat dataset'!O40)^2+('MRT station dataset'!$F$3:$F$179-'Resale flat dataset'!P40)^2), 0))</f>
        <v>TANAH MERAH MRT STATION</v>
      </c>
      <c r="R40" s="38" t="str" cm="1">
        <f t="array" ref="R40">INDEX('Mall Dataset'!$B$3:$B$157, MATCH(MIN(SQRT(('Mall Dataset'!$E$3:$E$157-'Resale flat dataset'!O40)^2+('Mall Dataset'!$F$3:$F$157-'Resale flat dataset'!P40)^2)), SQRT(('Mall Dataset'!$E$3:$E$157-'Resale flat dataset'!O40)^2+('Mall Dataset'!$F$3:$F$157-'Resale flat dataset'!P40)^2), 0))</f>
        <v>Djitsun Mall Bedok</v>
      </c>
      <c r="S40" s="38" t="str" cm="1">
        <f t="array" ref="S40">INDEX('Schools dataset'!$B$3:$B$187, MATCH(MIN(SQRT(('Schools dataset'!$J$3:$J$187-'Resale flat dataset'!O40)^2+('Schools dataset'!$K$3:$K$187-'Resale flat dataset'!P40)^2)), SQRT(('Schools dataset'!$J$3:$J$187-'Resale flat dataset'!O40)^2+('Schools dataset'!$K$3:$K$187-'Resale flat dataset'!P40)^2), 0))</f>
        <v>BEDOK GREEN PRIMARY SCHOOL</v>
      </c>
      <c r="T40" s="39">
        <f>ACOS(COS(RADIANS(90-O40))*COS(RADIANS(90-_xlfn.XLOOKUP(Q40,'MRT station dataset'!$C$3:$C$179,'MRT station dataset'!$E$3:$E$179)))+SIN(RADIANS(90-O40))*SIN(RADIANS(90-_xlfn.XLOOKUP(Q40,'MRT station dataset'!$C$3:$C$179,'MRT station dataset'!$E$3:$E$179)))*COS(RADIANS(P40-_xlfn.XLOOKUP('Resale flat dataset'!Q40,'MRT station dataset'!$C$3:$C$179,'MRT station dataset'!$F$3:$F$179))))*6371*1000</f>
        <v>789.10790791428735</v>
      </c>
      <c r="U40" s="39">
        <f>ACOS(COS(RADIANS(90-O40))*COS(RADIANS(90-_xlfn.XLOOKUP(R40,'Mall Dataset'!$B$3:$B$157,'Mall Dataset'!$E$3:$E$157,,0)))+SIN(RADIANS(90-O40))*SIN(RADIANS(90-_xlfn.XLOOKUP(R40,'Mall Dataset'!$B$3:$B$157,'Mall Dataset'!$E$3:$E$157,,0)))*COS(RADIANS(P40-_xlfn.XLOOKUP(R40,'Mall Dataset'!$B$3:$B$157,'Mall Dataset'!$F$3:$F$157,,0))))*6371*1000</f>
        <v>1448.4022854147913</v>
      </c>
      <c r="V40" s="39">
        <f>ACOS(COS(RADIANS(90-O40))*COS(RADIANS(90-_xlfn.XLOOKUP(S40,'Schools dataset'!$B$3:$B$187,'Schools dataset'!$J$3:$J$187,,0)))+SIN(RADIANS(90-O40))*SIN(RADIANS(90-_xlfn.XLOOKUP(S40,'Schools dataset'!$B$3:$B$187,'Schools dataset'!$J$3:$J$187,,0)))*COS(RADIANS(P40-_xlfn.XLOOKUP(S40,'Schools dataset'!$B$3:$B$187,'Schools dataset'!$K$3:$K$187,,0))))*6371*1000</f>
        <v>236.1658031101621</v>
      </c>
      <c r="W40" s="20">
        <f>_xlfn.XLOOKUP(T40,'HDB Recommender'!$P$10:$P$39,'HDB Recommender'!$Q$10:$Q$39,"&gt;30mins",1)</f>
        <v>11</v>
      </c>
      <c r="X40" s="20">
        <f>_xlfn.XLOOKUP(U40,'HDB Recommender'!$P$10:$P$39,'HDB Recommender'!$Q$10:$Q$39,"&gt;30mins",1)</f>
        <v>20</v>
      </c>
      <c r="Y40" s="20">
        <f>_xlfn.XLOOKUP(V40,'HDB Recommender'!$P$10:$P$39,'HDB Recommender'!$Q$10:$Q$39,"&gt;30mins",1)</f>
        <v>4</v>
      </c>
      <c r="Z40" s="39">
        <f t="shared" si="0"/>
        <v>11.666666666666666</v>
      </c>
      <c r="AA40" s="20" t="str">
        <f t="shared" si="1"/>
        <v>Within 1km</v>
      </c>
    </row>
    <row r="41" spans="2:27" hidden="1">
      <c r="B41" s="35" t="s">
        <v>317</v>
      </c>
      <c r="C41" s="35" t="s">
        <v>351</v>
      </c>
      <c r="D41" s="35" t="s">
        <v>383</v>
      </c>
      <c r="E41" s="35">
        <v>639</v>
      </c>
      <c r="F41" s="35" t="s">
        <v>366</v>
      </c>
      <c r="G41" s="35" t="s">
        <v>349</v>
      </c>
      <c r="H41" s="35">
        <v>143</v>
      </c>
      <c r="I41" s="35" t="s">
        <v>384</v>
      </c>
      <c r="J41" s="36">
        <v>1993</v>
      </c>
      <c r="K41" s="39">
        <v>69.25</v>
      </c>
      <c r="L41" s="37">
        <v>850000</v>
      </c>
      <c r="M41" s="35" t="s">
        <v>385</v>
      </c>
      <c r="N41" s="27">
        <v>410639</v>
      </c>
      <c r="O41" s="38">
        <v>1.33166324925224</v>
      </c>
      <c r="P41" s="38">
        <v>103.904625609758</v>
      </c>
      <c r="Q41" s="38" t="str" cm="1">
        <f t="array" ref="Q41">INDEX('MRT station dataset'!$C$3:$C$179, MATCH(MIN(SQRT(('MRT station dataset'!$E$3:$E$179-'Resale flat dataset'!O41)^2+('MRT station dataset'!$F$3:$F$179-'Resale flat dataset'!P41)^2)), SQRT(('MRT station dataset'!$E$3:$E$179-'Resale flat dataset'!O41)^2+('MRT station dataset'!$F$3:$F$179-'Resale flat dataset'!P41)^2), 0))</f>
        <v>KAKI BUKIT MRT STATION</v>
      </c>
      <c r="R41" s="38" t="str" cm="1">
        <f t="array" ref="R41">INDEX('Mall Dataset'!$B$3:$B$157, MATCH(MIN(SQRT(('Mall Dataset'!$E$3:$E$157-'Resale flat dataset'!O41)^2+('Mall Dataset'!$F$3:$F$157-'Resale flat dataset'!P41)^2)), SQRT(('Mall Dataset'!$E$3:$E$157-'Resale flat dataset'!O41)^2+('Mall Dataset'!$F$3:$F$157-'Resale flat dataset'!P41)^2), 0))</f>
        <v>Singpost Centre</v>
      </c>
      <c r="S41" s="38" t="str" cm="1">
        <f t="array" ref="S41">INDEX('Schools dataset'!$B$3:$B$187, MATCH(MIN(SQRT(('Schools dataset'!$J$3:$J$187-'Resale flat dataset'!O41)^2+('Schools dataset'!$K$3:$K$187-'Resale flat dataset'!P41)^2)), SQRT(('Schools dataset'!$J$3:$J$187-'Resale flat dataset'!O41)^2+('Schools dataset'!$K$3:$K$187-'Resale flat dataset'!P41)^2), 0))</f>
        <v>MAHA BODHI SCHOOL</v>
      </c>
      <c r="T41" s="39">
        <f>ACOS(COS(RADIANS(90-O41))*COS(RADIANS(90-_xlfn.XLOOKUP(Q41,'MRT station dataset'!$C$3:$C$179,'MRT station dataset'!$E$3:$E$179)))+SIN(RADIANS(90-O41))*SIN(RADIANS(90-_xlfn.XLOOKUP(Q41,'MRT station dataset'!$C$3:$C$179,'MRT station dataset'!$E$3:$E$179)))*COS(RADIANS(P41-_xlfn.XLOOKUP('Resale flat dataset'!Q41,'MRT station dataset'!$C$3:$C$179,'MRT station dataset'!$F$3:$F$179))))*6371*1000</f>
        <v>568.47342846455945</v>
      </c>
      <c r="U41" s="39">
        <f>ACOS(COS(RADIANS(90-O41))*COS(RADIANS(90-_xlfn.XLOOKUP(R41,'Mall Dataset'!$B$3:$B$157,'Mall Dataset'!$E$3:$E$157,,0)))+SIN(RADIANS(90-O41))*SIN(RADIANS(90-_xlfn.XLOOKUP(R41,'Mall Dataset'!$B$3:$B$157,'Mall Dataset'!$E$3:$E$157,,0)))*COS(RADIANS(P41-_xlfn.XLOOKUP(R41,'Mall Dataset'!$B$3:$B$157,'Mall Dataset'!$F$3:$F$157,,0))))*6371*1000</f>
        <v>1775.9121376114997</v>
      </c>
      <c r="V41" s="39">
        <f>ACOS(COS(RADIANS(90-O41))*COS(RADIANS(90-_xlfn.XLOOKUP(S41,'Schools dataset'!$B$3:$B$187,'Schools dataset'!$J$3:$J$187,,0)))+SIN(RADIANS(90-O41))*SIN(RADIANS(90-_xlfn.XLOOKUP(S41,'Schools dataset'!$B$3:$B$187,'Schools dataset'!$J$3:$J$187,,0)))*COS(RADIANS(P41-_xlfn.XLOOKUP(S41,'Schools dataset'!$B$3:$B$187,'Schools dataset'!$K$3:$K$187,,0))))*6371*1000</f>
        <v>512.6245803995804</v>
      </c>
      <c r="W41" s="20">
        <f>_xlfn.XLOOKUP(T41,'HDB Recommender'!$P$10:$P$39,'HDB Recommender'!$Q$10:$Q$39,"&gt;30mins",1)</f>
        <v>8</v>
      </c>
      <c r="X41" s="20">
        <f>_xlfn.XLOOKUP(U41,'HDB Recommender'!$P$10:$P$39,'HDB Recommender'!$Q$10:$Q$39,"&gt;30mins",1)</f>
        <v>24</v>
      </c>
      <c r="Y41" s="20">
        <f>_xlfn.XLOOKUP(V41,'HDB Recommender'!$P$10:$P$39,'HDB Recommender'!$Q$10:$Q$39,"&gt;30mins",1)</f>
        <v>7</v>
      </c>
      <c r="Z41" s="39">
        <f t="shared" si="0"/>
        <v>13</v>
      </c>
      <c r="AA41" s="20" t="str">
        <f t="shared" si="1"/>
        <v>Within 1km</v>
      </c>
    </row>
    <row r="42" spans="2:27" hidden="1">
      <c r="B42" s="35" t="s">
        <v>317</v>
      </c>
      <c r="C42" s="35" t="s">
        <v>386</v>
      </c>
      <c r="D42" s="35" t="s">
        <v>20</v>
      </c>
      <c r="E42" s="35"/>
      <c r="F42" s="35" t="s">
        <v>387</v>
      </c>
      <c r="G42" s="35" t="s">
        <v>344</v>
      </c>
      <c r="H42" s="35">
        <v>95</v>
      </c>
      <c r="I42" s="35" t="s">
        <v>363</v>
      </c>
      <c r="J42" s="36">
        <v>2011</v>
      </c>
      <c r="K42" s="39">
        <v>86.9166666666666</v>
      </c>
      <c r="L42" s="37">
        <v>1078000</v>
      </c>
      <c r="M42" s="35" t="s">
        <v>388</v>
      </c>
      <c r="N42" s="27">
        <v>571273</v>
      </c>
      <c r="O42" s="38">
        <v>1.35636621091925</v>
      </c>
      <c r="P42" s="38">
        <v>103.843933964667</v>
      </c>
      <c r="Q42" s="38" t="str" cm="1">
        <f t="array" ref="Q42">INDEX('MRT station dataset'!$C$3:$C$179, MATCH(MIN(SQRT(('MRT station dataset'!$E$3:$E$179-'Resale flat dataset'!O42)^2+('MRT station dataset'!$F$3:$F$179-'Resale flat dataset'!P42)^2)), SQRT(('MRT station dataset'!$E$3:$E$179-'Resale flat dataset'!O42)^2+('MRT station dataset'!$F$3:$F$179-'Resale flat dataset'!P42)^2), 0))</f>
        <v>BISHAN MRT STATION</v>
      </c>
      <c r="R42" s="38" t="str" cm="1">
        <f t="array" ref="R42">INDEX('Mall Dataset'!$B$3:$B$157, MATCH(MIN(SQRT(('Mall Dataset'!$E$3:$E$157-'Resale flat dataset'!O42)^2+('Mall Dataset'!$F$3:$F$157-'Resale flat dataset'!P42)^2)), SQRT(('Mall Dataset'!$E$3:$E$157-'Resale flat dataset'!O42)^2+('Mall Dataset'!$F$3:$F$157-'Resale flat dataset'!P42)^2), 0))</f>
        <v>Junction 8</v>
      </c>
      <c r="S42" s="38" t="str" cm="1">
        <f t="array" ref="S42">INDEX('Schools dataset'!$B$3:$B$187, MATCH(MIN(SQRT(('Schools dataset'!$J$3:$J$187-'Resale flat dataset'!O42)^2+('Schools dataset'!$K$3:$K$187-'Resale flat dataset'!P42)^2)), SQRT(('Schools dataset'!$J$3:$J$187-'Resale flat dataset'!O42)^2+('Schools dataset'!$K$3:$K$187-'Resale flat dataset'!P42)^2), 0))</f>
        <v>CATHOLIC HIGH SCHOOL</v>
      </c>
      <c r="T42" s="39">
        <f>ACOS(COS(RADIANS(90-O42))*COS(RADIANS(90-_xlfn.XLOOKUP(Q42,'MRT station dataset'!$C$3:$C$179,'MRT station dataset'!$E$3:$E$179)))+SIN(RADIANS(90-O42))*SIN(RADIANS(90-_xlfn.XLOOKUP(Q42,'MRT station dataset'!$C$3:$C$179,'MRT station dataset'!$E$3:$E$179)))*COS(RADIANS(P42-_xlfn.XLOOKUP('Resale flat dataset'!Q42,'MRT station dataset'!$C$3:$C$179,'MRT station dataset'!$F$3:$F$179))))*6371*1000</f>
        <v>773.01566449920279</v>
      </c>
      <c r="U42" s="39">
        <f>ACOS(COS(RADIANS(90-O42))*COS(RADIANS(90-_xlfn.XLOOKUP(R42,'Mall Dataset'!$B$3:$B$157,'Mall Dataset'!$E$3:$E$157,,0)))+SIN(RADIANS(90-O42))*SIN(RADIANS(90-_xlfn.XLOOKUP(R42,'Mall Dataset'!$B$3:$B$157,'Mall Dataset'!$E$3:$E$157,,0)))*COS(RADIANS(P42-_xlfn.XLOOKUP(R42,'Mall Dataset'!$B$3:$B$157,'Mall Dataset'!$F$3:$F$157,,0))))*6371*1000</f>
        <v>859.10571647687721</v>
      </c>
      <c r="V42" s="39">
        <f>ACOS(COS(RADIANS(90-O42))*COS(RADIANS(90-_xlfn.XLOOKUP(S42,'Schools dataset'!$B$3:$B$187,'Schools dataset'!$J$3:$J$187,,0)))+SIN(RADIANS(90-O42))*SIN(RADIANS(90-_xlfn.XLOOKUP(S42,'Schools dataset'!$B$3:$B$187,'Schools dataset'!$J$3:$J$187,,0)))*COS(RADIANS(P42-_xlfn.XLOOKUP(S42,'Schools dataset'!$B$3:$B$187,'Schools dataset'!$K$3:$K$187,,0))))*6371*1000</f>
        <v>222.02096592420563</v>
      </c>
      <c r="W42" s="20">
        <f>_xlfn.XLOOKUP(T42,'HDB Recommender'!$P$10:$P$39,'HDB Recommender'!$Q$10:$Q$39,"&gt;30mins",1)</f>
        <v>11</v>
      </c>
      <c r="X42" s="20">
        <f>_xlfn.XLOOKUP(U42,'HDB Recommender'!$P$10:$P$39,'HDB Recommender'!$Q$10:$Q$39,"&gt;30mins",1)</f>
        <v>12</v>
      </c>
      <c r="Y42" s="20">
        <f>_xlfn.XLOOKUP(V42,'HDB Recommender'!$P$10:$P$39,'HDB Recommender'!$Q$10:$Q$39,"&gt;30mins",1)</f>
        <v>3</v>
      </c>
      <c r="Z42" s="39">
        <f t="shared" si="0"/>
        <v>8.6666666666666661</v>
      </c>
      <c r="AA42" s="20" t="str">
        <f t="shared" si="1"/>
        <v>Within 1km</v>
      </c>
    </row>
    <row r="43" spans="2:27" hidden="1">
      <c r="B43" s="35" t="s">
        <v>317</v>
      </c>
      <c r="C43" s="35" t="s">
        <v>386</v>
      </c>
      <c r="D43" s="35" t="s">
        <v>341</v>
      </c>
      <c r="E43" s="35">
        <v>290</v>
      </c>
      <c r="F43" s="35" t="s">
        <v>387</v>
      </c>
      <c r="G43" s="35" t="s">
        <v>323</v>
      </c>
      <c r="H43" s="35">
        <v>121</v>
      </c>
      <c r="I43" s="35" t="s">
        <v>389</v>
      </c>
      <c r="J43" s="36">
        <v>1998</v>
      </c>
      <c r="K43" s="39">
        <v>73.75</v>
      </c>
      <c r="L43" s="37">
        <v>925000</v>
      </c>
      <c r="M43" s="35" t="s">
        <v>390</v>
      </c>
      <c r="N43" s="27">
        <v>570290</v>
      </c>
      <c r="O43" s="38">
        <v>1.3561377851657599</v>
      </c>
      <c r="P43" s="38">
        <v>103.844897654796</v>
      </c>
      <c r="Q43" s="38" t="str" cm="1">
        <f t="array" ref="Q43">INDEX('MRT station dataset'!$C$3:$C$179, MATCH(MIN(SQRT(('MRT station dataset'!$E$3:$E$179-'Resale flat dataset'!O43)^2+('MRT station dataset'!$F$3:$F$179-'Resale flat dataset'!P43)^2)), SQRT(('MRT station dataset'!$E$3:$E$179-'Resale flat dataset'!O43)^2+('MRT station dataset'!$F$3:$F$179-'Resale flat dataset'!P43)^2), 0))</f>
        <v>BISHAN MRT STATION</v>
      </c>
      <c r="R43" s="38" t="str" cm="1">
        <f t="array" ref="R43">INDEX('Mall Dataset'!$B$3:$B$157, MATCH(MIN(SQRT(('Mall Dataset'!$E$3:$E$157-'Resale flat dataset'!O43)^2+('Mall Dataset'!$F$3:$F$157-'Resale flat dataset'!P43)^2)), SQRT(('Mall Dataset'!$E$3:$E$157-'Resale flat dataset'!O43)^2+('Mall Dataset'!$F$3:$F$157-'Resale flat dataset'!P43)^2), 0))</f>
        <v>Junction 8</v>
      </c>
      <c r="S43" s="38" t="str" cm="1">
        <f t="array" ref="S43">INDEX('Schools dataset'!$B$3:$B$187, MATCH(MIN(SQRT(('Schools dataset'!$J$3:$J$187-'Resale flat dataset'!O43)^2+('Schools dataset'!$K$3:$K$187-'Resale flat dataset'!P43)^2)), SQRT(('Schools dataset'!$J$3:$J$187-'Resale flat dataset'!O43)^2+('Schools dataset'!$K$3:$K$187-'Resale flat dataset'!P43)^2), 0))</f>
        <v>CATHOLIC HIGH SCHOOL</v>
      </c>
      <c r="T43" s="39">
        <f>ACOS(COS(RADIANS(90-O43))*COS(RADIANS(90-_xlfn.XLOOKUP(Q43,'MRT station dataset'!$C$3:$C$179,'MRT station dataset'!$E$3:$E$179)))+SIN(RADIANS(90-O43))*SIN(RADIANS(90-_xlfn.XLOOKUP(Q43,'MRT station dataset'!$C$3:$C$179,'MRT station dataset'!$E$3:$E$179)))*COS(RADIANS(P43-_xlfn.XLOOKUP('Resale flat dataset'!Q43,'MRT station dataset'!$C$3:$C$179,'MRT station dataset'!$F$3:$F$179))))*6371*1000</f>
        <v>692.10462781492015</v>
      </c>
      <c r="U43" s="39">
        <f>ACOS(COS(RADIANS(90-O43))*COS(RADIANS(90-_xlfn.XLOOKUP(R43,'Mall Dataset'!$B$3:$B$157,'Mall Dataset'!$E$3:$E$157,,0)))+SIN(RADIANS(90-O43))*SIN(RADIANS(90-_xlfn.XLOOKUP(R43,'Mall Dataset'!$B$3:$B$157,'Mall Dataset'!$E$3:$E$157,,0)))*COS(RADIANS(P43-_xlfn.XLOOKUP(R43,'Mall Dataset'!$B$3:$B$157,'Mall Dataset'!$F$3:$F$157,,0))))*6371*1000</f>
        <v>777.92496154155424</v>
      </c>
      <c r="V43" s="39">
        <f>ACOS(COS(RADIANS(90-O43))*COS(RADIANS(90-_xlfn.XLOOKUP(S43,'Schools dataset'!$B$3:$B$187,'Schools dataset'!$J$3:$J$187,,0)))+SIN(RADIANS(90-O43))*SIN(RADIANS(90-_xlfn.XLOOKUP(S43,'Schools dataset'!$B$3:$B$187,'Schools dataset'!$J$3:$J$187,,0)))*COS(RADIANS(P43-_xlfn.XLOOKUP(S43,'Schools dataset'!$B$3:$B$187,'Schools dataset'!$K$3:$K$187,,0))))*6371*1000</f>
        <v>208.93669578940012</v>
      </c>
      <c r="W43" s="20">
        <f>_xlfn.XLOOKUP(T43,'HDB Recommender'!$P$10:$P$39,'HDB Recommender'!$Q$10:$Q$39,"&gt;30mins",1)</f>
        <v>10</v>
      </c>
      <c r="X43" s="20">
        <f>_xlfn.XLOOKUP(U43,'HDB Recommender'!$P$10:$P$39,'HDB Recommender'!$Q$10:$Q$39,"&gt;30mins",1)</f>
        <v>11</v>
      </c>
      <c r="Y43" s="20">
        <f>_xlfn.XLOOKUP(V43,'HDB Recommender'!$P$10:$P$39,'HDB Recommender'!$Q$10:$Q$39,"&gt;30mins",1)</f>
        <v>3</v>
      </c>
      <c r="Z43" s="39">
        <f t="shared" si="0"/>
        <v>8</v>
      </c>
      <c r="AA43" s="20" t="str">
        <f t="shared" si="1"/>
        <v>Within 1km</v>
      </c>
    </row>
    <row r="44" spans="2:27" hidden="1">
      <c r="B44" s="35" t="s">
        <v>317</v>
      </c>
      <c r="C44" s="35" t="s">
        <v>386</v>
      </c>
      <c r="D44" s="35" t="s">
        <v>383</v>
      </c>
      <c r="E44" s="35">
        <v>201</v>
      </c>
      <c r="F44" s="35" t="s">
        <v>391</v>
      </c>
      <c r="G44" s="35" t="s">
        <v>191</v>
      </c>
      <c r="H44" s="35">
        <v>151</v>
      </c>
      <c r="I44" s="35" t="s">
        <v>392</v>
      </c>
      <c r="J44" s="36">
        <v>1992</v>
      </c>
      <c r="K44" s="39">
        <v>67.5833333333333</v>
      </c>
      <c r="L44" s="37">
        <v>1000000</v>
      </c>
      <c r="M44" s="35" t="s">
        <v>393</v>
      </c>
      <c r="N44" s="27">
        <v>570201</v>
      </c>
      <c r="O44" s="38">
        <v>1.3550668619694901</v>
      </c>
      <c r="P44" s="38">
        <v>103.846946067332</v>
      </c>
      <c r="Q44" s="38" t="str" cm="1">
        <f t="array" ref="Q44">INDEX('MRT station dataset'!$C$3:$C$179, MATCH(MIN(SQRT(('MRT station dataset'!$E$3:$E$179-'Resale flat dataset'!O44)^2+('MRT station dataset'!$F$3:$F$179-'Resale flat dataset'!P44)^2)), SQRT(('MRT station dataset'!$E$3:$E$179-'Resale flat dataset'!O44)^2+('MRT station dataset'!$F$3:$F$179-'Resale flat dataset'!P44)^2), 0))</f>
        <v>BISHAN MRT STATION</v>
      </c>
      <c r="R44" s="38" t="str" cm="1">
        <f t="array" ref="R44">INDEX('Mall Dataset'!$B$3:$B$157, MATCH(MIN(SQRT(('Mall Dataset'!$E$3:$E$157-'Resale flat dataset'!O44)^2+('Mall Dataset'!$F$3:$F$157-'Resale flat dataset'!P44)^2)), SQRT(('Mall Dataset'!$E$3:$E$157-'Resale flat dataset'!O44)^2+('Mall Dataset'!$F$3:$F$157-'Resale flat dataset'!P44)^2), 0))</f>
        <v>Junction 8</v>
      </c>
      <c r="S44" s="38" t="str" cm="1">
        <f t="array" ref="S44">INDEX('Schools dataset'!$B$3:$B$187, MATCH(MIN(SQRT(('Schools dataset'!$J$3:$J$187-'Resale flat dataset'!O44)^2+('Schools dataset'!$K$3:$K$187-'Resale flat dataset'!P44)^2)), SQRT(('Schools dataset'!$J$3:$J$187-'Resale flat dataset'!O44)^2+('Schools dataset'!$K$3:$K$187-'Resale flat dataset'!P44)^2), 0))</f>
        <v>CATHOLIC HIGH SCHOOL</v>
      </c>
      <c r="T44" s="39">
        <f>ACOS(COS(RADIANS(90-O44))*COS(RADIANS(90-_xlfn.XLOOKUP(Q44,'MRT station dataset'!$C$3:$C$179,'MRT station dataset'!$E$3:$E$179)))+SIN(RADIANS(90-O44))*SIN(RADIANS(90-_xlfn.XLOOKUP(Q44,'MRT station dataset'!$C$3:$C$179,'MRT station dataset'!$E$3:$E$179)))*COS(RADIANS(P44-_xlfn.XLOOKUP('Resale flat dataset'!Q44,'MRT station dataset'!$C$3:$C$179,'MRT station dataset'!$F$3:$F$179))))*6371*1000</f>
        <v>491.48824383203828</v>
      </c>
      <c r="U44" s="39">
        <f>ACOS(COS(RADIANS(90-O44))*COS(RADIANS(90-_xlfn.XLOOKUP(R44,'Mall Dataset'!$B$3:$B$157,'Mall Dataset'!$E$3:$E$157,,0)))+SIN(RADIANS(90-O44))*SIN(RADIANS(90-_xlfn.XLOOKUP(R44,'Mall Dataset'!$B$3:$B$157,'Mall Dataset'!$E$3:$E$157,,0)))*COS(RADIANS(P44-_xlfn.XLOOKUP(R44,'Mall Dataset'!$B$3:$B$157,'Mall Dataset'!$F$3:$F$157,,0))))*6371*1000</f>
        <v>572.82656858867108</v>
      </c>
      <c r="V44" s="39">
        <f>ACOS(COS(RADIANS(90-O44))*COS(RADIANS(90-_xlfn.XLOOKUP(S44,'Schools dataset'!$B$3:$B$187,'Schools dataset'!$J$3:$J$187,,0)))+SIN(RADIANS(90-O44))*SIN(RADIANS(90-_xlfn.XLOOKUP(S44,'Schools dataset'!$B$3:$B$187,'Schools dataset'!$J$3:$J$187,,0)))*COS(RADIANS(P44-_xlfn.XLOOKUP(S44,'Schools dataset'!$B$3:$B$187,'Schools dataset'!$K$3:$K$187,,0))))*6371*1000</f>
        <v>313.28569219079026</v>
      </c>
      <c r="W44" s="20">
        <f>_xlfn.XLOOKUP(T44,'HDB Recommender'!$P$10:$P$39,'HDB Recommender'!$Q$10:$Q$39,"&gt;30mins",1)</f>
        <v>7</v>
      </c>
      <c r="X44" s="20">
        <f>_xlfn.XLOOKUP(U44,'HDB Recommender'!$P$10:$P$39,'HDB Recommender'!$Q$10:$Q$39,"&gt;30mins",1)</f>
        <v>8</v>
      </c>
      <c r="Y44" s="20">
        <f>_xlfn.XLOOKUP(V44,'HDB Recommender'!$P$10:$P$39,'HDB Recommender'!$Q$10:$Q$39,"&gt;30mins",1)</f>
        <v>5</v>
      </c>
      <c r="Z44" s="39">
        <f t="shared" si="0"/>
        <v>6.666666666666667</v>
      </c>
      <c r="AA44" s="20" t="str">
        <f t="shared" si="1"/>
        <v>Within 1km</v>
      </c>
    </row>
    <row r="45" spans="2:27" hidden="1">
      <c r="B45" s="35" t="s">
        <v>317</v>
      </c>
      <c r="C45" s="35" t="s">
        <v>394</v>
      </c>
      <c r="D45" s="35" t="s">
        <v>395</v>
      </c>
      <c r="E45" s="35"/>
      <c r="F45" s="35" t="s">
        <v>396</v>
      </c>
      <c r="G45" s="35" t="s">
        <v>349</v>
      </c>
      <c r="H45" s="35">
        <v>47</v>
      </c>
      <c r="I45" s="35" t="s">
        <v>397</v>
      </c>
      <c r="J45" s="36">
        <v>2019</v>
      </c>
      <c r="K45" s="39">
        <v>94.5833333333333</v>
      </c>
      <c r="L45" s="37">
        <v>320000</v>
      </c>
      <c r="M45" s="35" t="s">
        <v>398</v>
      </c>
      <c r="N45" s="27">
        <v>652448</v>
      </c>
      <c r="O45" s="38">
        <v>1.35314900034194</v>
      </c>
      <c r="P45" s="38">
        <v>103.740846555722</v>
      </c>
      <c r="Q45" s="38" t="str" cm="1">
        <f t="array" ref="Q45">INDEX('MRT station dataset'!$C$3:$C$179, MATCH(MIN(SQRT(('MRT station dataset'!$E$3:$E$179-'Resale flat dataset'!O45)^2+('MRT station dataset'!$F$3:$F$179-'Resale flat dataset'!P45)^2)), SQRT(('MRT station dataset'!$E$3:$E$179-'Resale flat dataset'!O45)^2+('MRT station dataset'!$F$3:$F$179-'Resale flat dataset'!P45)^2), 0))</f>
        <v>BUKIT BATOK MRT STATION</v>
      </c>
      <c r="R45" s="38" t="str" cm="1">
        <f t="array" ref="R45">INDEX('Mall Dataset'!$B$3:$B$157, MATCH(MIN(SQRT(('Mall Dataset'!$E$3:$E$157-'Resale flat dataset'!O45)^2+('Mall Dataset'!$F$3:$F$157-'Resale flat dataset'!P45)^2)), SQRT(('Mall Dataset'!$E$3:$E$157-'Resale flat dataset'!O45)^2+('Mall Dataset'!$F$3:$F$157-'Resale flat dataset'!P45)^2), 0))</f>
        <v>West Mall</v>
      </c>
      <c r="S45" s="38" t="str" cm="1">
        <f t="array" ref="S45">INDEX('Schools dataset'!$B$3:$B$187, MATCH(MIN(SQRT(('Schools dataset'!$J$3:$J$187-'Resale flat dataset'!O45)^2+('Schools dataset'!$K$3:$K$187-'Resale flat dataset'!P45)^2)), SQRT(('Schools dataset'!$J$3:$J$187-'Resale flat dataset'!O45)^2+('Schools dataset'!$K$3:$K$187-'Resale flat dataset'!P45)^2), 0))</f>
        <v>PRINCESS ELIZABETH PRIMARY SCHOOL</v>
      </c>
      <c r="T45" s="39">
        <f>ACOS(COS(RADIANS(90-O45))*COS(RADIANS(90-_xlfn.XLOOKUP(Q45,'MRT station dataset'!$C$3:$C$179,'MRT station dataset'!$E$3:$E$179)))+SIN(RADIANS(90-O45))*SIN(RADIANS(90-_xlfn.XLOOKUP(Q45,'MRT station dataset'!$C$3:$C$179,'MRT station dataset'!$E$3:$E$179)))*COS(RADIANS(P45-_xlfn.XLOOKUP('Resale flat dataset'!Q45,'MRT station dataset'!$C$3:$C$179,'MRT station dataset'!$F$3:$F$179))))*6371*1000</f>
        <v>1076.8951213619828</v>
      </c>
      <c r="U45" s="39">
        <f>ACOS(COS(RADIANS(90-O45))*COS(RADIANS(90-_xlfn.XLOOKUP(R45,'Mall Dataset'!$B$3:$B$157,'Mall Dataset'!$E$3:$E$157,,0)))+SIN(RADIANS(90-O45))*SIN(RADIANS(90-_xlfn.XLOOKUP(R45,'Mall Dataset'!$B$3:$B$157,'Mall Dataset'!$E$3:$E$157,,0)))*COS(RADIANS(P45-_xlfn.XLOOKUP(R45,'Mall Dataset'!$B$3:$B$157,'Mall Dataset'!$F$3:$F$157,,0))))*6371*1000</f>
        <v>970.45177447886726</v>
      </c>
      <c r="V45" s="39">
        <f>ACOS(COS(RADIANS(90-O45))*COS(RADIANS(90-_xlfn.XLOOKUP(S45,'Schools dataset'!$B$3:$B$187,'Schools dataset'!$J$3:$J$187,,0)))+SIN(RADIANS(90-O45))*SIN(RADIANS(90-_xlfn.XLOOKUP(S45,'Schools dataset'!$B$3:$B$187,'Schools dataset'!$J$3:$J$187,,0)))*COS(RADIANS(P45-_xlfn.XLOOKUP(S45,'Schools dataset'!$B$3:$B$187,'Schools dataset'!$K$3:$K$187,,0))))*6371*1000</f>
        <v>439.13994527452837</v>
      </c>
      <c r="W45" s="20">
        <f>_xlfn.XLOOKUP(T45,'HDB Recommender'!$P$10:$P$39,'HDB Recommender'!$Q$10:$Q$39,"&gt;30mins",1)</f>
        <v>15</v>
      </c>
      <c r="X45" s="20">
        <f>_xlfn.XLOOKUP(U45,'HDB Recommender'!$P$10:$P$39,'HDB Recommender'!$Q$10:$Q$39,"&gt;30mins",1)</f>
        <v>13</v>
      </c>
      <c r="Y45" s="20">
        <f>_xlfn.XLOOKUP(V45,'HDB Recommender'!$P$10:$P$39,'HDB Recommender'!$Q$10:$Q$39,"&gt;30mins",1)</f>
        <v>6</v>
      </c>
      <c r="Z45" s="39">
        <f t="shared" si="0"/>
        <v>11.333333333333334</v>
      </c>
      <c r="AA45" s="20" t="str">
        <f t="shared" si="1"/>
        <v>Within 1km</v>
      </c>
    </row>
    <row r="46" spans="2:27" hidden="1">
      <c r="B46" s="35" t="s">
        <v>317</v>
      </c>
      <c r="C46" s="35" t="s">
        <v>394</v>
      </c>
      <c r="D46" s="35" t="s">
        <v>318</v>
      </c>
      <c r="E46" s="35">
        <v>267</v>
      </c>
      <c r="F46" s="35" t="s">
        <v>399</v>
      </c>
      <c r="G46" s="35" t="s">
        <v>191</v>
      </c>
      <c r="H46" s="35">
        <v>64</v>
      </c>
      <c r="I46" s="35" t="s">
        <v>369</v>
      </c>
      <c r="J46" s="36">
        <v>1987</v>
      </c>
      <c r="K46" s="39">
        <v>62.4166666666666</v>
      </c>
      <c r="L46" s="37">
        <v>360000</v>
      </c>
      <c r="M46" s="35" t="s">
        <v>400</v>
      </c>
      <c r="N46" s="27">
        <v>650267</v>
      </c>
      <c r="O46" s="38">
        <v>1.3488095657550201</v>
      </c>
      <c r="P46" s="38">
        <v>103.759892612835</v>
      </c>
      <c r="Q46" s="38" t="str" cm="1">
        <f t="array" ref="Q46">INDEX('MRT station dataset'!$C$3:$C$179, MATCH(MIN(SQRT(('MRT station dataset'!$E$3:$E$179-'Resale flat dataset'!O46)^2+('MRT station dataset'!$F$3:$F$179-'Resale flat dataset'!P46)^2)), SQRT(('MRT station dataset'!$E$3:$E$179-'Resale flat dataset'!O46)^2+('MRT station dataset'!$F$3:$F$179-'Resale flat dataset'!P46)^2), 0))</f>
        <v>BUKIT BATOK MRT STATION</v>
      </c>
      <c r="R46" s="38" t="str" cm="1">
        <f t="array" ref="R46">INDEX('Mall Dataset'!$B$3:$B$157, MATCH(MIN(SQRT(('Mall Dataset'!$E$3:$E$157-'Resale flat dataset'!O46)^2+('Mall Dataset'!$F$3:$F$157-'Resale flat dataset'!P46)^2)), SQRT(('Mall Dataset'!$E$3:$E$157-'Resale flat dataset'!O46)^2+('Mall Dataset'!$F$3:$F$157-'Resale flat dataset'!P46)^2), 0))</f>
        <v>West Mall</v>
      </c>
      <c r="S46" s="38" t="str" cm="1">
        <f t="array" ref="S46">INDEX('Schools dataset'!$B$3:$B$187, MATCH(MIN(SQRT(('Schools dataset'!$J$3:$J$187-'Resale flat dataset'!O46)^2+('Schools dataset'!$K$3:$K$187-'Resale flat dataset'!P46)^2)), SQRT(('Schools dataset'!$J$3:$J$187-'Resale flat dataset'!O46)^2+('Schools dataset'!$K$3:$K$187-'Resale flat dataset'!P46)^2), 0))</f>
        <v>KEMING PRIMARY SCHOOL</v>
      </c>
      <c r="T46" s="39">
        <f>ACOS(COS(RADIANS(90-O46))*COS(RADIANS(90-_xlfn.XLOOKUP(Q46,'MRT station dataset'!$C$3:$C$179,'MRT station dataset'!$E$3:$E$179)))+SIN(RADIANS(90-O46))*SIN(RADIANS(90-_xlfn.XLOOKUP(Q46,'MRT station dataset'!$C$3:$C$179,'MRT station dataset'!$E$3:$E$179)))*COS(RADIANS(P46-_xlfn.XLOOKUP('Resale flat dataset'!Q46,'MRT station dataset'!$C$3:$C$179,'MRT station dataset'!$F$3:$F$179))))*6371*1000</f>
        <v>1144.3651023359077</v>
      </c>
      <c r="U46" s="39">
        <f>ACOS(COS(RADIANS(90-O46))*COS(RADIANS(90-_xlfn.XLOOKUP(R46,'Mall Dataset'!$B$3:$B$157,'Mall Dataset'!$E$3:$E$157,,0)))+SIN(RADIANS(90-O46))*SIN(RADIANS(90-_xlfn.XLOOKUP(R46,'Mall Dataset'!$B$3:$B$157,'Mall Dataset'!$E$3:$E$157,,0)))*COS(RADIANS(P46-_xlfn.XLOOKUP(R46,'Mall Dataset'!$B$3:$B$157,'Mall Dataset'!$F$3:$F$157,,0))))*6371*1000</f>
        <v>1209.6908629557176</v>
      </c>
      <c r="V46" s="39">
        <f>ACOS(COS(RADIANS(90-O46))*COS(RADIANS(90-_xlfn.XLOOKUP(S46,'Schools dataset'!$B$3:$B$187,'Schools dataset'!$J$3:$J$187,,0)))+SIN(RADIANS(90-O46))*SIN(RADIANS(90-_xlfn.XLOOKUP(S46,'Schools dataset'!$B$3:$B$187,'Schools dataset'!$J$3:$J$187,,0)))*COS(RADIANS(P46-_xlfn.XLOOKUP(S46,'Schools dataset'!$B$3:$B$187,'Schools dataset'!$K$3:$K$187,,0))))*6371*1000</f>
        <v>606.80581704323049</v>
      </c>
      <c r="W46" s="20">
        <f>_xlfn.XLOOKUP(T46,'HDB Recommender'!$P$10:$P$39,'HDB Recommender'!$Q$10:$Q$39,"&gt;30mins",1)</f>
        <v>16</v>
      </c>
      <c r="X46" s="20">
        <f>_xlfn.XLOOKUP(U46,'HDB Recommender'!$P$10:$P$39,'HDB Recommender'!$Q$10:$Q$39,"&gt;30mins",1)</f>
        <v>17</v>
      </c>
      <c r="Y46" s="20">
        <f>_xlfn.XLOOKUP(V46,'HDB Recommender'!$P$10:$P$39,'HDB Recommender'!$Q$10:$Q$39,"&gt;30mins",1)</f>
        <v>9</v>
      </c>
      <c r="Z46" s="39">
        <f t="shared" si="0"/>
        <v>14</v>
      </c>
      <c r="AA46" s="20" t="str">
        <f t="shared" si="1"/>
        <v>Within 1km</v>
      </c>
    </row>
    <row r="47" spans="2:27" hidden="1">
      <c r="B47" s="35" t="s">
        <v>317</v>
      </c>
      <c r="C47" s="35" t="s">
        <v>394</v>
      </c>
      <c r="D47" s="35" t="s">
        <v>318</v>
      </c>
      <c r="E47" s="35">
        <v>239</v>
      </c>
      <c r="F47" s="35" t="s">
        <v>401</v>
      </c>
      <c r="G47" s="35" t="s">
        <v>349</v>
      </c>
      <c r="H47" s="35">
        <v>74</v>
      </c>
      <c r="I47" s="35" t="s">
        <v>320</v>
      </c>
      <c r="J47" s="36">
        <v>1985</v>
      </c>
      <c r="K47" s="39">
        <v>60.4166666666666</v>
      </c>
      <c r="L47" s="37">
        <v>385000</v>
      </c>
      <c r="M47" s="35" t="s">
        <v>402</v>
      </c>
      <c r="N47" s="27">
        <v>650239</v>
      </c>
      <c r="O47" s="38">
        <v>1.3502391390638</v>
      </c>
      <c r="P47" s="38">
        <v>103.75510085076201</v>
      </c>
      <c r="Q47" s="38" t="str" cm="1">
        <f t="array" ref="Q47">INDEX('MRT station dataset'!$C$3:$C$179, MATCH(MIN(SQRT(('MRT station dataset'!$E$3:$E$179-'Resale flat dataset'!O47)^2+('MRT station dataset'!$F$3:$F$179-'Resale flat dataset'!P47)^2)), SQRT(('MRT station dataset'!$E$3:$E$179-'Resale flat dataset'!O47)^2+('MRT station dataset'!$F$3:$F$179-'Resale flat dataset'!P47)^2), 0))</f>
        <v>BUKIT BATOK MRT STATION</v>
      </c>
      <c r="R47" s="38" t="str" cm="1">
        <f t="array" ref="R47">INDEX('Mall Dataset'!$B$3:$B$157, MATCH(MIN(SQRT(('Mall Dataset'!$E$3:$E$157-'Resale flat dataset'!O47)^2+('Mall Dataset'!$F$3:$F$157-'Resale flat dataset'!P47)^2)), SQRT(('Mall Dataset'!$E$3:$E$157-'Resale flat dataset'!O47)^2+('Mall Dataset'!$F$3:$F$157-'Resale flat dataset'!P47)^2), 0))</f>
        <v>West Mall</v>
      </c>
      <c r="S47" s="38" t="str" cm="1">
        <f t="array" ref="S47">INDEX('Schools dataset'!$B$3:$B$187, MATCH(MIN(SQRT(('Schools dataset'!$J$3:$J$187-'Resale flat dataset'!O47)^2+('Schools dataset'!$K$3:$K$187-'Resale flat dataset'!P47)^2)), SQRT(('Schools dataset'!$J$3:$J$187-'Resale flat dataset'!O47)^2+('Schools dataset'!$K$3:$K$187-'Resale flat dataset'!P47)^2), 0))</f>
        <v>LIANHUA PRIMARY SCHOOL</v>
      </c>
      <c r="T47" s="39">
        <f>ACOS(COS(RADIANS(90-O47))*COS(RADIANS(90-_xlfn.XLOOKUP(Q47,'MRT station dataset'!$C$3:$C$179,'MRT station dataset'!$E$3:$E$179)))+SIN(RADIANS(90-O47))*SIN(RADIANS(90-_xlfn.XLOOKUP(Q47,'MRT station dataset'!$C$3:$C$179,'MRT station dataset'!$E$3:$E$179)))*COS(RADIANS(P47-_xlfn.XLOOKUP('Resale flat dataset'!Q47,'MRT station dataset'!$C$3:$C$179,'MRT station dataset'!$F$3:$F$179))))*6371*1000</f>
        <v>626.82817573165255</v>
      </c>
      <c r="U47" s="39">
        <f>ACOS(COS(RADIANS(90-O47))*COS(RADIANS(90-_xlfn.XLOOKUP(R47,'Mall Dataset'!$B$3:$B$157,'Mall Dataset'!$E$3:$E$157,,0)))+SIN(RADIANS(90-O47))*SIN(RADIANS(90-_xlfn.XLOOKUP(R47,'Mall Dataset'!$B$3:$B$157,'Mall Dataset'!$E$3:$E$157,,0)))*COS(RADIANS(P47-_xlfn.XLOOKUP(R47,'Mall Dataset'!$B$3:$B$157,'Mall Dataset'!$F$3:$F$157,,0))))*6371*1000</f>
        <v>664.59560979096705</v>
      </c>
      <c r="V47" s="39">
        <f>ACOS(COS(RADIANS(90-O47))*COS(RADIANS(90-_xlfn.XLOOKUP(S47,'Schools dataset'!$B$3:$B$187,'Schools dataset'!$J$3:$J$187,,0)))+SIN(RADIANS(90-O47))*SIN(RADIANS(90-_xlfn.XLOOKUP(S47,'Schools dataset'!$B$3:$B$187,'Schools dataset'!$J$3:$J$187,,0)))*COS(RADIANS(P47-_xlfn.XLOOKUP(S47,'Schools dataset'!$B$3:$B$187,'Schools dataset'!$K$3:$K$187,,0))))*6371*1000</f>
        <v>449.45238689357535</v>
      </c>
      <c r="W47" s="20">
        <f>_xlfn.XLOOKUP(T47,'HDB Recommender'!$P$10:$P$39,'HDB Recommender'!$Q$10:$Q$39,"&gt;30mins",1)</f>
        <v>9</v>
      </c>
      <c r="X47" s="20">
        <f>_xlfn.XLOOKUP(U47,'HDB Recommender'!$P$10:$P$39,'HDB Recommender'!$Q$10:$Q$39,"&gt;30mins",1)</f>
        <v>9</v>
      </c>
      <c r="Y47" s="20">
        <f>_xlfn.XLOOKUP(V47,'HDB Recommender'!$P$10:$P$39,'HDB Recommender'!$Q$10:$Q$39,"&gt;30mins",1)</f>
        <v>6</v>
      </c>
      <c r="Z47" s="39">
        <f t="shared" si="0"/>
        <v>8</v>
      </c>
      <c r="AA47" s="20" t="str">
        <f t="shared" si="1"/>
        <v>Within 1km</v>
      </c>
    </row>
    <row r="48" spans="2:27" hidden="1">
      <c r="B48" s="35" t="s">
        <v>317</v>
      </c>
      <c r="C48" s="35" t="s">
        <v>394</v>
      </c>
      <c r="D48" s="35" t="s">
        <v>318</v>
      </c>
      <c r="E48" s="35">
        <v>215</v>
      </c>
      <c r="F48" s="35" t="s">
        <v>403</v>
      </c>
      <c r="G48" s="35" t="s">
        <v>191</v>
      </c>
      <c r="H48" s="35">
        <v>67</v>
      </c>
      <c r="I48" s="35" t="s">
        <v>320</v>
      </c>
      <c r="J48" s="36">
        <v>1984</v>
      </c>
      <c r="K48" s="39">
        <v>60.1666666666666</v>
      </c>
      <c r="L48" s="37">
        <v>380000</v>
      </c>
      <c r="M48" s="35" t="s">
        <v>404</v>
      </c>
      <c r="N48" s="27">
        <v>650215</v>
      </c>
      <c r="O48" s="38">
        <v>1.34677496682495</v>
      </c>
      <c r="P48" s="38">
        <v>103.753335942926</v>
      </c>
      <c r="Q48" s="38" t="str" cm="1">
        <f t="array" ref="Q48">INDEX('MRT station dataset'!$C$3:$C$179, MATCH(MIN(SQRT(('MRT station dataset'!$E$3:$E$179-'Resale flat dataset'!O48)^2+('MRT station dataset'!$F$3:$F$179-'Resale flat dataset'!P48)^2)), SQRT(('MRT station dataset'!$E$3:$E$179-'Resale flat dataset'!O48)^2+('MRT station dataset'!$F$3:$F$179-'Resale flat dataset'!P48)^2), 0))</f>
        <v>BUKIT BATOK MRT STATION</v>
      </c>
      <c r="R48" s="38" t="str" cm="1">
        <f t="array" ref="R48">INDEX('Mall Dataset'!$B$3:$B$157, MATCH(MIN(SQRT(('Mall Dataset'!$E$3:$E$157-'Resale flat dataset'!O48)^2+('Mall Dataset'!$F$3:$F$157-'Resale flat dataset'!P48)^2)), SQRT(('Mall Dataset'!$E$3:$E$157-'Resale flat dataset'!O48)^2+('Mall Dataset'!$F$3:$F$157-'Resale flat dataset'!P48)^2), 0))</f>
        <v>West Mall</v>
      </c>
      <c r="S48" s="38" t="str" cm="1">
        <f t="array" ref="S48">INDEX('Schools dataset'!$B$3:$B$187, MATCH(MIN(SQRT(('Schools dataset'!$J$3:$J$187-'Resale flat dataset'!O48)^2+('Schools dataset'!$K$3:$K$187-'Resale flat dataset'!P48)^2)), SQRT(('Schools dataset'!$J$3:$J$187-'Resale flat dataset'!O48)^2+('Schools dataset'!$K$3:$K$187-'Resale flat dataset'!P48)^2), 0))</f>
        <v>BUKIT VIEW PRIMARY SCHOOL</v>
      </c>
      <c r="T48" s="39">
        <f>ACOS(COS(RADIANS(90-O48))*COS(RADIANS(90-_xlfn.XLOOKUP(Q48,'MRT station dataset'!$C$3:$C$179,'MRT station dataset'!$E$3:$E$179)))+SIN(RADIANS(90-O48))*SIN(RADIANS(90-_xlfn.XLOOKUP(Q48,'MRT station dataset'!$C$3:$C$179,'MRT station dataset'!$E$3:$E$179)))*COS(RADIANS(P48-_xlfn.XLOOKUP('Resale flat dataset'!Q48,'MRT station dataset'!$C$3:$C$179,'MRT station dataset'!$F$3:$F$179))))*6371*1000</f>
        <v>483.41435004395163</v>
      </c>
      <c r="U48" s="39">
        <f>ACOS(COS(RADIANS(90-O48))*COS(RADIANS(90-_xlfn.XLOOKUP(R48,'Mall Dataset'!$B$3:$B$157,'Mall Dataset'!$E$3:$E$157,,0)))+SIN(RADIANS(90-O48))*SIN(RADIANS(90-_xlfn.XLOOKUP(R48,'Mall Dataset'!$B$3:$B$157,'Mall Dataset'!$E$3:$E$157,,0)))*COS(RADIANS(P48-_xlfn.XLOOKUP(R48,'Mall Dataset'!$B$3:$B$157,'Mall Dataset'!$F$3:$F$157,,0))))*6371*1000</f>
        <v>616.05175378233218</v>
      </c>
      <c r="V48" s="39">
        <f>ACOS(COS(RADIANS(90-O48))*COS(RADIANS(90-_xlfn.XLOOKUP(S48,'Schools dataset'!$B$3:$B$187,'Schools dataset'!$J$3:$J$187,,0)))+SIN(RADIANS(90-O48))*SIN(RADIANS(90-_xlfn.XLOOKUP(S48,'Schools dataset'!$B$3:$B$187,'Schools dataset'!$J$3:$J$187,,0)))*COS(RADIANS(P48-_xlfn.XLOOKUP(S48,'Schools dataset'!$B$3:$B$187,'Schools dataset'!$K$3:$K$187,,0))))*6371*1000</f>
        <v>108.1117571150274</v>
      </c>
      <c r="W48" s="20">
        <f>_xlfn.XLOOKUP(T48,'HDB Recommender'!$P$10:$P$39,'HDB Recommender'!$Q$10:$Q$39,"&gt;30mins",1)</f>
        <v>7</v>
      </c>
      <c r="X48" s="20">
        <f>_xlfn.XLOOKUP(U48,'HDB Recommender'!$P$10:$P$39,'HDB Recommender'!$Q$10:$Q$39,"&gt;30mins",1)</f>
        <v>9</v>
      </c>
      <c r="Y48" s="20">
        <f>_xlfn.XLOOKUP(V48,'HDB Recommender'!$P$10:$P$39,'HDB Recommender'!$Q$10:$Q$39,"&gt;30mins",1)</f>
        <v>2</v>
      </c>
      <c r="Z48" s="39">
        <f t="shared" si="0"/>
        <v>6</v>
      </c>
      <c r="AA48" s="20" t="str">
        <f t="shared" si="1"/>
        <v>Within 1km</v>
      </c>
    </row>
    <row r="49" spans="2:27" hidden="1">
      <c r="B49" s="35" t="s">
        <v>317</v>
      </c>
      <c r="C49" s="35" t="s">
        <v>394</v>
      </c>
      <c r="D49" s="35" t="s">
        <v>318</v>
      </c>
      <c r="E49" s="35"/>
      <c r="F49" s="35" t="s">
        <v>405</v>
      </c>
      <c r="G49" s="35" t="s">
        <v>189</v>
      </c>
      <c r="H49" s="35">
        <v>67</v>
      </c>
      <c r="I49" s="35" t="s">
        <v>335</v>
      </c>
      <c r="J49" s="36">
        <v>2019</v>
      </c>
      <c r="K49" s="39">
        <v>94.5</v>
      </c>
      <c r="L49" s="37">
        <v>427000</v>
      </c>
      <c r="M49" s="35" t="s">
        <v>406</v>
      </c>
      <c r="N49" s="27">
        <v>651441</v>
      </c>
      <c r="O49" s="38">
        <v>1.3561054854113199</v>
      </c>
      <c r="P49" s="38">
        <v>103.739002965384</v>
      </c>
      <c r="Q49" s="38" t="str" cm="1">
        <f t="array" ref="Q49">INDEX('MRT station dataset'!$C$3:$C$179, MATCH(MIN(SQRT(('MRT station dataset'!$E$3:$E$179-'Resale flat dataset'!O49)^2+('MRT station dataset'!$F$3:$F$179-'Resale flat dataset'!P49)^2)), SQRT(('MRT station dataset'!$E$3:$E$179-'Resale flat dataset'!O49)^2+('MRT station dataset'!$F$3:$F$179-'Resale flat dataset'!P49)^2), 0))</f>
        <v>BUKIT BATOK MRT STATION</v>
      </c>
      <c r="R49" s="38" t="str" cm="1">
        <f t="array" ref="R49">INDEX('Mall Dataset'!$B$3:$B$157, MATCH(MIN(SQRT(('Mall Dataset'!$E$3:$E$157-'Resale flat dataset'!O49)^2+('Mall Dataset'!$F$3:$F$157-'Resale flat dataset'!P49)^2)), SQRT(('Mall Dataset'!$E$3:$E$157-'Resale flat dataset'!O49)^2+('Mall Dataset'!$F$3:$F$157-'Resale flat dataset'!P49)^2), 0))</f>
        <v>West Mall</v>
      </c>
      <c r="S49" s="38" t="str" cm="1">
        <f t="array" ref="S49">INDEX('Schools dataset'!$B$3:$B$187, MATCH(MIN(SQRT(('Schools dataset'!$J$3:$J$187-'Resale flat dataset'!O49)^2+('Schools dataset'!$K$3:$K$187-'Resale flat dataset'!P49)^2)), SQRT(('Schools dataset'!$J$3:$J$187-'Resale flat dataset'!O49)^2+('Schools dataset'!$K$3:$K$187-'Resale flat dataset'!P49)^2), 0))</f>
        <v>PRINCESS ELIZABETH PRIMARY SCHOOL</v>
      </c>
      <c r="T49" s="39">
        <f>ACOS(COS(RADIANS(90-O49))*COS(RADIANS(90-_xlfn.XLOOKUP(Q49,'MRT station dataset'!$C$3:$C$179,'MRT station dataset'!$E$3:$E$179)))+SIN(RADIANS(90-O49))*SIN(RADIANS(90-_xlfn.XLOOKUP(Q49,'MRT station dataset'!$C$3:$C$179,'MRT station dataset'!$E$3:$E$179)))*COS(RADIANS(P49-_xlfn.XLOOKUP('Resale flat dataset'!Q49,'MRT station dataset'!$C$3:$C$179,'MRT station dataset'!$F$3:$F$179))))*6371*1000</f>
        <v>1418.4328265973502</v>
      </c>
      <c r="U49" s="39">
        <f>ACOS(COS(RADIANS(90-O49))*COS(RADIANS(90-_xlfn.XLOOKUP(R49,'Mall Dataset'!$B$3:$B$157,'Mall Dataset'!$E$3:$E$157,,0)))+SIN(RADIANS(90-O49))*SIN(RADIANS(90-_xlfn.XLOOKUP(R49,'Mall Dataset'!$B$3:$B$157,'Mall Dataset'!$E$3:$E$157,,0)))*COS(RADIANS(P49-_xlfn.XLOOKUP(R49,'Mall Dataset'!$B$3:$B$157,'Mall Dataset'!$F$3:$F$157,,0))))*6371*1000</f>
        <v>1292.9715080819303</v>
      </c>
      <c r="V49" s="39">
        <f>ACOS(COS(RADIANS(90-O49))*COS(RADIANS(90-_xlfn.XLOOKUP(S49,'Schools dataset'!$B$3:$B$187,'Schools dataset'!$J$3:$J$187,,0)))+SIN(RADIANS(90-O49))*SIN(RADIANS(90-_xlfn.XLOOKUP(S49,'Schools dataset'!$B$3:$B$187,'Schools dataset'!$J$3:$J$187,,0)))*COS(RADIANS(P49-_xlfn.XLOOKUP(S49,'Schools dataset'!$B$3:$B$187,'Schools dataset'!$K$3:$K$187,,0))))*6371*1000</f>
        <v>799.5368117200461</v>
      </c>
      <c r="W49" s="20">
        <f>_xlfn.XLOOKUP(T49,'HDB Recommender'!$P$10:$P$39,'HDB Recommender'!$Q$10:$Q$39,"&gt;30mins",1)</f>
        <v>19</v>
      </c>
      <c r="X49" s="20">
        <f>_xlfn.XLOOKUP(U49,'HDB Recommender'!$P$10:$P$39,'HDB Recommender'!$Q$10:$Q$39,"&gt;30mins",1)</f>
        <v>18</v>
      </c>
      <c r="Y49" s="20">
        <f>_xlfn.XLOOKUP(V49,'HDB Recommender'!$P$10:$P$39,'HDB Recommender'!$Q$10:$Q$39,"&gt;30mins",1)</f>
        <v>11</v>
      </c>
      <c r="Z49" s="39">
        <f t="shared" si="0"/>
        <v>16</v>
      </c>
      <c r="AA49" s="20" t="str">
        <f t="shared" si="1"/>
        <v>Within 1km</v>
      </c>
    </row>
    <row r="50" spans="2:27" hidden="1">
      <c r="B50" s="35" t="s">
        <v>317</v>
      </c>
      <c r="C50" s="35" t="s">
        <v>394</v>
      </c>
      <c r="D50" s="35" t="s">
        <v>318</v>
      </c>
      <c r="E50" s="35">
        <v>182</v>
      </c>
      <c r="F50" s="35" t="s">
        <v>405</v>
      </c>
      <c r="G50" s="35" t="s">
        <v>189</v>
      </c>
      <c r="H50" s="35">
        <v>67</v>
      </c>
      <c r="I50" s="35" t="s">
        <v>320</v>
      </c>
      <c r="J50" s="36">
        <v>1984</v>
      </c>
      <c r="K50" s="39">
        <v>60.3333333333333</v>
      </c>
      <c r="L50" s="37">
        <v>368000</v>
      </c>
      <c r="M50" s="35" t="s">
        <v>407</v>
      </c>
      <c r="N50" s="27">
        <v>650182</v>
      </c>
      <c r="O50" s="38">
        <v>1.3455640215701501</v>
      </c>
      <c r="P50" s="38">
        <v>103.743821531821</v>
      </c>
      <c r="Q50" s="38" t="str" cm="1">
        <f t="array" ref="Q50">INDEX('MRT station dataset'!$C$3:$C$179, MATCH(MIN(SQRT(('MRT station dataset'!$E$3:$E$179-'Resale flat dataset'!O50)^2+('MRT station dataset'!$F$3:$F$179-'Resale flat dataset'!P50)^2)), SQRT(('MRT station dataset'!$E$3:$E$179-'Resale flat dataset'!O50)^2+('MRT station dataset'!$F$3:$F$179-'Resale flat dataset'!P50)^2), 0))</f>
        <v>BUKIT BATOK MRT STATION</v>
      </c>
      <c r="R50" s="38" t="str" cm="1">
        <f t="array" ref="R50">INDEX('Mall Dataset'!$B$3:$B$157, MATCH(MIN(SQRT(('Mall Dataset'!$E$3:$E$157-'Resale flat dataset'!O50)^2+('Mall Dataset'!$F$3:$F$157-'Resale flat dataset'!P50)^2)), SQRT(('Mall Dataset'!$E$3:$E$157-'Resale flat dataset'!O50)^2+('Mall Dataset'!$F$3:$F$157-'Resale flat dataset'!P50)^2), 0))</f>
        <v>West Mall</v>
      </c>
      <c r="S50" s="38" t="str" cm="1">
        <f t="array" ref="S50">INDEX('Schools dataset'!$B$3:$B$187, MATCH(MIN(SQRT(('Schools dataset'!$J$3:$J$187-'Resale flat dataset'!O50)^2+('Schools dataset'!$K$3:$K$187-'Resale flat dataset'!P50)^2)), SQRT(('Schools dataset'!$J$3:$J$187-'Resale flat dataset'!O50)^2+('Schools dataset'!$K$3:$K$187-'Resale flat dataset'!P50)^2), 0))</f>
        <v>YUHUA PRIMARY SCHOOL</v>
      </c>
      <c r="T50" s="39">
        <f>ACOS(COS(RADIANS(90-O50))*COS(RADIANS(90-_xlfn.XLOOKUP(Q50,'MRT station dataset'!$C$3:$C$179,'MRT station dataset'!$E$3:$E$179)))+SIN(RADIANS(90-O50))*SIN(RADIANS(90-_xlfn.XLOOKUP(Q50,'MRT station dataset'!$C$3:$C$179,'MRT station dataset'!$E$3:$E$179)))*COS(RADIANS(P50-_xlfn.XLOOKUP('Resale flat dataset'!Q50,'MRT station dataset'!$C$3:$C$179,'MRT station dataset'!$F$3:$F$179))))*6371*1000</f>
        <v>747.39355559399326</v>
      </c>
      <c r="U50" s="39">
        <f>ACOS(COS(RADIANS(90-O50))*COS(RADIANS(90-_xlfn.XLOOKUP(R50,'Mall Dataset'!$B$3:$B$157,'Mall Dataset'!$E$3:$E$157,,0)))+SIN(RADIANS(90-O50))*SIN(RADIANS(90-_xlfn.XLOOKUP(R50,'Mall Dataset'!$B$3:$B$157,'Mall Dataset'!$E$3:$E$157,,0)))*COS(RADIANS(P50-_xlfn.XLOOKUP(R50,'Mall Dataset'!$B$3:$B$157,'Mall Dataset'!$F$3:$F$157,,0))))*6371*1000</f>
        <v>796.0267053623686</v>
      </c>
      <c r="V50" s="39">
        <f>ACOS(COS(RADIANS(90-O50))*COS(RADIANS(90-_xlfn.XLOOKUP(S50,'Schools dataset'!$B$3:$B$187,'Schools dataset'!$J$3:$J$187,,0)))+SIN(RADIANS(90-O50))*SIN(RADIANS(90-_xlfn.XLOOKUP(S50,'Schools dataset'!$B$3:$B$187,'Schools dataset'!$J$3:$J$187,,0)))*COS(RADIANS(P50-_xlfn.XLOOKUP(S50,'Schools dataset'!$B$3:$B$187,'Schools dataset'!$K$3:$K$187,,0))))*6371*1000</f>
        <v>441.30330930116867</v>
      </c>
      <c r="W50" s="20">
        <f>_xlfn.XLOOKUP(T50,'HDB Recommender'!$P$10:$P$39,'HDB Recommender'!$Q$10:$Q$39,"&gt;30mins",1)</f>
        <v>10</v>
      </c>
      <c r="X50" s="20">
        <f>_xlfn.XLOOKUP(U50,'HDB Recommender'!$P$10:$P$39,'HDB Recommender'!$Q$10:$Q$39,"&gt;30mins",1)</f>
        <v>11</v>
      </c>
      <c r="Y50" s="20">
        <f>_xlfn.XLOOKUP(V50,'HDB Recommender'!$P$10:$P$39,'HDB Recommender'!$Q$10:$Q$39,"&gt;30mins",1)</f>
        <v>6</v>
      </c>
      <c r="Z50" s="39">
        <f t="shared" si="0"/>
        <v>9</v>
      </c>
      <c r="AA50" s="20" t="str">
        <f t="shared" si="1"/>
        <v>Within 1km</v>
      </c>
    </row>
    <row r="51" spans="2:27" hidden="1">
      <c r="B51" s="35" t="s">
        <v>317</v>
      </c>
      <c r="C51" s="35" t="s">
        <v>394</v>
      </c>
      <c r="D51" s="35" t="s">
        <v>318</v>
      </c>
      <c r="E51" s="35"/>
      <c r="F51" s="35" t="s">
        <v>396</v>
      </c>
      <c r="G51" s="35" t="s">
        <v>349</v>
      </c>
      <c r="H51" s="35">
        <v>68</v>
      </c>
      <c r="I51" s="35" t="s">
        <v>335</v>
      </c>
      <c r="J51" s="36">
        <v>2019</v>
      </c>
      <c r="K51" s="39">
        <v>94.5</v>
      </c>
      <c r="L51" s="37">
        <v>425000</v>
      </c>
      <c r="M51" s="35" t="s">
        <v>408</v>
      </c>
      <c r="N51" s="27">
        <v>651448</v>
      </c>
      <c r="O51" s="38">
        <v>1.3528651177451201</v>
      </c>
      <c r="P51" s="38">
        <v>103.74043858457399</v>
      </c>
      <c r="Q51" s="38" t="str" cm="1">
        <f t="array" ref="Q51">INDEX('MRT station dataset'!$C$3:$C$179, MATCH(MIN(SQRT(('MRT station dataset'!$E$3:$E$179-'Resale flat dataset'!O51)^2+('MRT station dataset'!$F$3:$F$179-'Resale flat dataset'!P51)^2)), SQRT(('MRT station dataset'!$E$3:$E$179-'Resale flat dataset'!O51)^2+('MRT station dataset'!$F$3:$F$179-'Resale flat dataset'!P51)^2), 0))</f>
        <v>BUKIT BATOK MRT STATION</v>
      </c>
      <c r="R51" s="38" t="str" cm="1">
        <f t="array" ref="R51">INDEX('Mall Dataset'!$B$3:$B$157, MATCH(MIN(SQRT(('Mall Dataset'!$E$3:$E$157-'Resale flat dataset'!O51)^2+('Mall Dataset'!$F$3:$F$157-'Resale flat dataset'!P51)^2)), SQRT(('Mall Dataset'!$E$3:$E$157-'Resale flat dataset'!O51)^2+('Mall Dataset'!$F$3:$F$157-'Resale flat dataset'!P51)^2), 0))</f>
        <v>West Mall</v>
      </c>
      <c r="S51" s="38" t="str" cm="1">
        <f t="array" ref="S51">INDEX('Schools dataset'!$B$3:$B$187, MATCH(MIN(SQRT(('Schools dataset'!$J$3:$J$187-'Resale flat dataset'!O51)^2+('Schools dataset'!$K$3:$K$187-'Resale flat dataset'!P51)^2)), SQRT(('Schools dataset'!$J$3:$J$187-'Resale flat dataset'!O51)^2+('Schools dataset'!$K$3:$K$187-'Resale flat dataset'!P51)^2), 0))</f>
        <v>PRINCESS ELIZABETH PRIMARY SCHOOL</v>
      </c>
      <c r="T51" s="39">
        <f>ACOS(COS(RADIANS(90-O51))*COS(RADIANS(90-_xlfn.XLOOKUP(Q51,'MRT station dataset'!$C$3:$C$179,'MRT station dataset'!$E$3:$E$179)))+SIN(RADIANS(90-O51))*SIN(RADIANS(90-_xlfn.XLOOKUP(Q51,'MRT station dataset'!$C$3:$C$179,'MRT station dataset'!$E$3:$E$179)))*COS(RADIANS(P51-_xlfn.XLOOKUP('Resale flat dataset'!Q51,'MRT station dataset'!$C$3:$C$179,'MRT station dataset'!$F$3:$F$179))))*6371*1000</f>
        <v>1105.3917637831451</v>
      </c>
      <c r="U51" s="39">
        <f>ACOS(COS(RADIANS(90-O51))*COS(RADIANS(90-_xlfn.XLOOKUP(R51,'Mall Dataset'!$B$3:$B$157,'Mall Dataset'!$E$3:$E$157,,0)))+SIN(RADIANS(90-O51))*SIN(RADIANS(90-_xlfn.XLOOKUP(R51,'Mall Dataset'!$B$3:$B$157,'Mall Dataset'!$E$3:$E$157,,0)))*COS(RADIANS(P51-_xlfn.XLOOKUP(R51,'Mall Dataset'!$B$3:$B$157,'Mall Dataset'!$F$3:$F$157,,0))))*6371*1000</f>
        <v>1004.3999748195072</v>
      </c>
      <c r="V51" s="39">
        <f>ACOS(COS(RADIANS(90-O51))*COS(RADIANS(90-_xlfn.XLOOKUP(S51,'Schools dataset'!$B$3:$B$187,'Schools dataset'!$J$3:$J$187,,0)))+SIN(RADIANS(90-O51))*SIN(RADIANS(90-_xlfn.XLOOKUP(S51,'Schools dataset'!$B$3:$B$187,'Schools dataset'!$J$3:$J$187,,0)))*COS(RADIANS(P51-_xlfn.XLOOKUP(S51,'Schools dataset'!$B$3:$B$187,'Schools dataset'!$K$3:$K$187,,0))))*6371*1000</f>
        <v>412.24378307162743</v>
      </c>
      <c r="W51" s="20">
        <f>_xlfn.XLOOKUP(T51,'HDB Recommender'!$P$10:$P$39,'HDB Recommender'!$Q$10:$Q$39,"&gt;30mins",1)</f>
        <v>15</v>
      </c>
      <c r="X51" s="20">
        <f>_xlfn.XLOOKUP(U51,'HDB Recommender'!$P$10:$P$39,'HDB Recommender'!$Q$10:$Q$39,"&gt;30mins",1)</f>
        <v>14</v>
      </c>
      <c r="Y51" s="20">
        <f>_xlfn.XLOOKUP(V51,'HDB Recommender'!$P$10:$P$39,'HDB Recommender'!$Q$10:$Q$39,"&gt;30mins",1)</f>
        <v>6</v>
      </c>
      <c r="Z51" s="39">
        <f t="shared" si="0"/>
        <v>11.666666666666666</v>
      </c>
      <c r="AA51" s="20" t="str">
        <f t="shared" si="1"/>
        <v>Within 1km</v>
      </c>
    </row>
    <row r="52" spans="2:27" hidden="1">
      <c r="B52" s="35" t="s">
        <v>317</v>
      </c>
      <c r="C52" s="35" t="s">
        <v>394</v>
      </c>
      <c r="D52" s="35" t="s">
        <v>20</v>
      </c>
      <c r="E52" s="35">
        <v>626</v>
      </c>
      <c r="F52" s="35" t="s">
        <v>409</v>
      </c>
      <c r="G52" s="35" t="s">
        <v>349</v>
      </c>
      <c r="H52" s="35">
        <v>103</v>
      </c>
      <c r="I52" s="35" t="s">
        <v>335</v>
      </c>
      <c r="J52" s="36">
        <v>1997</v>
      </c>
      <c r="K52" s="39">
        <v>72.9166666666666</v>
      </c>
      <c r="L52" s="37">
        <v>593000</v>
      </c>
      <c r="M52" s="35" t="s">
        <v>410</v>
      </c>
      <c r="N52" s="27">
        <v>650626</v>
      </c>
      <c r="O52" s="38">
        <v>1.3517197490197499</v>
      </c>
      <c r="P52" s="38">
        <v>103.749022783849</v>
      </c>
      <c r="Q52" s="38" t="str" cm="1">
        <f t="array" ref="Q52">INDEX('MRT station dataset'!$C$3:$C$179, MATCH(MIN(SQRT(('MRT station dataset'!$E$3:$E$179-'Resale flat dataset'!O52)^2+('MRT station dataset'!$F$3:$F$179-'Resale flat dataset'!P52)^2)), SQRT(('MRT station dataset'!$E$3:$E$179-'Resale flat dataset'!O52)^2+('MRT station dataset'!$F$3:$F$179-'Resale flat dataset'!P52)^2), 0))</f>
        <v>BUKIT BATOK MRT STATION</v>
      </c>
      <c r="R52" s="38" t="str" cm="1">
        <f t="array" ref="R52">INDEX('Mall Dataset'!$B$3:$B$157, MATCH(MIN(SQRT(('Mall Dataset'!$E$3:$E$157-'Resale flat dataset'!O52)^2+('Mall Dataset'!$F$3:$F$157-'Resale flat dataset'!P52)^2)), SQRT(('Mall Dataset'!$E$3:$E$157-'Resale flat dataset'!O52)^2+('Mall Dataset'!$F$3:$F$157-'Resale flat dataset'!P52)^2), 0))</f>
        <v>West Mall</v>
      </c>
      <c r="S52" s="38" t="str" cm="1">
        <f t="array" ref="S52">INDEX('Schools dataset'!$B$3:$B$187, MATCH(MIN(SQRT(('Schools dataset'!$J$3:$J$187-'Resale flat dataset'!O52)^2+('Schools dataset'!$K$3:$K$187-'Resale flat dataset'!P52)^2)), SQRT(('Schools dataset'!$J$3:$J$187-'Resale flat dataset'!O52)^2+('Schools dataset'!$K$3:$K$187-'Resale flat dataset'!P52)^2), 0))</f>
        <v>LIANHUA PRIMARY SCHOOL</v>
      </c>
      <c r="T52" s="39">
        <f>ACOS(COS(RADIANS(90-O52))*COS(RADIANS(90-_xlfn.XLOOKUP(Q52,'MRT station dataset'!$C$3:$C$179,'MRT station dataset'!$E$3:$E$179)))+SIN(RADIANS(90-O52))*SIN(RADIANS(90-_xlfn.XLOOKUP(Q52,'MRT station dataset'!$C$3:$C$179,'MRT station dataset'!$E$3:$E$179)))*COS(RADIANS(P52-_xlfn.XLOOKUP('Resale flat dataset'!Q52,'MRT station dataset'!$C$3:$C$179,'MRT station dataset'!$F$3:$F$179))))*6371*1000</f>
        <v>309.15444742278765</v>
      </c>
      <c r="U52" s="39">
        <f>ACOS(COS(RADIANS(90-O52))*COS(RADIANS(90-_xlfn.XLOOKUP(R52,'Mall Dataset'!$B$3:$B$157,'Mall Dataset'!$E$3:$E$157,,0)))+SIN(RADIANS(90-O52))*SIN(RADIANS(90-_xlfn.XLOOKUP(R52,'Mall Dataset'!$B$3:$B$157,'Mall Dataset'!$E$3:$E$157,,0)))*COS(RADIANS(P52-_xlfn.XLOOKUP(R52,'Mall Dataset'!$B$3:$B$157,'Mall Dataset'!$F$3:$F$157,,0))))*6371*1000</f>
        <v>149.90493980563136</v>
      </c>
      <c r="V52" s="39">
        <f>ACOS(COS(RADIANS(90-O52))*COS(RADIANS(90-_xlfn.XLOOKUP(S52,'Schools dataset'!$B$3:$B$187,'Schools dataset'!$J$3:$J$187,,0)))+SIN(RADIANS(90-O52))*SIN(RADIANS(90-_xlfn.XLOOKUP(S52,'Schools dataset'!$B$3:$B$187,'Schools dataset'!$J$3:$J$187,,0)))*COS(RADIANS(P52-_xlfn.XLOOKUP(S52,'Schools dataset'!$B$3:$B$187,'Schools dataset'!$K$3:$K$187,,0))))*6371*1000</f>
        <v>629.40790222396402</v>
      </c>
      <c r="W52" s="20">
        <f>_xlfn.XLOOKUP(T52,'HDB Recommender'!$P$10:$P$39,'HDB Recommender'!$Q$10:$Q$39,"&gt;30mins",1)</f>
        <v>5</v>
      </c>
      <c r="X52" s="20">
        <f>_xlfn.XLOOKUP(U52,'HDB Recommender'!$P$10:$P$39,'HDB Recommender'!$Q$10:$Q$39,"&gt;30mins",1)</f>
        <v>2</v>
      </c>
      <c r="Y52" s="20">
        <f>_xlfn.XLOOKUP(V52,'HDB Recommender'!$P$10:$P$39,'HDB Recommender'!$Q$10:$Q$39,"&gt;30mins",1)</f>
        <v>9</v>
      </c>
      <c r="Z52" s="39">
        <f t="shared" si="0"/>
        <v>5.333333333333333</v>
      </c>
      <c r="AA52" s="20" t="str">
        <f t="shared" si="1"/>
        <v>Within 1km</v>
      </c>
    </row>
    <row r="53" spans="2:27" hidden="1">
      <c r="B53" s="35" t="s">
        <v>317</v>
      </c>
      <c r="C53" s="35" t="s">
        <v>394</v>
      </c>
      <c r="D53" s="35" t="s">
        <v>20</v>
      </c>
      <c r="E53" s="35">
        <v>622</v>
      </c>
      <c r="F53" s="35" t="s">
        <v>409</v>
      </c>
      <c r="G53" s="35" t="s">
        <v>411</v>
      </c>
      <c r="H53" s="35">
        <v>90</v>
      </c>
      <c r="I53" s="35" t="s">
        <v>335</v>
      </c>
      <c r="J53" s="36">
        <v>2003</v>
      </c>
      <c r="K53" s="39">
        <v>79.1666666666666</v>
      </c>
      <c r="L53" s="37">
        <v>755000</v>
      </c>
      <c r="M53" s="35" t="s">
        <v>412</v>
      </c>
      <c r="N53" s="27">
        <v>650622</v>
      </c>
      <c r="O53" s="38">
        <v>1.3507164379973899</v>
      </c>
      <c r="P53" s="38">
        <v>103.74849640619099</v>
      </c>
      <c r="Q53" s="38" t="str" cm="1">
        <f t="array" ref="Q53">INDEX('MRT station dataset'!$C$3:$C$179, MATCH(MIN(SQRT(('MRT station dataset'!$E$3:$E$179-'Resale flat dataset'!O53)^2+('MRT station dataset'!$F$3:$F$179-'Resale flat dataset'!P53)^2)), SQRT(('MRT station dataset'!$E$3:$E$179-'Resale flat dataset'!O53)^2+('MRT station dataset'!$F$3:$F$179-'Resale flat dataset'!P53)^2), 0))</f>
        <v>BUKIT BATOK MRT STATION</v>
      </c>
      <c r="R53" s="38" t="str" cm="1">
        <f t="array" ref="R53">INDEX('Mall Dataset'!$B$3:$B$157, MATCH(MIN(SQRT(('Mall Dataset'!$E$3:$E$157-'Resale flat dataset'!O53)^2+('Mall Dataset'!$F$3:$F$157-'Resale flat dataset'!P53)^2)), SQRT(('Mall Dataset'!$E$3:$E$157-'Resale flat dataset'!O53)^2+('Mall Dataset'!$F$3:$F$157-'Resale flat dataset'!P53)^2), 0))</f>
        <v>West Mall</v>
      </c>
      <c r="S53" s="38" t="str" cm="1">
        <f t="array" ref="S53">INDEX('Schools dataset'!$B$3:$B$187, MATCH(MIN(SQRT(('Schools dataset'!$J$3:$J$187-'Resale flat dataset'!O53)^2+('Schools dataset'!$K$3:$K$187-'Resale flat dataset'!P53)^2)), SQRT(('Schools dataset'!$J$3:$J$187-'Resale flat dataset'!O53)^2+('Schools dataset'!$K$3:$K$187-'Resale flat dataset'!P53)^2), 0))</f>
        <v>LIANHUA PRIMARY SCHOOL</v>
      </c>
      <c r="T53" s="39">
        <f>ACOS(COS(RADIANS(90-O53))*COS(RADIANS(90-_xlfn.XLOOKUP(Q53,'MRT station dataset'!$C$3:$C$179,'MRT station dataset'!$E$3:$E$179)))+SIN(RADIANS(90-O53))*SIN(RADIANS(90-_xlfn.XLOOKUP(Q53,'MRT station dataset'!$C$3:$C$179,'MRT station dataset'!$E$3:$E$179)))*COS(RADIANS(P53-_xlfn.XLOOKUP('Resale flat dataset'!Q53,'MRT station dataset'!$C$3:$C$179,'MRT station dataset'!$F$3:$F$179))))*6371*1000</f>
        <v>226.88678206211566</v>
      </c>
      <c r="U53" s="39">
        <f>ACOS(COS(RADIANS(90-O53))*COS(RADIANS(90-_xlfn.XLOOKUP(R53,'Mall Dataset'!$B$3:$B$157,'Mall Dataset'!$E$3:$E$157,,0)))+SIN(RADIANS(90-O53))*SIN(RADIANS(90-_xlfn.XLOOKUP(R53,'Mall Dataset'!$B$3:$B$157,'Mall Dataset'!$E$3:$E$157,,0)))*COS(RADIANS(P53-_xlfn.XLOOKUP(R53,'Mall Dataset'!$B$3:$B$157,'Mall Dataset'!$F$3:$F$157,,0))))*6371*1000</f>
        <v>79.394747838902546</v>
      </c>
      <c r="V53" s="39">
        <f>ACOS(COS(RADIANS(90-O53))*COS(RADIANS(90-_xlfn.XLOOKUP(S53,'Schools dataset'!$B$3:$B$187,'Schools dataset'!$J$3:$J$187,,0)))+SIN(RADIANS(90-O53))*SIN(RADIANS(90-_xlfn.XLOOKUP(S53,'Schools dataset'!$B$3:$B$187,'Schools dataset'!$J$3:$J$187,,0)))*COS(RADIANS(P53-_xlfn.XLOOKUP(S53,'Schools dataset'!$B$3:$B$187,'Schools dataset'!$K$3:$K$187,,0))))*6371*1000</f>
        <v>734.22439637007983</v>
      </c>
      <c r="W53" s="20">
        <f>_xlfn.XLOOKUP(T53,'HDB Recommender'!$P$10:$P$39,'HDB Recommender'!$Q$10:$Q$39,"&gt;30mins",1)</f>
        <v>4</v>
      </c>
      <c r="X53" s="20">
        <f>_xlfn.XLOOKUP(U53,'HDB Recommender'!$P$10:$P$39,'HDB Recommender'!$Q$10:$Q$39,"&gt;30mins",1)</f>
        <v>2</v>
      </c>
      <c r="Y53" s="20">
        <f>_xlfn.XLOOKUP(V53,'HDB Recommender'!$P$10:$P$39,'HDB Recommender'!$Q$10:$Q$39,"&gt;30mins",1)</f>
        <v>10</v>
      </c>
      <c r="Z53" s="39">
        <f t="shared" si="0"/>
        <v>5.333333333333333</v>
      </c>
      <c r="AA53" s="20" t="str">
        <f t="shared" si="1"/>
        <v>Within 1km</v>
      </c>
    </row>
    <row r="54" spans="2:27" hidden="1">
      <c r="B54" s="35" t="s">
        <v>317</v>
      </c>
      <c r="C54" s="35" t="s">
        <v>394</v>
      </c>
      <c r="D54" s="35" t="s">
        <v>20</v>
      </c>
      <c r="E54" s="35"/>
      <c r="F54" s="35" t="s">
        <v>413</v>
      </c>
      <c r="G54" s="35" t="s">
        <v>323</v>
      </c>
      <c r="H54" s="35">
        <v>95</v>
      </c>
      <c r="I54" s="35" t="s">
        <v>389</v>
      </c>
      <c r="J54" s="36">
        <v>2018</v>
      </c>
      <c r="K54" s="39">
        <v>93.5</v>
      </c>
      <c r="L54" s="37">
        <v>750000</v>
      </c>
      <c r="M54" s="35" t="s">
        <v>414</v>
      </c>
      <c r="N54" s="27">
        <v>651296</v>
      </c>
      <c r="O54" s="38">
        <v>1.34409358218354</v>
      </c>
      <c r="P54" s="38">
        <v>103.746409176377</v>
      </c>
      <c r="Q54" s="38" t="str" cm="1">
        <f t="array" ref="Q54">INDEX('MRT station dataset'!$C$3:$C$179, MATCH(MIN(SQRT(('MRT station dataset'!$E$3:$E$179-'Resale flat dataset'!O54)^2+('MRT station dataset'!$F$3:$F$179-'Resale flat dataset'!P54)^2)), SQRT(('MRT station dataset'!$E$3:$E$179-'Resale flat dataset'!O54)^2+('MRT station dataset'!$F$3:$F$179-'Resale flat dataset'!P54)^2), 0))</f>
        <v>BUKIT BATOK MRT STATION</v>
      </c>
      <c r="R54" s="38" t="str" cm="1">
        <f t="array" ref="R54">INDEX('Mall Dataset'!$B$3:$B$157, MATCH(MIN(SQRT(('Mall Dataset'!$E$3:$E$157-'Resale flat dataset'!O54)^2+('Mall Dataset'!$F$3:$F$157-'Resale flat dataset'!P54)^2)), SQRT(('Mall Dataset'!$E$3:$E$157-'Resale flat dataset'!O54)^2+('Mall Dataset'!$F$3:$F$157-'Resale flat dataset'!P54)^2), 0))</f>
        <v>West Mall</v>
      </c>
      <c r="S54" s="38" t="str" cm="1">
        <f t="array" ref="S54">INDEX('Schools dataset'!$B$3:$B$187, MATCH(MIN(SQRT(('Schools dataset'!$J$3:$J$187-'Resale flat dataset'!O54)^2+('Schools dataset'!$K$3:$K$187-'Resale flat dataset'!P54)^2)), SQRT(('Schools dataset'!$J$3:$J$187-'Resale flat dataset'!O54)^2+('Schools dataset'!$K$3:$K$187-'Resale flat dataset'!P54)^2), 0))</f>
        <v>YUHUA PRIMARY SCHOOL</v>
      </c>
      <c r="T54" s="39">
        <f>ACOS(COS(RADIANS(90-O54))*COS(RADIANS(90-_xlfn.XLOOKUP(Q54,'MRT station dataset'!$C$3:$C$179,'MRT station dataset'!$E$3:$E$179)))+SIN(RADIANS(90-O54))*SIN(RADIANS(90-_xlfn.XLOOKUP(Q54,'MRT station dataset'!$C$3:$C$179,'MRT station dataset'!$E$3:$E$179)))*COS(RADIANS(P54-_xlfn.XLOOKUP('Resale flat dataset'!Q54,'MRT station dataset'!$C$3:$C$179,'MRT station dataset'!$F$3:$F$179))))*6371*1000</f>
        <v>650.73897061531966</v>
      </c>
      <c r="U54" s="39">
        <f>ACOS(COS(RADIANS(90-O54))*COS(RADIANS(90-_xlfn.XLOOKUP(R54,'Mall Dataset'!$B$3:$B$157,'Mall Dataset'!$E$3:$E$157,,0)))+SIN(RADIANS(90-O54))*SIN(RADIANS(90-_xlfn.XLOOKUP(R54,'Mall Dataset'!$B$3:$B$157,'Mall Dataset'!$E$3:$E$157,,0)))*COS(RADIANS(P54-_xlfn.XLOOKUP(R54,'Mall Dataset'!$B$3:$B$157,'Mall Dataset'!$F$3:$F$157,,0))))*6371*1000</f>
        <v>760.91015064462169</v>
      </c>
      <c r="V54" s="39">
        <f>ACOS(COS(RADIANS(90-O54))*COS(RADIANS(90-_xlfn.XLOOKUP(S54,'Schools dataset'!$B$3:$B$187,'Schools dataset'!$J$3:$J$187,,0)))+SIN(RADIANS(90-O54))*SIN(RADIANS(90-_xlfn.XLOOKUP(S54,'Schools dataset'!$B$3:$B$187,'Schools dataset'!$J$3:$J$187,,0)))*COS(RADIANS(P54-_xlfn.XLOOKUP(S54,'Schools dataset'!$B$3:$B$187,'Schools dataset'!$K$3:$K$187,,0))))*6371*1000</f>
        <v>630.40183243197509</v>
      </c>
      <c r="W54" s="20">
        <f>_xlfn.XLOOKUP(T54,'HDB Recommender'!$P$10:$P$39,'HDB Recommender'!$Q$10:$Q$39,"&gt;30mins",1)</f>
        <v>9</v>
      </c>
      <c r="X54" s="20">
        <f>_xlfn.XLOOKUP(U54,'HDB Recommender'!$P$10:$P$39,'HDB Recommender'!$Q$10:$Q$39,"&gt;30mins",1)</f>
        <v>11</v>
      </c>
      <c r="Y54" s="20">
        <f>_xlfn.XLOOKUP(V54,'HDB Recommender'!$P$10:$P$39,'HDB Recommender'!$Q$10:$Q$39,"&gt;30mins",1)</f>
        <v>9</v>
      </c>
      <c r="Z54" s="39">
        <f t="shared" si="0"/>
        <v>9.6666666666666661</v>
      </c>
      <c r="AA54" s="20" t="str">
        <f t="shared" si="1"/>
        <v>Within 1km</v>
      </c>
    </row>
    <row r="55" spans="2:27" hidden="1">
      <c r="B55" s="35" t="s">
        <v>317</v>
      </c>
      <c r="C55" s="35" t="s">
        <v>394</v>
      </c>
      <c r="D55" s="35" t="s">
        <v>20</v>
      </c>
      <c r="E55" s="35">
        <v>363</v>
      </c>
      <c r="F55" s="35" t="s">
        <v>415</v>
      </c>
      <c r="G55" s="35" t="s">
        <v>191</v>
      </c>
      <c r="H55" s="35">
        <v>94</v>
      </c>
      <c r="I55" s="35" t="s">
        <v>320</v>
      </c>
      <c r="J55" s="36">
        <v>1987</v>
      </c>
      <c r="K55" s="39">
        <v>63.0833333333333</v>
      </c>
      <c r="L55" s="37">
        <v>510000</v>
      </c>
      <c r="M55" s="35" t="s">
        <v>416</v>
      </c>
      <c r="N55" s="27">
        <v>650363</v>
      </c>
      <c r="O55" s="38">
        <v>1.36101444441179</v>
      </c>
      <c r="P55" s="38">
        <v>103.74944732311999</v>
      </c>
      <c r="Q55" s="38" t="str" cm="1">
        <f t="array" ref="Q55">INDEX('MRT station dataset'!$C$3:$C$179, MATCH(MIN(SQRT(('MRT station dataset'!$E$3:$E$179-'Resale flat dataset'!O55)^2+('MRT station dataset'!$F$3:$F$179-'Resale flat dataset'!P55)^2)), SQRT(('MRT station dataset'!$E$3:$E$179-'Resale flat dataset'!O55)^2+('MRT station dataset'!$F$3:$F$179-'Resale flat dataset'!P55)^2), 0))</f>
        <v>BUKIT GOMBAK MRT STATION</v>
      </c>
      <c r="R55" s="38" t="str" cm="1">
        <f t="array" ref="R55">INDEX('Mall Dataset'!$B$3:$B$157, MATCH(MIN(SQRT(('Mall Dataset'!$E$3:$E$157-'Resale flat dataset'!O55)^2+('Mall Dataset'!$F$3:$F$157-'Resale flat dataset'!P55)^2)), SQRT(('Mall Dataset'!$E$3:$E$157-'Resale flat dataset'!O55)^2+('Mall Dataset'!$F$3:$F$157-'Resale flat dataset'!P55)^2), 0))</f>
        <v>West Mall</v>
      </c>
      <c r="S55" s="38" t="str" cm="1">
        <f t="array" ref="S55">INDEX('Schools dataset'!$B$3:$B$187, MATCH(MIN(SQRT(('Schools dataset'!$J$3:$J$187-'Resale flat dataset'!O55)^2+('Schools dataset'!$K$3:$K$187-'Resale flat dataset'!P55)^2)), SQRT(('Schools dataset'!$J$3:$J$187-'Resale flat dataset'!O55)^2+('Schools dataset'!$K$3:$K$187-'Resale flat dataset'!P55)^2), 0))</f>
        <v>DAZHONG PRIMARY SCHOOL</v>
      </c>
      <c r="T55" s="39">
        <f>ACOS(COS(RADIANS(90-O55))*COS(RADIANS(90-_xlfn.XLOOKUP(Q55,'MRT station dataset'!$C$3:$C$179,'MRT station dataset'!$E$3:$E$179)))+SIN(RADIANS(90-O55))*SIN(RADIANS(90-_xlfn.XLOOKUP(Q55,'MRT station dataset'!$C$3:$C$179,'MRT station dataset'!$E$3:$E$179)))*COS(RADIANS(P55-_xlfn.XLOOKUP('Resale flat dataset'!Q55,'MRT station dataset'!$C$3:$C$179,'MRT station dataset'!$F$3:$F$179))))*6371*1000</f>
        <v>367.38102041263022</v>
      </c>
      <c r="U55" s="39">
        <f>ACOS(COS(RADIANS(90-O55))*COS(RADIANS(90-_xlfn.XLOOKUP(R55,'Mall Dataset'!$B$3:$B$157,'Mall Dataset'!$E$3:$E$157,,0)))+SIN(RADIANS(90-O55))*SIN(RADIANS(90-_xlfn.XLOOKUP(R55,'Mall Dataset'!$B$3:$B$157,'Mall Dataset'!$E$3:$E$157,,0)))*COS(RADIANS(P55-_xlfn.XLOOKUP(R55,'Mall Dataset'!$B$3:$B$157,'Mall Dataset'!$F$3:$F$157,,0))))*6371*1000</f>
        <v>1183.5521781061748</v>
      </c>
      <c r="V55" s="39">
        <f>ACOS(COS(RADIANS(90-O55))*COS(RADIANS(90-_xlfn.XLOOKUP(S55,'Schools dataset'!$B$3:$B$187,'Schools dataset'!$J$3:$J$187,,0)))+SIN(RADIANS(90-O55))*SIN(RADIANS(90-_xlfn.XLOOKUP(S55,'Schools dataset'!$B$3:$B$187,'Schools dataset'!$J$3:$J$187,,0)))*COS(RADIANS(P55-_xlfn.XLOOKUP(S55,'Schools dataset'!$B$3:$B$187,'Schools dataset'!$K$3:$K$187,,0))))*6371*1000</f>
        <v>262.30265488523651</v>
      </c>
      <c r="W55" s="20">
        <f>_xlfn.XLOOKUP(T55,'HDB Recommender'!$P$10:$P$39,'HDB Recommender'!$Q$10:$Q$39,"&gt;30mins",1)</f>
        <v>5</v>
      </c>
      <c r="X55" s="20">
        <f>_xlfn.XLOOKUP(U55,'HDB Recommender'!$P$10:$P$39,'HDB Recommender'!$Q$10:$Q$39,"&gt;30mins",1)</f>
        <v>16</v>
      </c>
      <c r="Y55" s="20">
        <f>_xlfn.XLOOKUP(V55,'HDB Recommender'!$P$10:$P$39,'HDB Recommender'!$Q$10:$Q$39,"&gt;30mins",1)</f>
        <v>4</v>
      </c>
      <c r="Z55" s="39">
        <f t="shared" si="0"/>
        <v>8.3333333333333339</v>
      </c>
      <c r="AA55" s="20" t="str">
        <f t="shared" si="1"/>
        <v>Within 1km</v>
      </c>
    </row>
    <row r="56" spans="2:27" hidden="1">
      <c r="B56" s="35" t="s">
        <v>317</v>
      </c>
      <c r="C56" s="35" t="s">
        <v>394</v>
      </c>
      <c r="D56" s="35" t="s">
        <v>20</v>
      </c>
      <c r="E56" s="35">
        <v>360</v>
      </c>
      <c r="F56" s="35" t="s">
        <v>415</v>
      </c>
      <c r="G56" s="35" t="s">
        <v>189</v>
      </c>
      <c r="H56" s="35">
        <v>94</v>
      </c>
      <c r="I56" s="35" t="s">
        <v>320</v>
      </c>
      <c r="J56" s="36">
        <v>1987</v>
      </c>
      <c r="K56" s="39">
        <v>63.0833333333333</v>
      </c>
      <c r="L56" s="37">
        <v>505000</v>
      </c>
      <c r="M56" s="35" t="s">
        <v>417</v>
      </c>
      <c r="N56" s="27">
        <v>650360</v>
      </c>
      <c r="O56" s="38">
        <v>1.36106704830424</v>
      </c>
      <c r="P56" s="38">
        <v>103.75062543201101</v>
      </c>
      <c r="Q56" s="38" t="str" cm="1">
        <f t="array" ref="Q56">INDEX('MRT station dataset'!$C$3:$C$179, MATCH(MIN(SQRT(('MRT station dataset'!$E$3:$E$179-'Resale flat dataset'!O56)^2+('MRT station dataset'!$F$3:$F$179-'Resale flat dataset'!P56)^2)), SQRT(('MRT station dataset'!$E$3:$E$179-'Resale flat dataset'!O56)^2+('MRT station dataset'!$F$3:$F$179-'Resale flat dataset'!P56)^2), 0))</f>
        <v>BUKIT GOMBAK MRT STATION</v>
      </c>
      <c r="R56" s="38" t="str" cm="1">
        <f t="array" ref="R56">INDEX('Mall Dataset'!$B$3:$B$157, MATCH(MIN(SQRT(('Mall Dataset'!$E$3:$E$157-'Resale flat dataset'!O56)^2+('Mall Dataset'!$F$3:$F$157-'Resale flat dataset'!P56)^2)), SQRT(('Mall Dataset'!$E$3:$E$157-'Resale flat dataset'!O56)^2+('Mall Dataset'!$F$3:$F$157-'Resale flat dataset'!P56)^2), 0))</f>
        <v>West Mall</v>
      </c>
      <c r="S56" s="38" t="str" cm="1">
        <f t="array" ref="S56">INDEX('Schools dataset'!$B$3:$B$187, MATCH(MIN(SQRT(('Schools dataset'!$J$3:$J$187-'Resale flat dataset'!O56)^2+('Schools dataset'!$K$3:$K$187-'Resale flat dataset'!P56)^2)), SQRT(('Schools dataset'!$J$3:$J$187-'Resale flat dataset'!O56)^2+('Schools dataset'!$K$3:$K$187-'Resale flat dataset'!P56)^2), 0))</f>
        <v>DAZHONG PRIMARY SCHOOL</v>
      </c>
      <c r="T56" s="39">
        <f>ACOS(COS(RADIANS(90-O56))*COS(RADIANS(90-_xlfn.XLOOKUP(Q56,'MRT station dataset'!$C$3:$C$179,'MRT station dataset'!$E$3:$E$179)))+SIN(RADIANS(90-O56))*SIN(RADIANS(90-_xlfn.XLOOKUP(Q56,'MRT station dataset'!$C$3:$C$179,'MRT station dataset'!$E$3:$E$179)))*COS(RADIANS(P56-_xlfn.XLOOKUP('Resale flat dataset'!Q56,'MRT station dataset'!$C$3:$C$179,'MRT station dataset'!$F$3:$F$179))))*6371*1000</f>
        <v>289.17344747148957</v>
      </c>
      <c r="U56" s="39">
        <f>ACOS(COS(RADIANS(90-O56))*COS(RADIANS(90-_xlfn.XLOOKUP(R56,'Mall Dataset'!$B$3:$B$157,'Mall Dataset'!$E$3:$E$157,,0)))+SIN(RADIANS(90-O56))*SIN(RADIANS(90-_xlfn.XLOOKUP(R56,'Mall Dataset'!$B$3:$B$157,'Mall Dataset'!$E$3:$E$157,,0)))*COS(RADIANS(P56-_xlfn.XLOOKUP(R56,'Mall Dataset'!$B$3:$B$157,'Mall Dataset'!$F$3:$F$157,,0))))*6371*1000</f>
        <v>1200.5157225170346</v>
      </c>
      <c r="V56" s="39">
        <f>ACOS(COS(RADIANS(90-O56))*COS(RADIANS(90-_xlfn.XLOOKUP(S56,'Schools dataset'!$B$3:$B$187,'Schools dataset'!$J$3:$J$187,,0)))+SIN(RADIANS(90-O56))*SIN(RADIANS(90-_xlfn.XLOOKUP(S56,'Schools dataset'!$B$3:$B$187,'Schools dataset'!$J$3:$J$187,,0)))*COS(RADIANS(P56-_xlfn.XLOOKUP(S56,'Schools dataset'!$B$3:$B$187,'Schools dataset'!$K$3:$K$187,,0))))*6371*1000</f>
        <v>356.52321387010556</v>
      </c>
      <c r="W56" s="20">
        <f>_xlfn.XLOOKUP(T56,'HDB Recommender'!$P$10:$P$39,'HDB Recommender'!$Q$10:$Q$39,"&gt;30mins",1)</f>
        <v>4</v>
      </c>
      <c r="X56" s="20">
        <f>_xlfn.XLOOKUP(U56,'HDB Recommender'!$P$10:$P$39,'HDB Recommender'!$Q$10:$Q$39,"&gt;30mins",1)</f>
        <v>17</v>
      </c>
      <c r="Y56" s="20">
        <f>_xlfn.XLOOKUP(V56,'HDB Recommender'!$P$10:$P$39,'HDB Recommender'!$Q$10:$Q$39,"&gt;30mins",1)</f>
        <v>5</v>
      </c>
      <c r="Z56" s="39">
        <f t="shared" si="0"/>
        <v>8.6666666666666661</v>
      </c>
      <c r="AA56" s="20" t="str">
        <f t="shared" si="1"/>
        <v>Within 1km</v>
      </c>
    </row>
    <row r="57" spans="2:27" hidden="1">
      <c r="B57" s="35" t="s">
        <v>317</v>
      </c>
      <c r="C57" s="35" t="s">
        <v>394</v>
      </c>
      <c r="D57" s="35" t="s">
        <v>20</v>
      </c>
      <c r="E57" s="35"/>
      <c r="F57" s="35" t="s">
        <v>418</v>
      </c>
      <c r="G57" s="35" t="s">
        <v>346</v>
      </c>
      <c r="H57" s="35">
        <v>93</v>
      </c>
      <c r="I57" s="35" t="s">
        <v>335</v>
      </c>
      <c r="J57" s="36">
        <v>2019</v>
      </c>
      <c r="K57" s="39">
        <v>94.5</v>
      </c>
      <c r="L57" s="37">
        <v>660000</v>
      </c>
      <c r="M57" s="35" t="s">
        <v>419</v>
      </c>
      <c r="N57" s="27">
        <v>651453</v>
      </c>
      <c r="O57" s="38">
        <v>1.35227488305445</v>
      </c>
      <c r="P57" s="38">
        <v>103.742253260513</v>
      </c>
      <c r="Q57" s="38" t="str" cm="1">
        <f t="array" ref="Q57">INDEX('MRT station dataset'!$C$3:$C$179, MATCH(MIN(SQRT(('MRT station dataset'!$E$3:$E$179-'Resale flat dataset'!O57)^2+('MRT station dataset'!$F$3:$F$179-'Resale flat dataset'!P57)^2)), SQRT(('MRT station dataset'!$E$3:$E$179-'Resale flat dataset'!O57)^2+('MRT station dataset'!$F$3:$F$179-'Resale flat dataset'!P57)^2), 0))</f>
        <v>BUKIT BATOK MRT STATION</v>
      </c>
      <c r="R57" s="38" t="str" cm="1">
        <f t="array" ref="R57">INDEX('Mall Dataset'!$B$3:$B$157, MATCH(MIN(SQRT(('Mall Dataset'!$E$3:$E$157-'Resale flat dataset'!O57)^2+('Mall Dataset'!$F$3:$F$157-'Resale flat dataset'!P57)^2)), SQRT(('Mall Dataset'!$E$3:$E$157-'Resale flat dataset'!O57)^2+('Mall Dataset'!$F$3:$F$157-'Resale flat dataset'!P57)^2), 0))</f>
        <v>West Mall</v>
      </c>
      <c r="S57" s="38" t="str" cm="1">
        <f t="array" ref="S57">INDEX('Schools dataset'!$B$3:$B$187, MATCH(MIN(SQRT(('Schools dataset'!$J$3:$J$187-'Resale flat dataset'!O57)^2+('Schools dataset'!$K$3:$K$187-'Resale flat dataset'!P57)^2)), SQRT(('Schools dataset'!$J$3:$J$187-'Resale flat dataset'!O57)^2+('Schools dataset'!$K$3:$K$187-'Resale flat dataset'!P57)^2), 0))</f>
        <v>PRINCESS ELIZABETH PRIMARY SCHOOL</v>
      </c>
      <c r="T57" s="39">
        <f>ACOS(COS(RADIANS(90-O57))*COS(RADIANS(90-_xlfn.XLOOKUP(Q57,'MRT station dataset'!$C$3:$C$179,'MRT station dataset'!$E$3:$E$179)))+SIN(RADIANS(90-O57))*SIN(RADIANS(90-_xlfn.XLOOKUP(Q57,'MRT station dataset'!$C$3:$C$179,'MRT station dataset'!$E$3:$E$179)))*COS(RADIANS(P57-_xlfn.XLOOKUP('Resale flat dataset'!Q57,'MRT station dataset'!$C$3:$C$179,'MRT station dataset'!$F$3:$F$179))))*6371*1000</f>
        <v>894.19979038025303</v>
      </c>
      <c r="U57" s="39">
        <f>ACOS(COS(RADIANS(90-O57))*COS(RADIANS(90-_xlfn.XLOOKUP(R57,'Mall Dataset'!$B$3:$B$157,'Mall Dataset'!$E$3:$E$157,,0)))+SIN(RADIANS(90-O57))*SIN(RADIANS(90-_xlfn.XLOOKUP(R57,'Mall Dataset'!$B$3:$B$157,'Mall Dataset'!$E$3:$E$157,,0)))*COS(RADIANS(P57-_xlfn.XLOOKUP(R57,'Mall Dataset'!$B$3:$B$157,'Mall Dataset'!$F$3:$F$157,,0))))*6371*1000</f>
        <v>792.43304195632697</v>
      </c>
      <c r="V57" s="39">
        <f>ACOS(COS(RADIANS(90-O57))*COS(RADIANS(90-_xlfn.XLOOKUP(S57,'Schools dataset'!$B$3:$B$187,'Schools dataset'!$J$3:$J$187,,0)))+SIN(RADIANS(90-O57))*SIN(RADIANS(90-_xlfn.XLOOKUP(S57,'Schools dataset'!$B$3:$B$187,'Schools dataset'!$J$3:$J$187,,0)))*COS(RADIANS(P57-_xlfn.XLOOKUP(S57,'Schools dataset'!$B$3:$B$187,'Schools dataset'!$K$3:$K$187,,0))))*6371*1000</f>
        <v>368.0246019695428</v>
      </c>
      <c r="W57" s="20">
        <f>_xlfn.XLOOKUP(T57,'HDB Recommender'!$P$10:$P$39,'HDB Recommender'!$Q$10:$Q$39,"&gt;30mins",1)</f>
        <v>12</v>
      </c>
      <c r="X57" s="20">
        <f>_xlfn.XLOOKUP(U57,'HDB Recommender'!$P$10:$P$39,'HDB Recommender'!$Q$10:$Q$39,"&gt;30mins",1)</f>
        <v>11</v>
      </c>
      <c r="Y57" s="20">
        <f>_xlfn.XLOOKUP(V57,'HDB Recommender'!$P$10:$P$39,'HDB Recommender'!$Q$10:$Q$39,"&gt;30mins",1)</f>
        <v>5</v>
      </c>
      <c r="Z57" s="39">
        <f t="shared" si="0"/>
        <v>9.3333333333333339</v>
      </c>
      <c r="AA57" s="20" t="str">
        <f t="shared" si="1"/>
        <v>Within 1km</v>
      </c>
    </row>
    <row r="58" spans="2:27" hidden="1">
      <c r="B58" s="35" t="s">
        <v>317</v>
      </c>
      <c r="C58" s="35" t="s">
        <v>394</v>
      </c>
      <c r="D58" s="35" t="s">
        <v>20</v>
      </c>
      <c r="E58" s="35"/>
      <c r="F58" s="35" t="s">
        <v>418</v>
      </c>
      <c r="G58" s="35" t="s">
        <v>184</v>
      </c>
      <c r="H58" s="35">
        <v>93</v>
      </c>
      <c r="I58" s="35" t="s">
        <v>335</v>
      </c>
      <c r="J58" s="36">
        <v>2019</v>
      </c>
      <c r="K58" s="39">
        <v>94.5</v>
      </c>
      <c r="L58" s="37">
        <v>615000</v>
      </c>
      <c r="M58" s="35" t="s">
        <v>420</v>
      </c>
      <c r="N58" s="27">
        <v>651452</v>
      </c>
      <c r="O58" s="38">
        <v>1.3526534321596899</v>
      </c>
      <c r="P58" s="38">
        <v>103.74257309608601</v>
      </c>
      <c r="Q58" s="38" t="str" cm="1">
        <f t="array" ref="Q58">INDEX('MRT station dataset'!$C$3:$C$179, MATCH(MIN(SQRT(('MRT station dataset'!$E$3:$E$179-'Resale flat dataset'!O58)^2+('MRT station dataset'!$F$3:$F$179-'Resale flat dataset'!P58)^2)), SQRT(('MRT station dataset'!$E$3:$E$179-'Resale flat dataset'!O58)^2+('MRT station dataset'!$F$3:$F$179-'Resale flat dataset'!P58)^2), 0))</f>
        <v>BUKIT BATOK MRT STATION</v>
      </c>
      <c r="R58" s="38" t="str" cm="1">
        <f t="array" ref="R58">INDEX('Mall Dataset'!$B$3:$B$157, MATCH(MIN(SQRT(('Mall Dataset'!$E$3:$E$157-'Resale flat dataset'!O58)^2+('Mall Dataset'!$F$3:$F$157-'Resale flat dataset'!P58)^2)), SQRT(('Mall Dataset'!$E$3:$E$157-'Resale flat dataset'!O58)^2+('Mall Dataset'!$F$3:$F$157-'Resale flat dataset'!P58)^2), 0))</f>
        <v>West Mall</v>
      </c>
      <c r="S58" s="38" t="str" cm="1">
        <f t="array" ref="S58">INDEX('Schools dataset'!$B$3:$B$187, MATCH(MIN(SQRT(('Schools dataset'!$J$3:$J$187-'Resale flat dataset'!O58)^2+('Schools dataset'!$K$3:$K$187-'Resale flat dataset'!P58)^2)), SQRT(('Schools dataset'!$J$3:$J$187-'Resale flat dataset'!O58)^2+('Schools dataset'!$K$3:$K$187-'Resale flat dataset'!P58)^2), 0))</f>
        <v>PRINCESS ELIZABETH PRIMARY SCHOOL</v>
      </c>
      <c r="T58" s="39">
        <f>ACOS(COS(RADIANS(90-O58))*COS(RADIANS(90-_xlfn.XLOOKUP(Q58,'MRT station dataset'!$C$3:$C$179,'MRT station dataset'!$E$3:$E$179)))+SIN(RADIANS(90-O58))*SIN(RADIANS(90-_xlfn.XLOOKUP(Q58,'MRT station dataset'!$C$3:$C$179,'MRT station dataset'!$E$3:$E$179)))*COS(RADIANS(P58-_xlfn.XLOOKUP('Resale flat dataset'!Q58,'MRT station dataset'!$C$3:$C$179,'MRT station dataset'!$F$3:$F$179))))*6371*1000</f>
        <v>880.46094514771721</v>
      </c>
      <c r="U58" s="39">
        <f>ACOS(COS(RADIANS(90-O58))*COS(RADIANS(90-_xlfn.XLOOKUP(R58,'Mall Dataset'!$B$3:$B$157,'Mall Dataset'!$E$3:$E$157,,0)))+SIN(RADIANS(90-O58))*SIN(RADIANS(90-_xlfn.XLOOKUP(R58,'Mall Dataset'!$B$3:$B$157,'Mall Dataset'!$E$3:$E$157,,0)))*COS(RADIANS(P58-_xlfn.XLOOKUP(R58,'Mall Dataset'!$B$3:$B$157,'Mall Dataset'!$F$3:$F$157,,0))))*6371*1000</f>
        <v>771.0101129849121</v>
      </c>
      <c r="V58" s="39">
        <f>ACOS(COS(RADIANS(90-O58))*COS(RADIANS(90-_xlfn.XLOOKUP(S58,'Schools dataset'!$B$3:$B$187,'Schools dataset'!$J$3:$J$187,,0)))+SIN(RADIANS(90-O58))*SIN(RADIANS(90-_xlfn.XLOOKUP(S58,'Schools dataset'!$B$3:$B$187,'Schools dataset'!$J$3:$J$187,,0)))*COS(RADIANS(P58-_xlfn.XLOOKUP(S58,'Schools dataset'!$B$3:$B$187,'Schools dataset'!$K$3:$K$187,,0))))*6371*1000</f>
        <v>420.69046344018489</v>
      </c>
      <c r="W58" s="20">
        <f>_xlfn.XLOOKUP(T58,'HDB Recommender'!$P$10:$P$39,'HDB Recommender'!$Q$10:$Q$39,"&gt;30mins",1)</f>
        <v>12</v>
      </c>
      <c r="X58" s="20">
        <f>_xlfn.XLOOKUP(U58,'HDB Recommender'!$P$10:$P$39,'HDB Recommender'!$Q$10:$Q$39,"&gt;30mins",1)</f>
        <v>11</v>
      </c>
      <c r="Y58" s="20">
        <f>_xlfn.XLOOKUP(V58,'HDB Recommender'!$P$10:$P$39,'HDB Recommender'!$Q$10:$Q$39,"&gt;30mins",1)</f>
        <v>6</v>
      </c>
      <c r="Z58" s="39">
        <f t="shared" si="0"/>
        <v>9.6666666666666661</v>
      </c>
      <c r="AA58" s="20" t="str">
        <f t="shared" si="1"/>
        <v>Within 1km</v>
      </c>
    </row>
    <row r="59" spans="2:27" hidden="1">
      <c r="B59" s="35" t="s">
        <v>317</v>
      </c>
      <c r="C59" s="35" t="s">
        <v>394</v>
      </c>
      <c r="D59" s="35" t="s">
        <v>20</v>
      </c>
      <c r="E59" s="35"/>
      <c r="F59" s="35" t="s">
        <v>418</v>
      </c>
      <c r="G59" s="35" t="s">
        <v>323</v>
      </c>
      <c r="H59" s="35">
        <v>93</v>
      </c>
      <c r="I59" s="35" t="s">
        <v>335</v>
      </c>
      <c r="J59" s="36">
        <v>2019</v>
      </c>
      <c r="K59" s="39">
        <v>94.5</v>
      </c>
      <c r="L59" s="37">
        <v>618000</v>
      </c>
      <c r="M59" s="35" t="s">
        <v>421</v>
      </c>
      <c r="N59" s="27">
        <v>652453</v>
      </c>
      <c r="O59" s="38">
        <v>1.3520219180383299</v>
      </c>
      <c r="P59" s="38">
        <v>103.74268863543099</v>
      </c>
      <c r="Q59" s="38" t="str" cm="1">
        <f t="array" ref="Q59">INDEX('MRT station dataset'!$C$3:$C$179, MATCH(MIN(SQRT(('MRT station dataset'!$E$3:$E$179-'Resale flat dataset'!O59)^2+('MRT station dataset'!$F$3:$F$179-'Resale flat dataset'!P59)^2)), SQRT(('MRT station dataset'!$E$3:$E$179-'Resale flat dataset'!O59)^2+('MRT station dataset'!$F$3:$F$179-'Resale flat dataset'!P59)^2), 0))</f>
        <v>BUKIT BATOK MRT STATION</v>
      </c>
      <c r="R59" s="38" t="str" cm="1">
        <f t="array" ref="R59">INDEX('Mall Dataset'!$B$3:$B$157, MATCH(MIN(SQRT(('Mall Dataset'!$E$3:$E$157-'Resale flat dataset'!O59)^2+('Mall Dataset'!$F$3:$F$157-'Resale flat dataset'!P59)^2)), SQRT(('Mall Dataset'!$E$3:$E$157-'Resale flat dataset'!O59)^2+('Mall Dataset'!$F$3:$F$157-'Resale flat dataset'!P59)^2), 0))</f>
        <v>West Mall</v>
      </c>
      <c r="S59" s="38" t="str" cm="1">
        <f t="array" ref="S59">INDEX('Schools dataset'!$B$3:$B$187, MATCH(MIN(SQRT(('Schools dataset'!$J$3:$J$187-'Resale flat dataset'!O59)^2+('Schools dataset'!$K$3:$K$187-'Resale flat dataset'!P59)^2)), SQRT(('Schools dataset'!$J$3:$J$187-'Resale flat dataset'!O59)^2+('Schools dataset'!$K$3:$K$187-'Resale flat dataset'!P59)^2), 0))</f>
        <v>PRINCESS ELIZABETH PRIMARY SCHOOL</v>
      </c>
      <c r="T59" s="39">
        <f>ACOS(COS(RADIANS(90-O59))*COS(RADIANS(90-_xlfn.XLOOKUP(Q59,'MRT station dataset'!$C$3:$C$179,'MRT station dataset'!$E$3:$E$179)))+SIN(RADIANS(90-O59))*SIN(RADIANS(90-_xlfn.XLOOKUP(Q59,'MRT station dataset'!$C$3:$C$179,'MRT station dataset'!$E$3:$E$179)))*COS(RADIANS(P59-_xlfn.XLOOKUP('Resale flat dataset'!Q59,'MRT station dataset'!$C$3:$C$179,'MRT station dataset'!$F$3:$F$179))))*6371*1000</f>
        <v>838.56321884411102</v>
      </c>
      <c r="U59" s="39">
        <f>ACOS(COS(RADIANS(90-O59))*COS(RADIANS(90-_xlfn.XLOOKUP(R59,'Mall Dataset'!$B$3:$B$157,'Mall Dataset'!$E$3:$E$157,,0)))+SIN(RADIANS(90-O59))*SIN(RADIANS(90-_xlfn.XLOOKUP(R59,'Mall Dataset'!$B$3:$B$157,'Mall Dataset'!$E$3:$E$157,,0)))*COS(RADIANS(P59-_xlfn.XLOOKUP(R59,'Mall Dataset'!$B$3:$B$157,'Mall Dataset'!$F$3:$F$157,,0))))*6371*1000</f>
        <v>738.42540404371221</v>
      </c>
      <c r="V59" s="39">
        <f>ACOS(COS(RADIANS(90-O59))*COS(RADIANS(90-_xlfn.XLOOKUP(S59,'Schools dataset'!$B$3:$B$187,'Schools dataset'!$J$3:$J$187,,0)))+SIN(RADIANS(90-O59))*SIN(RADIANS(90-_xlfn.XLOOKUP(S59,'Schools dataset'!$B$3:$B$187,'Schools dataset'!$J$3:$J$187,,0)))*COS(RADIANS(P59-_xlfn.XLOOKUP(S59,'Schools dataset'!$B$3:$B$187,'Schools dataset'!$K$3:$K$187,,0))))*6371*1000</f>
        <v>364.19338311098272</v>
      </c>
      <c r="W59" s="20">
        <f>_xlfn.XLOOKUP(T59,'HDB Recommender'!$P$10:$P$39,'HDB Recommender'!$Q$10:$Q$39,"&gt;30mins",1)</f>
        <v>12</v>
      </c>
      <c r="X59" s="20">
        <f>_xlfn.XLOOKUP(U59,'HDB Recommender'!$P$10:$P$39,'HDB Recommender'!$Q$10:$Q$39,"&gt;30mins",1)</f>
        <v>10</v>
      </c>
      <c r="Y59" s="20">
        <f>_xlfn.XLOOKUP(V59,'HDB Recommender'!$P$10:$P$39,'HDB Recommender'!$Q$10:$Q$39,"&gt;30mins",1)</f>
        <v>5</v>
      </c>
      <c r="Z59" s="39">
        <f t="shared" si="0"/>
        <v>9</v>
      </c>
      <c r="AA59" s="20" t="str">
        <f t="shared" si="1"/>
        <v>Within 1km</v>
      </c>
    </row>
    <row r="60" spans="2:27" hidden="1">
      <c r="B60" s="35" t="s">
        <v>317</v>
      </c>
      <c r="C60" s="35" t="s">
        <v>394</v>
      </c>
      <c r="D60" s="35" t="s">
        <v>20</v>
      </c>
      <c r="E60" s="35"/>
      <c r="F60" s="35" t="s">
        <v>405</v>
      </c>
      <c r="G60" s="35" t="s">
        <v>191</v>
      </c>
      <c r="H60" s="35">
        <v>92</v>
      </c>
      <c r="I60" s="35" t="s">
        <v>335</v>
      </c>
      <c r="J60" s="36">
        <v>2019</v>
      </c>
      <c r="K60" s="39">
        <v>94.5833333333333</v>
      </c>
      <c r="L60" s="37">
        <v>600000</v>
      </c>
      <c r="M60" s="35" t="s">
        <v>422</v>
      </c>
      <c r="N60" s="27">
        <v>653442</v>
      </c>
      <c r="O60" s="38">
        <v>1.3571336436742101</v>
      </c>
      <c r="P60" s="38">
        <v>103.737972739621</v>
      </c>
      <c r="Q60" s="38" t="str" cm="1">
        <f t="array" ref="Q60">INDEX('MRT station dataset'!$C$3:$C$179, MATCH(MIN(SQRT(('MRT station dataset'!$E$3:$E$179-'Resale flat dataset'!O60)^2+('MRT station dataset'!$F$3:$F$179-'Resale flat dataset'!P60)^2)), SQRT(('MRT station dataset'!$E$3:$E$179-'Resale flat dataset'!O60)^2+('MRT station dataset'!$F$3:$F$179-'Resale flat dataset'!P60)^2), 0))</f>
        <v>BUKIT GOMBAK MRT STATION</v>
      </c>
      <c r="R60" s="38" t="str" cm="1">
        <f t="array" ref="R60">INDEX('Mall Dataset'!$B$3:$B$157, MATCH(MIN(SQRT(('Mall Dataset'!$E$3:$E$157-'Resale flat dataset'!O60)^2+('Mall Dataset'!$F$3:$F$157-'Resale flat dataset'!P60)^2)), SQRT(('Mall Dataset'!$E$3:$E$157-'Resale flat dataset'!O60)^2+('Mall Dataset'!$F$3:$F$157-'Resale flat dataset'!P60)^2), 0))</f>
        <v>West Mall</v>
      </c>
      <c r="S60" s="38" t="str" cm="1">
        <f t="array" ref="S60">INDEX('Schools dataset'!$B$3:$B$187, MATCH(MIN(SQRT(('Schools dataset'!$J$3:$J$187-'Resale flat dataset'!O60)^2+('Schools dataset'!$K$3:$K$187-'Resale flat dataset'!P60)^2)), SQRT(('Schools dataset'!$J$3:$J$187-'Resale flat dataset'!O60)^2+('Schools dataset'!$K$3:$K$187-'Resale flat dataset'!P60)^2), 0))</f>
        <v>PRINCESS ELIZABETH PRIMARY SCHOOL</v>
      </c>
      <c r="T60" s="39">
        <f>ACOS(COS(RADIANS(90-O60))*COS(RADIANS(90-_xlfn.XLOOKUP(Q60,'MRT station dataset'!$C$3:$C$179,'MRT station dataset'!$E$3:$E$179)))+SIN(RADIANS(90-O60))*SIN(RADIANS(90-_xlfn.XLOOKUP(Q60,'MRT station dataset'!$C$3:$C$179,'MRT station dataset'!$E$3:$E$179)))*COS(RADIANS(P60-_xlfn.XLOOKUP('Resale flat dataset'!Q60,'MRT station dataset'!$C$3:$C$179,'MRT station dataset'!$F$3:$F$179))))*6371*1000</f>
        <v>1559.2541720755858</v>
      </c>
      <c r="U60" s="39">
        <f>ACOS(COS(RADIANS(90-O60))*COS(RADIANS(90-_xlfn.XLOOKUP(R60,'Mall Dataset'!$B$3:$B$157,'Mall Dataset'!$E$3:$E$157,,0)))+SIN(RADIANS(90-O60))*SIN(RADIANS(90-_xlfn.XLOOKUP(R60,'Mall Dataset'!$B$3:$B$157,'Mall Dataset'!$E$3:$E$157,,0)))*COS(RADIANS(P60-_xlfn.XLOOKUP(R60,'Mall Dataset'!$B$3:$B$157,'Mall Dataset'!$F$3:$F$157,,0))))*6371*1000</f>
        <v>1449.6017020452064</v>
      </c>
      <c r="V60" s="39">
        <f>ACOS(COS(RADIANS(90-O60))*COS(RADIANS(90-_xlfn.XLOOKUP(S60,'Schools dataset'!$B$3:$B$187,'Schools dataset'!$J$3:$J$187,,0)))+SIN(RADIANS(90-O60))*SIN(RADIANS(90-_xlfn.XLOOKUP(S60,'Schools dataset'!$B$3:$B$187,'Schools dataset'!$J$3:$J$187,,0)))*COS(RADIANS(P60-_xlfn.XLOOKUP(S60,'Schools dataset'!$B$3:$B$187,'Schools dataset'!$K$3:$K$187,,0))))*6371*1000</f>
        <v>944.60356315884053</v>
      </c>
      <c r="W60" s="20">
        <f>_xlfn.XLOOKUP(T60,'HDB Recommender'!$P$10:$P$39,'HDB Recommender'!$Q$10:$Q$39,"&gt;30mins",1)</f>
        <v>21</v>
      </c>
      <c r="X60" s="20">
        <f>_xlfn.XLOOKUP(U60,'HDB Recommender'!$P$10:$P$39,'HDB Recommender'!$Q$10:$Q$39,"&gt;30mins",1)</f>
        <v>20</v>
      </c>
      <c r="Y60" s="20">
        <f>_xlfn.XLOOKUP(V60,'HDB Recommender'!$P$10:$P$39,'HDB Recommender'!$Q$10:$Q$39,"&gt;30mins",1)</f>
        <v>13</v>
      </c>
      <c r="Z60" s="39">
        <f t="shared" si="0"/>
        <v>18</v>
      </c>
      <c r="AA60" s="20" t="str">
        <f t="shared" si="1"/>
        <v>Within 1km</v>
      </c>
    </row>
    <row r="61" spans="2:27" hidden="1">
      <c r="B61" s="35" t="s">
        <v>317</v>
      </c>
      <c r="C61" s="35" t="s">
        <v>394</v>
      </c>
      <c r="D61" s="35" t="s">
        <v>341</v>
      </c>
      <c r="E61" s="35"/>
      <c r="F61" s="35" t="s">
        <v>403</v>
      </c>
      <c r="G61" s="35" t="s">
        <v>184</v>
      </c>
      <c r="H61" s="35">
        <v>113</v>
      </c>
      <c r="I61" s="35" t="s">
        <v>326</v>
      </c>
      <c r="J61" s="36">
        <v>2019</v>
      </c>
      <c r="K61" s="39">
        <v>94.3333333333333</v>
      </c>
      <c r="L61" s="37">
        <v>815000</v>
      </c>
      <c r="M61" s="35" t="s">
        <v>423</v>
      </c>
      <c r="N61" s="27">
        <v>651293</v>
      </c>
      <c r="O61" s="38">
        <v>1.3459356558737701</v>
      </c>
      <c r="P61" s="38">
        <v>103.754650908839</v>
      </c>
      <c r="Q61" s="38" t="str" cm="1">
        <f t="array" ref="Q61">INDEX('MRT station dataset'!$C$3:$C$179, MATCH(MIN(SQRT(('MRT station dataset'!$E$3:$E$179-'Resale flat dataset'!O61)^2+('MRT station dataset'!$F$3:$F$179-'Resale flat dataset'!P61)^2)), SQRT(('MRT station dataset'!$E$3:$E$179-'Resale flat dataset'!O61)^2+('MRT station dataset'!$F$3:$F$179-'Resale flat dataset'!P61)^2), 0))</f>
        <v>BUKIT BATOK MRT STATION</v>
      </c>
      <c r="R61" s="38" t="str" cm="1">
        <f t="array" ref="R61">INDEX('Mall Dataset'!$B$3:$B$157, MATCH(MIN(SQRT(('Mall Dataset'!$E$3:$E$157-'Resale flat dataset'!O61)^2+('Mall Dataset'!$F$3:$F$157-'Resale flat dataset'!P61)^2)), SQRT(('Mall Dataset'!$E$3:$E$157-'Resale flat dataset'!O61)^2+('Mall Dataset'!$F$3:$F$157-'Resale flat dataset'!P61)^2), 0))</f>
        <v>West Mall</v>
      </c>
      <c r="S61" s="38" t="str" cm="1">
        <f t="array" ref="S61">INDEX('Schools dataset'!$B$3:$B$187, MATCH(MIN(SQRT(('Schools dataset'!$J$3:$J$187-'Resale flat dataset'!O61)^2+('Schools dataset'!$K$3:$K$187-'Resale flat dataset'!P61)^2)), SQRT(('Schools dataset'!$J$3:$J$187-'Resale flat dataset'!O61)^2+('Schools dataset'!$K$3:$K$187-'Resale flat dataset'!P61)^2), 0))</f>
        <v>BUKIT VIEW PRIMARY SCHOOL</v>
      </c>
      <c r="T61" s="39">
        <f>ACOS(COS(RADIANS(90-O61))*COS(RADIANS(90-_xlfn.XLOOKUP(Q61,'MRT station dataset'!$C$3:$C$179,'MRT station dataset'!$E$3:$E$179)))+SIN(RADIANS(90-O61))*SIN(RADIANS(90-_xlfn.XLOOKUP(Q61,'MRT station dataset'!$C$3:$C$179,'MRT station dataset'!$E$3:$E$179)))*COS(RADIANS(P61-_xlfn.XLOOKUP('Resale flat dataset'!Q61,'MRT station dataset'!$C$3:$C$179,'MRT station dataset'!$F$3:$F$179))))*6371*1000</f>
        <v>656.78258461504436</v>
      </c>
      <c r="U61" s="39">
        <f>ACOS(COS(RADIANS(90-O61))*COS(RADIANS(90-_xlfn.XLOOKUP(R61,'Mall Dataset'!$B$3:$B$157,'Mall Dataset'!$E$3:$E$157,,0)))+SIN(RADIANS(90-O61))*SIN(RADIANS(90-_xlfn.XLOOKUP(R61,'Mall Dataset'!$B$3:$B$157,'Mall Dataset'!$E$3:$E$157,,0)))*COS(RADIANS(P61-_xlfn.XLOOKUP(R61,'Mall Dataset'!$B$3:$B$157,'Mall Dataset'!$F$3:$F$157,,0))))*6371*1000</f>
        <v>788.1710031561098</v>
      </c>
      <c r="V61" s="39">
        <f>ACOS(COS(RADIANS(90-O61))*COS(RADIANS(90-_xlfn.XLOOKUP(S61,'Schools dataset'!$B$3:$B$187,'Schools dataset'!$J$3:$J$187,,0)))+SIN(RADIANS(90-O61))*SIN(RADIANS(90-_xlfn.XLOOKUP(S61,'Schools dataset'!$B$3:$B$187,'Schools dataset'!$J$3:$J$187,,0)))*COS(RADIANS(P61-_xlfn.XLOOKUP(S61,'Schools dataset'!$B$3:$B$187,'Schools dataset'!$K$3:$K$187,,0))))*6371*1000</f>
        <v>109.7587540670133</v>
      </c>
      <c r="W61" s="20">
        <f>_xlfn.XLOOKUP(T61,'HDB Recommender'!$P$10:$P$39,'HDB Recommender'!$Q$10:$Q$39,"&gt;30mins",1)</f>
        <v>9</v>
      </c>
      <c r="X61" s="20">
        <f>_xlfn.XLOOKUP(U61,'HDB Recommender'!$P$10:$P$39,'HDB Recommender'!$Q$10:$Q$39,"&gt;30mins",1)</f>
        <v>11</v>
      </c>
      <c r="Y61" s="20">
        <f>_xlfn.XLOOKUP(V61,'HDB Recommender'!$P$10:$P$39,'HDB Recommender'!$Q$10:$Q$39,"&gt;30mins",1)</f>
        <v>2</v>
      </c>
      <c r="Z61" s="39">
        <f t="shared" si="0"/>
        <v>7.333333333333333</v>
      </c>
      <c r="AA61" s="20" t="str">
        <f t="shared" si="1"/>
        <v>Within 1km</v>
      </c>
    </row>
    <row r="62" spans="2:27" hidden="1">
      <c r="B62" s="35" t="s">
        <v>317</v>
      </c>
      <c r="C62" s="35" t="s">
        <v>394</v>
      </c>
      <c r="D62" s="35" t="s">
        <v>341</v>
      </c>
      <c r="E62" s="35">
        <v>393</v>
      </c>
      <c r="F62" s="35" t="s">
        <v>424</v>
      </c>
      <c r="G62" s="35" t="s">
        <v>191</v>
      </c>
      <c r="H62" s="35">
        <v>118</v>
      </c>
      <c r="I62" s="35" t="s">
        <v>326</v>
      </c>
      <c r="J62" s="36">
        <v>2004</v>
      </c>
      <c r="K62" s="39">
        <v>80.0833333333333</v>
      </c>
      <c r="L62" s="37">
        <v>693000</v>
      </c>
      <c r="M62" s="35" t="s">
        <v>425</v>
      </c>
      <c r="N62" s="27">
        <v>650393</v>
      </c>
      <c r="O62" s="38">
        <v>1.3664932812041899</v>
      </c>
      <c r="P62" s="38">
        <v>103.753112569115</v>
      </c>
      <c r="Q62" s="38" t="str" cm="1">
        <f t="array" ref="Q62">INDEX('MRT station dataset'!$C$3:$C$179, MATCH(MIN(SQRT(('MRT station dataset'!$E$3:$E$179-'Resale flat dataset'!O62)^2+('MRT station dataset'!$F$3:$F$179-'Resale flat dataset'!P62)^2)), SQRT(('MRT station dataset'!$E$3:$E$179-'Resale flat dataset'!O62)^2+('MRT station dataset'!$F$3:$F$179-'Resale flat dataset'!P62)^2), 0))</f>
        <v>BUKIT GOMBAK MRT STATION</v>
      </c>
      <c r="R62" s="38" t="str" cm="1">
        <f t="array" ref="R62">INDEX('Mall Dataset'!$B$3:$B$157, MATCH(MIN(SQRT(('Mall Dataset'!$E$3:$E$157-'Resale flat dataset'!O62)^2+('Mall Dataset'!$F$3:$F$157-'Resale flat dataset'!P62)^2)), SQRT(('Mall Dataset'!$E$3:$E$157-'Resale flat dataset'!O62)^2+('Mall Dataset'!$F$3:$F$157-'Resale flat dataset'!P62)^2), 0))</f>
        <v>HillV2</v>
      </c>
      <c r="S62" s="38" t="str" cm="1">
        <f t="array" ref="S62">INDEX('Schools dataset'!$B$3:$B$187, MATCH(MIN(SQRT(('Schools dataset'!$J$3:$J$187-'Resale flat dataset'!O62)^2+('Schools dataset'!$K$3:$K$187-'Resale flat dataset'!P62)^2)), SQRT(('Schools dataset'!$J$3:$J$187-'Resale flat dataset'!O62)^2+('Schools dataset'!$K$3:$K$187-'Resale flat dataset'!P62)^2), 0))</f>
        <v>ST. ANTHONY'S PRIMARY SCHOOL</v>
      </c>
      <c r="T62" s="39">
        <f>ACOS(COS(RADIANS(90-O62))*COS(RADIANS(90-_xlfn.XLOOKUP(Q62,'MRT station dataset'!$C$3:$C$179,'MRT station dataset'!$E$3:$E$179)))+SIN(RADIANS(90-O62))*SIN(RADIANS(90-_xlfn.XLOOKUP(Q62,'MRT station dataset'!$C$3:$C$179,'MRT station dataset'!$E$3:$E$179)))*COS(RADIANS(P62-_xlfn.XLOOKUP('Resale flat dataset'!Q62,'MRT station dataset'!$C$3:$C$179,'MRT station dataset'!$F$3:$F$179))))*6371*1000</f>
        <v>866.00839029426527</v>
      </c>
      <c r="U62" s="39">
        <f>ACOS(COS(RADIANS(90-O62))*COS(RADIANS(90-_xlfn.XLOOKUP(R62,'Mall Dataset'!$B$3:$B$157,'Mall Dataset'!$E$3:$E$157,,0)))+SIN(RADIANS(90-O62))*SIN(RADIANS(90-_xlfn.XLOOKUP(R62,'Mall Dataset'!$B$3:$B$157,'Mall Dataset'!$E$3:$E$157,,0)))*COS(RADIANS(P62-_xlfn.XLOOKUP(R62,'Mall Dataset'!$B$3:$B$157,'Mall Dataset'!$F$3:$F$157,,0))))*6371*1000</f>
        <v>1300.7668542901756</v>
      </c>
      <c r="V62" s="39">
        <f>ACOS(COS(RADIANS(90-O62))*COS(RADIANS(90-_xlfn.XLOOKUP(S62,'Schools dataset'!$B$3:$B$187,'Schools dataset'!$J$3:$J$187,,0)))+SIN(RADIANS(90-O62))*SIN(RADIANS(90-_xlfn.XLOOKUP(S62,'Schools dataset'!$B$3:$B$187,'Schools dataset'!$J$3:$J$187,,0)))*COS(RADIANS(P62-_xlfn.XLOOKUP(S62,'Schools dataset'!$B$3:$B$187,'Schools dataset'!$K$3:$K$187,,0))))*6371*1000</f>
        <v>501.41891958790376</v>
      </c>
      <c r="W62" s="20">
        <f>_xlfn.XLOOKUP(T62,'HDB Recommender'!$P$10:$P$39,'HDB Recommender'!$Q$10:$Q$39,"&gt;30mins",1)</f>
        <v>12</v>
      </c>
      <c r="X62" s="20">
        <f>_xlfn.XLOOKUP(U62,'HDB Recommender'!$P$10:$P$39,'HDB Recommender'!$Q$10:$Q$39,"&gt;30mins",1)</f>
        <v>18</v>
      </c>
      <c r="Y62" s="20">
        <f>_xlfn.XLOOKUP(V62,'HDB Recommender'!$P$10:$P$39,'HDB Recommender'!$Q$10:$Q$39,"&gt;30mins",1)</f>
        <v>7</v>
      </c>
      <c r="Z62" s="39">
        <f t="shared" si="0"/>
        <v>12.333333333333334</v>
      </c>
      <c r="AA62" s="20" t="str">
        <f t="shared" si="1"/>
        <v>Within 1km</v>
      </c>
    </row>
    <row r="63" spans="2:27" hidden="1">
      <c r="B63" s="35" t="s">
        <v>317</v>
      </c>
      <c r="C63" s="35" t="s">
        <v>394</v>
      </c>
      <c r="D63" s="35" t="s">
        <v>341</v>
      </c>
      <c r="E63" s="35">
        <v>392</v>
      </c>
      <c r="F63" s="35" t="s">
        <v>424</v>
      </c>
      <c r="G63" s="35" t="s">
        <v>184</v>
      </c>
      <c r="H63" s="35">
        <v>118</v>
      </c>
      <c r="I63" s="35" t="s">
        <v>326</v>
      </c>
      <c r="J63" s="36">
        <v>2004</v>
      </c>
      <c r="K63" s="39">
        <v>80.0833333333333</v>
      </c>
      <c r="L63" s="37">
        <v>708000</v>
      </c>
      <c r="M63" s="35" t="s">
        <v>426</v>
      </c>
      <c r="N63" s="27">
        <v>650392</v>
      </c>
      <c r="O63" s="38">
        <v>1.3658660837313801</v>
      </c>
      <c r="P63" s="38">
        <v>103.75332328071801</v>
      </c>
      <c r="Q63" s="38" t="str" cm="1">
        <f t="array" ref="Q63">INDEX('MRT station dataset'!$C$3:$C$179, MATCH(MIN(SQRT(('MRT station dataset'!$E$3:$E$179-'Resale flat dataset'!O63)^2+('MRT station dataset'!$F$3:$F$179-'Resale flat dataset'!P63)^2)), SQRT(('MRT station dataset'!$E$3:$E$179-'Resale flat dataset'!O63)^2+('MRT station dataset'!$F$3:$F$179-'Resale flat dataset'!P63)^2), 0))</f>
        <v>BUKIT GOMBAK MRT STATION</v>
      </c>
      <c r="R63" s="38" t="str" cm="1">
        <f t="array" ref="R63">INDEX('Mall Dataset'!$B$3:$B$157, MATCH(MIN(SQRT(('Mall Dataset'!$E$3:$E$157-'Resale flat dataset'!O63)^2+('Mall Dataset'!$F$3:$F$157-'Resale flat dataset'!P63)^2)), SQRT(('Mall Dataset'!$E$3:$E$157-'Resale flat dataset'!O63)^2+('Mall Dataset'!$F$3:$F$157-'Resale flat dataset'!P63)^2), 0))</f>
        <v>HillV2</v>
      </c>
      <c r="S63" s="38" t="str" cm="1">
        <f t="array" ref="S63">INDEX('Schools dataset'!$B$3:$B$187, MATCH(MIN(SQRT(('Schools dataset'!$J$3:$J$187-'Resale flat dataset'!O63)^2+('Schools dataset'!$K$3:$K$187-'Resale flat dataset'!P63)^2)), SQRT(('Schools dataset'!$J$3:$J$187-'Resale flat dataset'!O63)^2+('Schools dataset'!$K$3:$K$187-'Resale flat dataset'!P63)^2), 0))</f>
        <v>ST. ANTHONY'S PRIMARY SCHOOL</v>
      </c>
      <c r="T63" s="39">
        <f>ACOS(COS(RADIANS(90-O63))*COS(RADIANS(90-_xlfn.XLOOKUP(Q63,'MRT station dataset'!$C$3:$C$179,'MRT station dataset'!$E$3:$E$179)))+SIN(RADIANS(90-O63))*SIN(RADIANS(90-_xlfn.XLOOKUP(Q63,'MRT station dataset'!$C$3:$C$179,'MRT station dataset'!$E$3:$E$179)))*COS(RADIANS(P63-_xlfn.XLOOKUP('Resale flat dataset'!Q63,'MRT station dataset'!$C$3:$C$179,'MRT station dataset'!$F$3:$F$179))))*6371*1000</f>
        <v>801.48422409015313</v>
      </c>
      <c r="U63" s="39">
        <f>ACOS(COS(RADIANS(90-O63))*COS(RADIANS(90-_xlfn.XLOOKUP(R63,'Mall Dataset'!$B$3:$B$157,'Mall Dataset'!$E$3:$E$157,,0)))+SIN(RADIANS(90-O63))*SIN(RADIANS(90-_xlfn.XLOOKUP(R63,'Mall Dataset'!$B$3:$B$157,'Mall Dataset'!$E$3:$E$157,,0)))*COS(RADIANS(P63-_xlfn.XLOOKUP(R63,'Mall Dataset'!$B$3:$B$157,'Mall Dataset'!$F$3:$F$157,,0))))*6371*1000</f>
        <v>1257.2114677075499</v>
      </c>
      <c r="V63" s="39">
        <f>ACOS(COS(RADIANS(90-O63))*COS(RADIANS(90-_xlfn.XLOOKUP(S63,'Schools dataset'!$B$3:$B$187,'Schools dataset'!$J$3:$J$187,,0)))+SIN(RADIANS(90-O63))*SIN(RADIANS(90-_xlfn.XLOOKUP(S63,'Schools dataset'!$B$3:$B$187,'Schools dataset'!$J$3:$J$187,,0)))*COS(RADIANS(P63-_xlfn.XLOOKUP(S63,'Schools dataset'!$B$3:$B$187,'Schools dataset'!$K$3:$K$187,,0))))*6371*1000</f>
        <v>490.68259073986997</v>
      </c>
      <c r="W63" s="20">
        <f>_xlfn.XLOOKUP(T63,'HDB Recommender'!$P$10:$P$39,'HDB Recommender'!$Q$10:$Q$39,"&gt;30mins",1)</f>
        <v>11</v>
      </c>
      <c r="X63" s="20">
        <f>_xlfn.XLOOKUP(U63,'HDB Recommender'!$P$10:$P$39,'HDB Recommender'!$Q$10:$Q$39,"&gt;30mins",1)</f>
        <v>17</v>
      </c>
      <c r="Y63" s="20">
        <f>_xlfn.XLOOKUP(V63,'HDB Recommender'!$P$10:$P$39,'HDB Recommender'!$Q$10:$Q$39,"&gt;30mins",1)</f>
        <v>7</v>
      </c>
      <c r="Z63" s="39">
        <f t="shared" si="0"/>
        <v>11.666666666666666</v>
      </c>
      <c r="AA63" s="20" t="str">
        <f t="shared" si="1"/>
        <v>Within 1km</v>
      </c>
    </row>
    <row r="64" spans="2:27" hidden="1">
      <c r="B64" s="35" t="s">
        <v>317</v>
      </c>
      <c r="C64" s="35" t="s">
        <v>394</v>
      </c>
      <c r="D64" s="35" t="s">
        <v>341</v>
      </c>
      <c r="E64" s="35"/>
      <c r="F64" s="35" t="s">
        <v>418</v>
      </c>
      <c r="G64" s="35" t="s">
        <v>189</v>
      </c>
      <c r="H64" s="35">
        <v>112</v>
      </c>
      <c r="I64" s="35" t="s">
        <v>389</v>
      </c>
      <c r="J64" s="36">
        <v>2017</v>
      </c>
      <c r="K64" s="39">
        <v>92.8333333333333</v>
      </c>
      <c r="L64" s="37">
        <v>770000</v>
      </c>
      <c r="M64" s="35" t="s">
        <v>427</v>
      </c>
      <c r="N64" s="27">
        <v>651194</v>
      </c>
      <c r="O64" s="38">
        <v>1.34468050128788</v>
      </c>
      <c r="P64" s="38">
        <v>103.7455138661</v>
      </c>
      <c r="Q64" s="38" t="str" cm="1">
        <f t="array" ref="Q64">INDEX('MRT station dataset'!$C$3:$C$179, MATCH(MIN(SQRT(('MRT station dataset'!$E$3:$E$179-'Resale flat dataset'!O64)^2+('MRT station dataset'!$F$3:$F$179-'Resale flat dataset'!P64)^2)), SQRT(('MRT station dataset'!$E$3:$E$179-'Resale flat dataset'!O64)^2+('MRT station dataset'!$F$3:$F$179-'Resale flat dataset'!P64)^2), 0))</f>
        <v>BUKIT BATOK MRT STATION</v>
      </c>
      <c r="R64" s="38" t="str" cm="1">
        <f t="array" ref="R64">INDEX('Mall Dataset'!$B$3:$B$157, MATCH(MIN(SQRT(('Mall Dataset'!$E$3:$E$157-'Resale flat dataset'!O64)^2+('Mall Dataset'!$F$3:$F$157-'Resale flat dataset'!P64)^2)), SQRT(('Mall Dataset'!$E$3:$E$157-'Resale flat dataset'!O64)^2+('Mall Dataset'!$F$3:$F$157-'Resale flat dataset'!P64)^2), 0))</f>
        <v>West Mall</v>
      </c>
      <c r="S64" s="38" t="str" cm="1">
        <f t="array" ref="S64">INDEX('Schools dataset'!$B$3:$B$187, MATCH(MIN(SQRT(('Schools dataset'!$J$3:$J$187-'Resale flat dataset'!O64)^2+('Schools dataset'!$K$3:$K$187-'Resale flat dataset'!P64)^2)), SQRT(('Schools dataset'!$J$3:$J$187-'Resale flat dataset'!O64)^2+('Schools dataset'!$K$3:$K$187-'Resale flat dataset'!P64)^2), 0))</f>
        <v>YUHUA PRIMARY SCHOOL</v>
      </c>
      <c r="T64" s="39">
        <f>ACOS(COS(RADIANS(90-O64))*COS(RADIANS(90-_xlfn.XLOOKUP(Q64,'MRT station dataset'!$C$3:$C$179,'MRT station dataset'!$E$3:$E$179)))+SIN(RADIANS(90-O64))*SIN(RADIANS(90-_xlfn.XLOOKUP(Q64,'MRT station dataset'!$C$3:$C$179,'MRT station dataset'!$E$3:$E$179)))*COS(RADIANS(P64-_xlfn.XLOOKUP('Resale flat dataset'!Q64,'MRT station dataset'!$C$3:$C$179,'MRT station dataset'!$F$3:$F$179))))*6371*1000</f>
        <v>661.07544287426072</v>
      </c>
      <c r="U64" s="39">
        <f>ACOS(COS(RADIANS(90-O64))*COS(RADIANS(90-_xlfn.XLOOKUP(R64,'Mall Dataset'!$B$3:$B$157,'Mall Dataset'!$E$3:$E$157,,0)))+SIN(RADIANS(90-O64))*SIN(RADIANS(90-_xlfn.XLOOKUP(R64,'Mall Dataset'!$B$3:$B$157,'Mall Dataset'!$E$3:$E$157,,0)))*COS(RADIANS(P64-_xlfn.XLOOKUP(R64,'Mall Dataset'!$B$3:$B$157,'Mall Dataset'!$F$3:$F$157,,0))))*6371*1000</f>
        <v>749.69745454286567</v>
      </c>
      <c r="V64" s="39">
        <f>ACOS(COS(RADIANS(90-O64))*COS(RADIANS(90-_xlfn.XLOOKUP(S64,'Schools dataset'!$B$3:$B$187,'Schools dataset'!$J$3:$J$187,,0)))+SIN(RADIANS(90-O64))*SIN(RADIANS(90-_xlfn.XLOOKUP(S64,'Schools dataset'!$B$3:$B$187,'Schools dataset'!$J$3:$J$187,,0)))*COS(RADIANS(P64-_xlfn.XLOOKUP(S64,'Schools dataset'!$B$3:$B$187,'Schools dataset'!$K$3:$K$187,,0))))*6371*1000</f>
        <v>553.03000490537841</v>
      </c>
      <c r="W64" s="20">
        <f>_xlfn.XLOOKUP(T64,'HDB Recommender'!$P$10:$P$39,'HDB Recommender'!$Q$10:$Q$39,"&gt;30mins",1)</f>
        <v>9</v>
      </c>
      <c r="X64" s="20">
        <f>_xlfn.XLOOKUP(U64,'HDB Recommender'!$P$10:$P$39,'HDB Recommender'!$Q$10:$Q$39,"&gt;30mins",1)</f>
        <v>10</v>
      </c>
      <c r="Y64" s="20">
        <f>_xlfn.XLOOKUP(V64,'HDB Recommender'!$P$10:$P$39,'HDB Recommender'!$Q$10:$Q$39,"&gt;30mins",1)</f>
        <v>8</v>
      </c>
      <c r="Z64" s="39">
        <f t="shared" si="0"/>
        <v>9</v>
      </c>
      <c r="AA64" s="20" t="str">
        <f t="shared" si="1"/>
        <v>Within 1km</v>
      </c>
    </row>
    <row r="65" spans="2:27" hidden="1">
      <c r="B65" s="35" t="s">
        <v>317</v>
      </c>
      <c r="C65" s="35" t="s">
        <v>394</v>
      </c>
      <c r="D65" s="35" t="s">
        <v>341</v>
      </c>
      <c r="E65" s="35"/>
      <c r="F65" s="35" t="s">
        <v>405</v>
      </c>
      <c r="G65" s="35" t="s">
        <v>184</v>
      </c>
      <c r="H65" s="35">
        <v>114</v>
      </c>
      <c r="I65" s="35" t="s">
        <v>326</v>
      </c>
      <c r="J65" s="36">
        <v>2019</v>
      </c>
      <c r="K65" s="39">
        <v>95</v>
      </c>
      <c r="L65" s="37">
        <v>775000</v>
      </c>
      <c r="M65" s="35" t="s">
        <v>428</v>
      </c>
      <c r="N65" s="27">
        <v>654461</v>
      </c>
      <c r="O65" s="38">
        <v>1.35445321126227</v>
      </c>
      <c r="P65" s="38">
        <v>103.740357147518</v>
      </c>
      <c r="Q65" s="38" t="str" cm="1">
        <f t="array" ref="Q65">INDEX('MRT station dataset'!$C$3:$C$179, MATCH(MIN(SQRT(('MRT station dataset'!$E$3:$E$179-'Resale flat dataset'!O65)^2+('MRT station dataset'!$F$3:$F$179-'Resale flat dataset'!P65)^2)), SQRT(('MRT station dataset'!$E$3:$E$179-'Resale flat dataset'!O65)^2+('MRT station dataset'!$F$3:$F$179-'Resale flat dataset'!P65)^2), 0))</f>
        <v>BUKIT BATOK MRT STATION</v>
      </c>
      <c r="R65" s="38" t="str" cm="1">
        <f t="array" ref="R65">INDEX('Mall Dataset'!$B$3:$B$157, MATCH(MIN(SQRT(('Mall Dataset'!$E$3:$E$157-'Resale flat dataset'!O65)^2+('Mall Dataset'!$F$3:$F$157-'Resale flat dataset'!P65)^2)), SQRT(('Mall Dataset'!$E$3:$E$157-'Resale flat dataset'!O65)^2+('Mall Dataset'!$F$3:$F$157-'Resale flat dataset'!P65)^2), 0))</f>
        <v>West Mall</v>
      </c>
      <c r="S65" s="38" t="str" cm="1">
        <f t="array" ref="S65">INDEX('Schools dataset'!$B$3:$B$187, MATCH(MIN(SQRT(('Schools dataset'!$J$3:$J$187-'Resale flat dataset'!O65)^2+('Schools dataset'!$K$3:$K$187-'Resale flat dataset'!P65)^2)), SQRT(('Schools dataset'!$J$3:$J$187-'Resale flat dataset'!O65)^2+('Schools dataset'!$K$3:$K$187-'Resale flat dataset'!P65)^2), 0))</f>
        <v>PRINCESS ELIZABETH PRIMARY SCHOOL</v>
      </c>
      <c r="T65" s="39">
        <f>ACOS(COS(RADIANS(90-O65))*COS(RADIANS(90-_xlfn.XLOOKUP(Q65,'MRT station dataset'!$C$3:$C$179,'MRT station dataset'!$E$3:$E$179)))+SIN(RADIANS(90-O65))*SIN(RADIANS(90-_xlfn.XLOOKUP(Q65,'MRT station dataset'!$C$3:$C$179,'MRT station dataset'!$E$3:$E$179)))*COS(RADIANS(P65-_xlfn.XLOOKUP('Resale flat dataset'!Q65,'MRT station dataset'!$C$3:$C$179,'MRT station dataset'!$F$3:$F$179))))*6371*1000</f>
        <v>1193.0562425691535</v>
      </c>
      <c r="U65" s="39">
        <f>ACOS(COS(RADIANS(90-O65))*COS(RADIANS(90-_xlfn.XLOOKUP(R65,'Mall Dataset'!$B$3:$B$157,'Mall Dataset'!$E$3:$E$157,,0)))+SIN(RADIANS(90-O65))*SIN(RADIANS(90-_xlfn.XLOOKUP(R65,'Mall Dataset'!$B$3:$B$157,'Mall Dataset'!$E$3:$E$157,,0)))*COS(RADIANS(P65-_xlfn.XLOOKUP(R65,'Mall Dataset'!$B$3:$B$157,'Mall Dataset'!$F$3:$F$157,,0))))*6371*1000</f>
        <v>1074.8669240785034</v>
      </c>
      <c r="V65" s="39">
        <f>ACOS(COS(RADIANS(90-O65))*COS(RADIANS(90-_xlfn.XLOOKUP(S65,'Schools dataset'!$B$3:$B$187,'Schools dataset'!$J$3:$J$187,,0)))+SIN(RADIANS(90-O65))*SIN(RADIANS(90-_xlfn.XLOOKUP(S65,'Schools dataset'!$B$3:$B$187,'Schools dataset'!$J$3:$J$187,,0)))*COS(RADIANS(P65-_xlfn.XLOOKUP(S65,'Schools dataset'!$B$3:$B$187,'Schools dataset'!$K$3:$K$187,,0))))*6371*1000</f>
        <v>588.36715987207322</v>
      </c>
      <c r="W65" s="20">
        <f>_xlfn.XLOOKUP(T65,'HDB Recommender'!$P$10:$P$39,'HDB Recommender'!$Q$10:$Q$39,"&gt;30mins",1)</f>
        <v>16</v>
      </c>
      <c r="X65" s="20">
        <f>_xlfn.XLOOKUP(U65,'HDB Recommender'!$P$10:$P$39,'HDB Recommender'!$Q$10:$Q$39,"&gt;30mins",1)</f>
        <v>15</v>
      </c>
      <c r="Y65" s="20">
        <f>_xlfn.XLOOKUP(V65,'HDB Recommender'!$P$10:$P$39,'HDB Recommender'!$Q$10:$Q$39,"&gt;30mins",1)</f>
        <v>8</v>
      </c>
      <c r="Z65" s="39">
        <f t="shared" si="0"/>
        <v>13</v>
      </c>
      <c r="AA65" s="20" t="str">
        <f t="shared" si="1"/>
        <v>Within 1km</v>
      </c>
    </row>
    <row r="66" spans="2:27" hidden="1">
      <c r="B66" s="35" t="s">
        <v>317</v>
      </c>
      <c r="C66" s="35" t="s">
        <v>394</v>
      </c>
      <c r="D66" s="35" t="s">
        <v>341</v>
      </c>
      <c r="E66" s="35"/>
      <c r="F66" s="35" t="s">
        <v>405</v>
      </c>
      <c r="G66" s="35" t="s">
        <v>323</v>
      </c>
      <c r="H66" s="35">
        <v>114</v>
      </c>
      <c r="I66" s="35" t="s">
        <v>326</v>
      </c>
      <c r="J66" s="36">
        <v>2019</v>
      </c>
      <c r="K66" s="39">
        <v>95</v>
      </c>
      <c r="L66" s="37">
        <v>720000</v>
      </c>
      <c r="M66" s="35" t="s">
        <v>428</v>
      </c>
      <c r="N66" s="27">
        <v>654461</v>
      </c>
      <c r="O66" s="38">
        <v>1.35445321126227</v>
      </c>
      <c r="P66" s="38">
        <v>103.740357147518</v>
      </c>
      <c r="Q66" s="38" t="str" cm="1">
        <f t="array" ref="Q66">INDEX('MRT station dataset'!$C$3:$C$179, MATCH(MIN(SQRT(('MRT station dataset'!$E$3:$E$179-'Resale flat dataset'!O66)^2+('MRT station dataset'!$F$3:$F$179-'Resale flat dataset'!P66)^2)), SQRT(('MRT station dataset'!$E$3:$E$179-'Resale flat dataset'!O66)^2+('MRT station dataset'!$F$3:$F$179-'Resale flat dataset'!P66)^2), 0))</f>
        <v>BUKIT BATOK MRT STATION</v>
      </c>
      <c r="R66" s="38" t="str" cm="1">
        <f t="array" ref="R66">INDEX('Mall Dataset'!$B$3:$B$157, MATCH(MIN(SQRT(('Mall Dataset'!$E$3:$E$157-'Resale flat dataset'!O66)^2+('Mall Dataset'!$F$3:$F$157-'Resale flat dataset'!P66)^2)), SQRT(('Mall Dataset'!$E$3:$E$157-'Resale flat dataset'!O66)^2+('Mall Dataset'!$F$3:$F$157-'Resale flat dataset'!P66)^2), 0))</f>
        <v>West Mall</v>
      </c>
      <c r="S66" s="38" t="str" cm="1">
        <f t="array" ref="S66">INDEX('Schools dataset'!$B$3:$B$187, MATCH(MIN(SQRT(('Schools dataset'!$J$3:$J$187-'Resale flat dataset'!O66)^2+('Schools dataset'!$K$3:$K$187-'Resale flat dataset'!P66)^2)), SQRT(('Schools dataset'!$J$3:$J$187-'Resale flat dataset'!O66)^2+('Schools dataset'!$K$3:$K$187-'Resale flat dataset'!P66)^2), 0))</f>
        <v>PRINCESS ELIZABETH PRIMARY SCHOOL</v>
      </c>
      <c r="T66" s="39">
        <f>ACOS(COS(RADIANS(90-O66))*COS(RADIANS(90-_xlfn.XLOOKUP(Q66,'MRT station dataset'!$C$3:$C$179,'MRT station dataset'!$E$3:$E$179)))+SIN(RADIANS(90-O66))*SIN(RADIANS(90-_xlfn.XLOOKUP(Q66,'MRT station dataset'!$C$3:$C$179,'MRT station dataset'!$E$3:$E$179)))*COS(RADIANS(P66-_xlfn.XLOOKUP('Resale flat dataset'!Q66,'MRT station dataset'!$C$3:$C$179,'MRT station dataset'!$F$3:$F$179))))*6371*1000</f>
        <v>1193.0562425691535</v>
      </c>
      <c r="U66" s="39">
        <f>ACOS(COS(RADIANS(90-O66))*COS(RADIANS(90-_xlfn.XLOOKUP(R66,'Mall Dataset'!$B$3:$B$157,'Mall Dataset'!$E$3:$E$157,,0)))+SIN(RADIANS(90-O66))*SIN(RADIANS(90-_xlfn.XLOOKUP(R66,'Mall Dataset'!$B$3:$B$157,'Mall Dataset'!$E$3:$E$157,,0)))*COS(RADIANS(P66-_xlfn.XLOOKUP(R66,'Mall Dataset'!$B$3:$B$157,'Mall Dataset'!$F$3:$F$157,,0))))*6371*1000</f>
        <v>1074.8669240785034</v>
      </c>
      <c r="V66" s="39">
        <f>ACOS(COS(RADIANS(90-O66))*COS(RADIANS(90-_xlfn.XLOOKUP(S66,'Schools dataset'!$B$3:$B$187,'Schools dataset'!$J$3:$J$187,,0)))+SIN(RADIANS(90-O66))*SIN(RADIANS(90-_xlfn.XLOOKUP(S66,'Schools dataset'!$B$3:$B$187,'Schools dataset'!$J$3:$J$187,,0)))*COS(RADIANS(P66-_xlfn.XLOOKUP(S66,'Schools dataset'!$B$3:$B$187,'Schools dataset'!$K$3:$K$187,,0))))*6371*1000</f>
        <v>588.36715987207322</v>
      </c>
      <c r="W66" s="20">
        <f>_xlfn.XLOOKUP(T66,'HDB Recommender'!$P$10:$P$39,'HDB Recommender'!$Q$10:$Q$39,"&gt;30mins",1)</f>
        <v>16</v>
      </c>
      <c r="X66" s="20">
        <f>_xlfn.XLOOKUP(U66,'HDB Recommender'!$P$10:$P$39,'HDB Recommender'!$Q$10:$Q$39,"&gt;30mins",1)</f>
        <v>15</v>
      </c>
      <c r="Y66" s="20">
        <f>_xlfn.XLOOKUP(V66,'HDB Recommender'!$P$10:$P$39,'HDB Recommender'!$Q$10:$Q$39,"&gt;30mins",1)</f>
        <v>8</v>
      </c>
      <c r="Z66" s="39">
        <f t="shared" si="0"/>
        <v>13</v>
      </c>
      <c r="AA66" s="20" t="str">
        <f t="shared" si="1"/>
        <v>Within 1km</v>
      </c>
    </row>
    <row r="67" spans="2:27" hidden="1">
      <c r="B67" s="35" t="s">
        <v>317</v>
      </c>
      <c r="C67" s="35" t="s">
        <v>394</v>
      </c>
      <c r="D67" s="35" t="s">
        <v>383</v>
      </c>
      <c r="E67" s="35"/>
      <c r="F67" s="35" t="s">
        <v>429</v>
      </c>
      <c r="G67" s="35" t="s">
        <v>191</v>
      </c>
      <c r="H67" s="35">
        <v>144</v>
      </c>
      <c r="I67" s="35" t="s">
        <v>384</v>
      </c>
      <c r="J67" s="36">
        <v>1998</v>
      </c>
      <c r="K67" s="39">
        <v>73.9166666666666</v>
      </c>
      <c r="L67" s="37">
        <v>888888</v>
      </c>
      <c r="M67" s="35" t="s">
        <v>430</v>
      </c>
      <c r="N67" s="27">
        <v>655288</v>
      </c>
      <c r="O67" s="38">
        <v>1.3452509299695901</v>
      </c>
      <c r="P67" s="38">
        <v>103.758361154197</v>
      </c>
      <c r="Q67" s="38" t="str" cm="1">
        <f t="array" ref="Q67">INDEX('MRT station dataset'!$C$3:$C$179, MATCH(MIN(SQRT(('MRT station dataset'!$E$3:$E$179-'Resale flat dataset'!O67)^2+('MRT station dataset'!$F$3:$F$179-'Resale flat dataset'!P67)^2)), SQRT(('MRT station dataset'!$E$3:$E$179-'Resale flat dataset'!O67)^2+('MRT station dataset'!$F$3:$F$179-'Resale flat dataset'!P67)^2), 0))</f>
        <v>BUKIT BATOK MRT STATION</v>
      </c>
      <c r="R67" s="38" t="str" cm="1">
        <f t="array" ref="R67">INDEX('Mall Dataset'!$B$3:$B$157, MATCH(MIN(SQRT(('Mall Dataset'!$E$3:$E$157-'Resale flat dataset'!O67)^2+('Mall Dataset'!$F$3:$F$157-'Resale flat dataset'!P67)^2)), SQRT(('Mall Dataset'!$E$3:$E$157-'Resale flat dataset'!O67)^2+('Mall Dataset'!$F$3:$F$157-'Resale flat dataset'!P67)^2), 0))</f>
        <v>West Mall</v>
      </c>
      <c r="S67" s="38" t="str" cm="1">
        <f t="array" ref="S67">INDEX('Schools dataset'!$B$3:$B$187, MATCH(MIN(SQRT(('Schools dataset'!$J$3:$J$187-'Resale flat dataset'!O67)^2+('Schools dataset'!$K$3:$K$187-'Resale flat dataset'!P67)^2)), SQRT(('Schools dataset'!$J$3:$J$187-'Resale flat dataset'!O67)^2+('Schools dataset'!$K$3:$K$187-'Resale flat dataset'!P67)^2), 0))</f>
        <v>KEMING PRIMARY SCHOOL</v>
      </c>
      <c r="T67" s="39">
        <f>ACOS(COS(RADIANS(90-O67))*COS(RADIANS(90-_xlfn.XLOOKUP(Q67,'MRT station dataset'!$C$3:$C$179,'MRT station dataset'!$E$3:$E$179)))+SIN(RADIANS(90-O67))*SIN(RADIANS(90-_xlfn.XLOOKUP(Q67,'MRT station dataset'!$C$3:$C$179,'MRT station dataset'!$E$3:$E$179)))*COS(RADIANS(P67-_xlfn.XLOOKUP('Resale flat dataset'!Q67,'MRT station dataset'!$C$3:$C$179,'MRT station dataset'!$F$3:$F$179))))*6371*1000</f>
        <v>1059.39605442277</v>
      </c>
      <c r="U67" s="39">
        <f>ACOS(COS(RADIANS(90-O67))*COS(RADIANS(90-_xlfn.XLOOKUP(R67,'Mall Dataset'!$B$3:$B$157,'Mall Dataset'!$E$3:$E$157,,0)))+SIN(RADIANS(90-O67))*SIN(RADIANS(90-_xlfn.XLOOKUP(R67,'Mall Dataset'!$B$3:$B$157,'Mall Dataset'!$E$3:$E$157,,0)))*COS(RADIANS(P67-_xlfn.XLOOKUP(R67,'Mall Dataset'!$B$3:$B$157,'Mall Dataset'!$F$3:$F$157,,0))))*6371*1000</f>
        <v>1174.3581908570525</v>
      </c>
      <c r="V67" s="39">
        <f>ACOS(COS(RADIANS(90-O67))*COS(RADIANS(90-_xlfn.XLOOKUP(S67,'Schools dataset'!$B$3:$B$187,'Schools dataset'!$J$3:$J$187,,0)))+SIN(RADIANS(90-O67))*SIN(RADIANS(90-_xlfn.XLOOKUP(S67,'Schools dataset'!$B$3:$B$187,'Schools dataset'!$J$3:$J$187,,0)))*COS(RADIANS(P67-_xlfn.XLOOKUP(S67,'Schools dataset'!$B$3:$B$187,'Schools dataset'!$K$3:$K$187,,0))))*6371*1000</f>
        <v>271.81053468149406</v>
      </c>
      <c r="W67" s="20">
        <f>_xlfn.XLOOKUP(T67,'HDB Recommender'!$P$10:$P$39,'HDB Recommender'!$Q$10:$Q$39,"&gt;30mins",1)</f>
        <v>15</v>
      </c>
      <c r="X67" s="20">
        <f>_xlfn.XLOOKUP(U67,'HDB Recommender'!$P$10:$P$39,'HDB Recommender'!$Q$10:$Q$39,"&gt;30mins",1)</f>
        <v>16</v>
      </c>
      <c r="Y67" s="20">
        <f>_xlfn.XLOOKUP(V67,'HDB Recommender'!$P$10:$P$39,'HDB Recommender'!$Q$10:$Q$39,"&gt;30mins",1)</f>
        <v>4</v>
      </c>
      <c r="Z67" s="39">
        <f t="shared" si="0"/>
        <v>11.666666666666666</v>
      </c>
      <c r="AA67" s="20" t="str">
        <f t="shared" ref="AA67:AA130" si="2">IF(V67&lt;1000, "Within 1km", IF(V67&lt;=2000, "between 1km and 2km", "more than 2km"))</f>
        <v>Within 1km</v>
      </c>
    </row>
    <row r="68" spans="2:27" hidden="1">
      <c r="B68" s="35" t="s">
        <v>317</v>
      </c>
      <c r="C68" s="35" t="s">
        <v>431</v>
      </c>
      <c r="D68" s="35" t="s">
        <v>318</v>
      </c>
      <c r="E68" s="35">
        <v>24</v>
      </c>
      <c r="F68" s="35" t="s">
        <v>432</v>
      </c>
      <c r="G68" s="35" t="s">
        <v>189</v>
      </c>
      <c r="H68" s="35">
        <v>59</v>
      </c>
      <c r="I68" s="35" t="s">
        <v>342</v>
      </c>
      <c r="J68" s="36">
        <v>1971</v>
      </c>
      <c r="K68" s="39">
        <v>46.8333333333333</v>
      </c>
      <c r="L68" s="37">
        <v>348000</v>
      </c>
      <c r="M68" s="35" t="s">
        <v>433</v>
      </c>
      <c r="N68" s="27">
        <v>160024</v>
      </c>
      <c r="O68" s="38">
        <v>1.2885253517116599</v>
      </c>
      <c r="P68" s="38">
        <v>103.828458597142</v>
      </c>
      <c r="Q68" s="38" t="str" cm="1">
        <f t="array" ref="Q68">INDEX('MRT station dataset'!$C$3:$C$179, MATCH(MIN(SQRT(('MRT station dataset'!$E$3:$E$179-'Resale flat dataset'!O68)^2+('MRT station dataset'!$F$3:$F$179-'Resale flat dataset'!P68)^2)), SQRT(('MRT station dataset'!$E$3:$E$179-'Resale flat dataset'!O68)^2+('MRT station dataset'!$F$3:$F$179-'Resale flat dataset'!P68)^2), 0))</f>
        <v>TIONG BAHRU MRT STATION</v>
      </c>
      <c r="R68" s="38" t="str" cm="1">
        <f t="array" ref="R68">INDEX('Mall Dataset'!$B$3:$B$157, MATCH(MIN(SQRT(('Mall Dataset'!$E$3:$E$157-'Resale flat dataset'!O68)^2+('Mall Dataset'!$F$3:$F$157-'Resale flat dataset'!P68)^2)), SQRT(('Mall Dataset'!$E$3:$E$157-'Resale flat dataset'!O68)^2+('Mall Dataset'!$F$3:$F$157-'Resale flat dataset'!P68)^2), 0))</f>
        <v>Tiong Bahru Plaza</v>
      </c>
      <c r="S68" s="38" t="str" cm="1">
        <f t="array" ref="S68">INDEX('Schools dataset'!$B$3:$B$187, MATCH(MIN(SQRT(('Schools dataset'!$J$3:$J$187-'Resale flat dataset'!O68)^2+('Schools dataset'!$K$3:$K$187-'Resale flat dataset'!P68)^2)), SQRT(('Schools dataset'!$J$3:$J$187-'Resale flat dataset'!O68)^2+('Schools dataset'!$K$3:$K$187-'Resale flat dataset'!P68)^2), 0))</f>
        <v>ALEXANDRA PRIMARY SCHOOL</v>
      </c>
      <c r="T68" s="39">
        <f>ACOS(COS(RADIANS(90-O68))*COS(RADIANS(90-_xlfn.XLOOKUP(Q68,'MRT station dataset'!$C$3:$C$179,'MRT station dataset'!$E$3:$E$179)))+SIN(RADIANS(90-O68))*SIN(RADIANS(90-_xlfn.XLOOKUP(Q68,'MRT station dataset'!$C$3:$C$179,'MRT station dataset'!$E$3:$E$179)))*COS(RADIANS(P68-_xlfn.XLOOKUP('Resale flat dataset'!Q68,'MRT station dataset'!$C$3:$C$179,'MRT station dataset'!$F$3:$F$179))))*6371*1000</f>
        <v>305.20308934287652</v>
      </c>
      <c r="U68" s="39">
        <f>ACOS(COS(RADIANS(90-O68))*COS(RADIANS(90-_xlfn.XLOOKUP(R68,'Mall Dataset'!$B$3:$B$157,'Mall Dataset'!$E$3:$E$157,,0)))+SIN(RADIANS(90-O68))*SIN(RADIANS(90-_xlfn.XLOOKUP(R68,'Mall Dataset'!$B$3:$B$157,'Mall Dataset'!$E$3:$E$157,,0)))*COS(RADIANS(P68-_xlfn.XLOOKUP(R68,'Mall Dataset'!$B$3:$B$157,'Mall Dataset'!$F$3:$F$157,,0))))*6371*1000</f>
        <v>280.25589777821392</v>
      </c>
      <c r="V68" s="39">
        <f>ACOS(COS(RADIANS(90-O68))*COS(RADIANS(90-_xlfn.XLOOKUP(S68,'Schools dataset'!$B$3:$B$187,'Schools dataset'!$J$3:$J$187,,0)))+SIN(RADIANS(90-O68))*SIN(RADIANS(90-_xlfn.XLOOKUP(S68,'Schools dataset'!$B$3:$B$187,'Schools dataset'!$J$3:$J$187,,0)))*COS(RADIANS(P68-_xlfn.XLOOKUP(S68,'Schools dataset'!$B$3:$B$187,'Schools dataset'!$K$3:$K$187,,0))))*6371*1000</f>
        <v>546.49724250337363</v>
      </c>
      <c r="W68" s="20">
        <f>_xlfn.XLOOKUP(T68,'HDB Recommender'!$P$10:$P$39,'HDB Recommender'!$Q$10:$Q$39,"&gt;30mins",1)</f>
        <v>5</v>
      </c>
      <c r="X68" s="20">
        <f>_xlfn.XLOOKUP(U68,'HDB Recommender'!$P$10:$P$39,'HDB Recommender'!$Q$10:$Q$39,"&gt;30mins",1)</f>
        <v>4</v>
      </c>
      <c r="Y68" s="20">
        <f>_xlfn.XLOOKUP(V68,'HDB Recommender'!$P$10:$P$39,'HDB Recommender'!$Q$10:$Q$39,"&gt;30mins",1)</f>
        <v>8</v>
      </c>
      <c r="Z68" s="39">
        <f t="shared" ref="Z68:Z131" si="3">AVERAGE(W68:Y68)</f>
        <v>5.666666666666667</v>
      </c>
      <c r="AA68" s="20" t="str">
        <f t="shared" si="2"/>
        <v>Within 1km</v>
      </c>
    </row>
    <row r="69" spans="2:27" hidden="1">
      <c r="B69" s="35" t="s">
        <v>317</v>
      </c>
      <c r="C69" s="35" t="s">
        <v>431</v>
      </c>
      <c r="D69" s="35" t="s">
        <v>318</v>
      </c>
      <c r="E69" s="35">
        <v>36</v>
      </c>
      <c r="F69" s="35" t="s">
        <v>432</v>
      </c>
      <c r="G69" s="35" t="s">
        <v>184</v>
      </c>
      <c r="H69" s="35">
        <v>59</v>
      </c>
      <c r="I69" s="35" t="s">
        <v>342</v>
      </c>
      <c r="J69" s="36">
        <v>1971</v>
      </c>
      <c r="K69" s="39">
        <v>46.8333333333333</v>
      </c>
      <c r="L69" s="37">
        <v>349888</v>
      </c>
      <c r="M69" s="35" t="s">
        <v>434</v>
      </c>
      <c r="N69" s="27">
        <v>160036</v>
      </c>
      <c r="O69" s="38">
        <v>1.28835977080873</v>
      </c>
      <c r="P69" s="38">
        <v>103.82705691109599</v>
      </c>
      <c r="Q69" s="38" t="str" cm="1">
        <f t="array" ref="Q69">INDEX('MRT station dataset'!$C$3:$C$179, MATCH(MIN(SQRT(('MRT station dataset'!$E$3:$E$179-'Resale flat dataset'!O69)^2+('MRT station dataset'!$F$3:$F$179-'Resale flat dataset'!P69)^2)), SQRT(('MRT station dataset'!$E$3:$E$179-'Resale flat dataset'!O69)^2+('MRT station dataset'!$F$3:$F$179-'Resale flat dataset'!P69)^2), 0))</f>
        <v>TIONG BAHRU MRT STATION</v>
      </c>
      <c r="R69" s="38" t="str" cm="1">
        <f t="array" ref="R69">INDEX('Mall Dataset'!$B$3:$B$157, MATCH(MIN(SQRT(('Mall Dataset'!$E$3:$E$157-'Resale flat dataset'!O69)^2+('Mall Dataset'!$F$3:$F$157-'Resale flat dataset'!P69)^2)), SQRT(('Mall Dataset'!$E$3:$E$157-'Resale flat dataset'!O69)^2+('Mall Dataset'!$F$3:$F$157-'Resale flat dataset'!P69)^2), 0))</f>
        <v>Tiong Bahru Plaza</v>
      </c>
      <c r="S69" s="38" t="str" cm="1">
        <f t="array" ref="S69">INDEX('Schools dataset'!$B$3:$B$187, MATCH(MIN(SQRT(('Schools dataset'!$J$3:$J$187-'Resale flat dataset'!O69)^2+('Schools dataset'!$K$3:$K$187-'Resale flat dataset'!P69)^2)), SQRT(('Schools dataset'!$J$3:$J$187-'Resale flat dataset'!O69)^2+('Schools dataset'!$K$3:$K$187-'Resale flat dataset'!P69)^2), 0))</f>
        <v>ALEXANDRA PRIMARY SCHOOL</v>
      </c>
      <c r="T69" s="39">
        <f>ACOS(COS(RADIANS(90-O69))*COS(RADIANS(90-_xlfn.XLOOKUP(Q69,'MRT station dataset'!$C$3:$C$179,'MRT station dataset'!$E$3:$E$179)))+SIN(RADIANS(90-O69))*SIN(RADIANS(90-_xlfn.XLOOKUP(Q69,'MRT station dataset'!$C$3:$C$179,'MRT station dataset'!$E$3:$E$179)))*COS(RADIANS(P69-_xlfn.XLOOKUP('Resale flat dataset'!Q69,'MRT station dataset'!$C$3:$C$179,'MRT station dataset'!$F$3:$F$179))))*6371*1000</f>
        <v>240.23888776326618</v>
      </c>
      <c r="U69" s="39">
        <f>ACOS(COS(RADIANS(90-O69))*COS(RADIANS(90-_xlfn.XLOOKUP(R69,'Mall Dataset'!$B$3:$B$157,'Mall Dataset'!$E$3:$E$157,,0)))+SIN(RADIANS(90-O69))*SIN(RADIANS(90-_xlfn.XLOOKUP(R69,'Mall Dataset'!$B$3:$B$157,'Mall Dataset'!$E$3:$E$157,,0)))*COS(RADIANS(P69-_xlfn.XLOOKUP(R69,'Mall Dataset'!$B$3:$B$157,'Mall Dataset'!$F$3:$F$157,,0))))*6371*1000</f>
        <v>211.41847869903808</v>
      </c>
      <c r="V69" s="39">
        <f>ACOS(COS(RADIANS(90-O69))*COS(RADIANS(90-_xlfn.XLOOKUP(S69,'Schools dataset'!$B$3:$B$187,'Schools dataset'!$J$3:$J$187,,0)))+SIN(RADIANS(90-O69))*SIN(RADIANS(90-_xlfn.XLOOKUP(S69,'Schools dataset'!$B$3:$B$187,'Schools dataset'!$J$3:$J$187,,0)))*COS(RADIANS(P69-_xlfn.XLOOKUP(S69,'Schools dataset'!$B$3:$B$187,'Schools dataset'!$K$3:$K$187,,0))))*6371*1000</f>
        <v>441.62023100470105</v>
      </c>
      <c r="W69" s="20">
        <f>_xlfn.XLOOKUP(T69,'HDB Recommender'!$P$10:$P$39,'HDB Recommender'!$Q$10:$Q$39,"&gt;30mins",1)</f>
        <v>4</v>
      </c>
      <c r="X69" s="20">
        <f>_xlfn.XLOOKUP(U69,'HDB Recommender'!$P$10:$P$39,'HDB Recommender'!$Q$10:$Q$39,"&gt;30mins",1)</f>
        <v>3</v>
      </c>
      <c r="Y69" s="20">
        <f>_xlfn.XLOOKUP(V69,'HDB Recommender'!$P$10:$P$39,'HDB Recommender'!$Q$10:$Q$39,"&gt;30mins",1)</f>
        <v>6</v>
      </c>
      <c r="Z69" s="39">
        <f t="shared" si="3"/>
        <v>4.333333333333333</v>
      </c>
      <c r="AA69" s="20" t="str">
        <f t="shared" si="2"/>
        <v>Within 1km</v>
      </c>
    </row>
    <row r="70" spans="2:27" hidden="1">
      <c r="B70" s="35" t="s">
        <v>317</v>
      </c>
      <c r="C70" s="35" t="s">
        <v>431</v>
      </c>
      <c r="D70" s="35" t="s">
        <v>318</v>
      </c>
      <c r="E70" s="35">
        <v>2</v>
      </c>
      <c r="F70" s="35" t="s">
        <v>435</v>
      </c>
      <c r="G70" s="35" t="s">
        <v>191</v>
      </c>
      <c r="H70" s="35">
        <v>72</v>
      </c>
      <c r="I70" s="35" t="s">
        <v>320</v>
      </c>
      <c r="J70" s="36">
        <v>1980</v>
      </c>
      <c r="K70" s="39">
        <v>56.1666666666666</v>
      </c>
      <c r="L70" s="37">
        <v>508000</v>
      </c>
      <c r="M70" s="35" t="s">
        <v>436</v>
      </c>
      <c r="N70" s="27" t="s">
        <v>437</v>
      </c>
      <c r="O70" s="38">
        <v>1.2774163033752199</v>
      </c>
      <c r="P70" s="38">
        <v>103.839330846341</v>
      </c>
      <c r="Q70" s="38" t="str" cm="1">
        <f t="array" ref="Q70">INDEX('MRT station dataset'!$C$3:$C$179, MATCH(MIN(SQRT(('MRT station dataset'!$E$3:$E$179-'Resale flat dataset'!O70)^2+('MRT station dataset'!$F$3:$F$179-'Resale flat dataset'!P70)^2)), SQRT(('MRT station dataset'!$E$3:$E$179-'Resale flat dataset'!O70)^2+('MRT station dataset'!$F$3:$F$179-'Resale flat dataset'!P70)^2), 0))</f>
        <v>OUTRAM PARK MRT STATION</v>
      </c>
      <c r="R70" s="38" t="str" cm="1">
        <f t="array" ref="R70">INDEX('Mall Dataset'!$B$3:$B$157, MATCH(MIN(SQRT(('Mall Dataset'!$E$3:$E$157-'Resale flat dataset'!O70)^2+('Mall Dataset'!$F$3:$F$157-'Resale flat dataset'!P70)^2)), SQRT(('Mall Dataset'!$E$3:$E$157-'Resale flat dataset'!O70)^2+('Mall Dataset'!$F$3:$F$157-'Resale flat dataset'!P70)^2), 0))</f>
        <v>100 AM</v>
      </c>
      <c r="S70" s="38" t="str" cm="1">
        <f t="array" ref="S70">INDEX('Schools dataset'!$B$3:$B$187, MATCH(MIN(SQRT(('Schools dataset'!$J$3:$J$187-'Resale flat dataset'!O70)^2+('Schools dataset'!$K$3:$K$187-'Resale flat dataset'!P70)^2)), SQRT(('Schools dataset'!$J$3:$J$187-'Resale flat dataset'!O70)^2+('Schools dataset'!$K$3:$K$187-'Resale flat dataset'!P70)^2), 0))</f>
        <v>ZHANGDE PRIMARY SCHOOL</v>
      </c>
      <c r="T70" s="39">
        <f>ACOS(COS(RADIANS(90-O70))*COS(RADIANS(90-_xlfn.XLOOKUP(Q70,'MRT station dataset'!$C$3:$C$179,'MRT station dataset'!$E$3:$E$179)))+SIN(RADIANS(90-O70))*SIN(RADIANS(90-_xlfn.XLOOKUP(Q70,'MRT station dataset'!$C$3:$C$179,'MRT station dataset'!$E$3:$E$179)))*COS(RADIANS(P70-_xlfn.XLOOKUP('Resale flat dataset'!Q70,'MRT station dataset'!$C$3:$C$179,'MRT station dataset'!$F$3:$F$179))))*6371*1000</f>
        <v>443.70958655184677</v>
      </c>
      <c r="U70" s="39">
        <f>ACOS(COS(RADIANS(90-O70))*COS(RADIANS(90-_xlfn.XLOOKUP(R70,'Mall Dataset'!$B$3:$B$157,'Mall Dataset'!$E$3:$E$157,,0)))+SIN(RADIANS(90-O70))*SIN(RADIANS(90-_xlfn.XLOOKUP(R70,'Mall Dataset'!$B$3:$B$157,'Mall Dataset'!$E$3:$E$157,,0)))*COS(RADIANS(P70-_xlfn.XLOOKUP(R70,'Mall Dataset'!$B$3:$B$157,'Mall Dataset'!$F$3:$F$157,,0))))*6371*1000</f>
        <v>325.36370971473326</v>
      </c>
      <c r="V70" s="39">
        <f>ACOS(COS(RADIANS(90-O70))*COS(RADIANS(90-_xlfn.XLOOKUP(S70,'Schools dataset'!$B$3:$B$187,'Schools dataset'!$J$3:$J$187,,0)))+SIN(RADIANS(90-O70))*SIN(RADIANS(90-_xlfn.XLOOKUP(S70,'Schools dataset'!$B$3:$B$187,'Schools dataset'!$J$3:$J$187,,0)))*COS(RADIANS(P70-_xlfn.XLOOKUP(S70,'Schools dataset'!$B$3:$B$187,'Schools dataset'!$K$3:$K$187,,0))))*6371*1000</f>
        <v>1668.2293010705118</v>
      </c>
      <c r="W70" s="20">
        <f>_xlfn.XLOOKUP(T70,'HDB Recommender'!$P$10:$P$39,'HDB Recommender'!$Q$10:$Q$39,"&gt;30mins",1)</f>
        <v>6</v>
      </c>
      <c r="X70" s="20">
        <f>_xlfn.XLOOKUP(U70,'HDB Recommender'!$P$10:$P$39,'HDB Recommender'!$Q$10:$Q$39,"&gt;30mins",1)</f>
        <v>5</v>
      </c>
      <c r="Y70" s="20">
        <f>_xlfn.XLOOKUP(V70,'HDB Recommender'!$P$10:$P$39,'HDB Recommender'!$Q$10:$Q$39,"&gt;30mins",1)</f>
        <v>23</v>
      </c>
      <c r="Z70" s="39">
        <f t="shared" si="3"/>
        <v>11.333333333333334</v>
      </c>
      <c r="AA70" s="20" t="str">
        <f t="shared" si="2"/>
        <v>between 1km and 2km</v>
      </c>
    </row>
    <row r="71" spans="2:27" hidden="1">
      <c r="B71" s="35" t="s">
        <v>317</v>
      </c>
      <c r="C71" s="35" t="s">
        <v>431</v>
      </c>
      <c r="D71" s="35" t="s">
        <v>318</v>
      </c>
      <c r="E71" s="35">
        <v>49</v>
      </c>
      <c r="F71" s="35" t="s">
        <v>438</v>
      </c>
      <c r="G71" s="35" t="s">
        <v>349</v>
      </c>
      <c r="H71" s="35">
        <v>88</v>
      </c>
      <c r="I71" s="35" t="s">
        <v>342</v>
      </c>
      <c r="J71" s="36">
        <v>1973</v>
      </c>
      <c r="K71" s="39">
        <v>48.4166666666666</v>
      </c>
      <c r="L71" s="37">
        <v>720000</v>
      </c>
      <c r="M71" s="35" t="s">
        <v>439</v>
      </c>
      <c r="N71" s="27">
        <v>160049</v>
      </c>
      <c r="O71" s="38">
        <v>1.28429935662089</v>
      </c>
      <c r="P71" s="38">
        <v>103.830518003368</v>
      </c>
      <c r="Q71" s="38" t="str" cm="1">
        <f t="array" ref="Q71">INDEX('MRT station dataset'!$C$3:$C$179, MATCH(MIN(SQRT(('MRT station dataset'!$E$3:$E$179-'Resale flat dataset'!O71)^2+('MRT station dataset'!$F$3:$F$179-'Resale flat dataset'!P71)^2)), SQRT(('MRT station dataset'!$E$3:$E$179-'Resale flat dataset'!O71)^2+('MRT station dataset'!$F$3:$F$179-'Resale flat dataset'!P71)^2), 0))</f>
        <v>TIONG BAHRU MRT STATION</v>
      </c>
      <c r="R71" s="38" t="str" cm="1">
        <f t="array" ref="R71">INDEX('Mall Dataset'!$B$3:$B$157, MATCH(MIN(SQRT(('Mall Dataset'!$E$3:$E$157-'Resale flat dataset'!O71)^2+('Mall Dataset'!$F$3:$F$157-'Resale flat dataset'!P71)^2)), SQRT(('Mall Dataset'!$E$3:$E$157-'Resale flat dataset'!O71)^2+('Mall Dataset'!$F$3:$F$157-'Resale flat dataset'!P71)^2), 0))</f>
        <v>Tiong Bahru Plaza</v>
      </c>
      <c r="S71" s="38" t="str" cm="1">
        <f t="array" ref="S71">INDEX('Schools dataset'!$B$3:$B$187, MATCH(MIN(SQRT(('Schools dataset'!$J$3:$J$187-'Resale flat dataset'!O71)^2+('Schools dataset'!$K$3:$K$187-'Resale flat dataset'!P71)^2)), SQRT(('Schools dataset'!$J$3:$J$187-'Resale flat dataset'!O71)^2+('Schools dataset'!$K$3:$K$187-'Resale flat dataset'!P71)^2), 0))</f>
        <v>ZHANGDE PRIMARY SCHOOL</v>
      </c>
      <c r="T71" s="39">
        <f>ACOS(COS(RADIANS(90-O71))*COS(RADIANS(90-_xlfn.XLOOKUP(Q71,'MRT station dataset'!$C$3:$C$179,'MRT station dataset'!$E$3:$E$179)))+SIN(RADIANS(90-O71))*SIN(RADIANS(90-_xlfn.XLOOKUP(Q71,'MRT station dataset'!$C$3:$C$179,'MRT station dataset'!$E$3:$E$179)))*COS(RADIANS(P71-_xlfn.XLOOKUP('Resale flat dataset'!Q71,'MRT station dataset'!$C$3:$C$179,'MRT station dataset'!$F$3:$F$179))))*6371*1000</f>
        <v>444.53733828889199</v>
      </c>
      <c r="U71" s="39">
        <f>ACOS(COS(RADIANS(90-O71))*COS(RADIANS(90-_xlfn.XLOOKUP(R71,'Mall Dataset'!$B$3:$B$157,'Mall Dataset'!$E$3:$E$157,,0)))+SIN(RADIANS(90-O71))*SIN(RADIANS(90-_xlfn.XLOOKUP(R71,'Mall Dataset'!$B$3:$B$157,'Mall Dataset'!$E$3:$E$157,,0)))*COS(RADIANS(P71-_xlfn.XLOOKUP(R71,'Mall Dataset'!$B$3:$B$157,'Mall Dataset'!$F$3:$F$157,,0))))*6371*1000</f>
        <v>457.4785339569396</v>
      </c>
      <c r="V71" s="39">
        <f>ACOS(COS(RADIANS(90-O71))*COS(RADIANS(90-_xlfn.XLOOKUP(S71,'Schools dataset'!$B$3:$B$187,'Schools dataset'!$J$3:$J$187,,0)))+SIN(RADIANS(90-O71))*SIN(RADIANS(90-_xlfn.XLOOKUP(S71,'Schools dataset'!$B$3:$B$187,'Schools dataset'!$J$3:$J$187,,0)))*COS(RADIANS(P71-_xlfn.XLOOKUP(S71,'Schools dataset'!$B$3:$B$187,'Schools dataset'!$K$3:$K$187,,0))))*6371*1000</f>
        <v>507.69560934375414</v>
      </c>
      <c r="W71" s="20">
        <f>_xlfn.XLOOKUP(T71,'HDB Recommender'!$P$10:$P$39,'HDB Recommender'!$Q$10:$Q$39,"&gt;30mins",1)</f>
        <v>6</v>
      </c>
      <c r="X71" s="20">
        <f>_xlfn.XLOOKUP(U71,'HDB Recommender'!$P$10:$P$39,'HDB Recommender'!$Q$10:$Q$39,"&gt;30mins",1)</f>
        <v>7</v>
      </c>
      <c r="Y71" s="20">
        <f>_xlfn.XLOOKUP(V71,'HDB Recommender'!$P$10:$P$39,'HDB Recommender'!$Q$10:$Q$39,"&gt;30mins",1)</f>
        <v>7</v>
      </c>
      <c r="Z71" s="39">
        <f t="shared" si="3"/>
        <v>6.666666666666667</v>
      </c>
      <c r="AA71" s="20" t="str">
        <f t="shared" si="2"/>
        <v>Within 1km</v>
      </c>
    </row>
    <row r="72" spans="2:27" hidden="1">
      <c r="B72" s="35" t="s">
        <v>317</v>
      </c>
      <c r="C72" s="35" t="s">
        <v>431</v>
      </c>
      <c r="D72" s="35" t="s">
        <v>318</v>
      </c>
      <c r="E72" s="35">
        <v>1</v>
      </c>
      <c r="F72" s="35" t="s">
        <v>440</v>
      </c>
      <c r="G72" s="35" t="s">
        <v>323</v>
      </c>
      <c r="H72" s="35">
        <v>74</v>
      </c>
      <c r="I72" s="35" t="s">
        <v>326</v>
      </c>
      <c r="J72" s="36">
        <v>1983</v>
      </c>
      <c r="K72" s="39">
        <v>58.5833333333333</v>
      </c>
      <c r="L72" s="37">
        <v>418888</v>
      </c>
      <c r="M72" s="35" t="s">
        <v>441</v>
      </c>
      <c r="N72" s="27" t="s">
        <v>442</v>
      </c>
      <c r="O72" s="38">
        <v>1.2794566007732899</v>
      </c>
      <c r="P72" s="38">
        <v>103.817897561986</v>
      </c>
      <c r="Q72" s="38" t="str" cm="1">
        <f t="array" ref="Q72">INDEX('MRT station dataset'!$C$3:$C$179, MATCH(MIN(SQRT(('MRT station dataset'!$E$3:$E$179-'Resale flat dataset'!O72)^2+('MRT station dataset'!$F$3:$F$179-'Resale flat dataset'!P72)^2)), SQRT(('MRT station dataset'!$E$3:$E$179-'Resale flat dataset'!O72)^2+('MRT station dataset'!$F$3:$F$179-'Resale flat dataset'!P72)^2), 0))</f>
        <v>REDHILL MRT STATION</v>
      </c>
      <c r="R72" s="38" t="str" cm="1">
        <f t="array" ref="R72">INDEX('Mall Dataset'!$B$3:$B$157, MATCH(MIN(SQRT(('Mall Dataset'!$E$3:$E$157-'Resale flat dataset'!O72)^2+('Mall Dataset'!$F$3:$F$157-'Resale flat dataset'!P72)^2)), SQRT(('Mall Dataset'!$E$3:$E$157-'Resale flat dataset'!O72)^2+('Mall Dataset'!$F$3:$F$157-'Resale flat dataset'!P72)^2), 0))</f>
        <v>Tiong Bahru Plaza</v>
      </c>
      <c r="S72" s="38" t="str" cm="1">
        <f t="array" ref="S72">INDEX('Schools dataset'!$B$3:$B$187, MATCH(MIN(SQRT(('Schools dataset'!$J$3:$J$187-'Resale flat dataset'!O72)^2+('Schools dataset'!$K$3:$K$187-'Resale flat dataset'!P72)^2)), SQRT(('Schools dataset'!$J$3:$J$187-'Resale flat dataset'!O72)^2+('Schools dataset'!$K$3:$K$187-'Resale flat dataset'!P72)^2), 0))</f>
        <v>GAN ENG SENG PRIMARY SCHOOL</v>
      </c>
      <c r="T72" s="39">
        <f>ACOS(COS(RADIANS(90-O72))*COS(RADIANS(90-_xlfn.XLOOKUP(Q72,'MRT station dataset'!$C$3:$C$179,'MRT station dataset'!$E$3:$E$179)))+SIN(RADIANS(90-O72))*SIN(RADIANS(90-_xlfn.XLOOKUP(Q72,'MRT station dataset'!$C$3:$C$179,'MRT station dataset'!$E$3:$E$179)))*COS(RADIANS(P72-_xlfn.XLOOKUP('Resale flat dataset'!Q72,'MRT station dataset'!$C$3:$C$179,'MRT station dataset'!$F$3:$F$179))))*6371*1000</f>
        <v>1134.4748419858261</v>
      </c>
      <c r="U72" s="39">
        <f>ACOS(COS(RADIANS(90-O72))*COS(RADIANS(90-_xlfn.XLOOKUP(R72,'Mall Dataset'!$B$3:$B$157,'Mall Dataset'!$E$3:$E$157,,0)))+SIN(RADIANS(90-O72))*SIN(RADIANS(90-_xlfn.XLOOKUP(R72,'Mall Dataset'!$B$3:$B$157,'Mall Dataset'!$E$3:$E$157,,0)))*COS(RADIANS(P72-_xlfn.XLOOKUP(R72,'Mall Dataset'!$B$3:$B$157,'Mall Dataset'!$F$3:$F$157,,0))))*6371*1000</f>
        <v>1278.1265197547148</v>
      </c>
      <c r="V72" s="39">
        <f>ACOS(COS(RADIANS(90-O72))*COS(RADIANS(90-_xlfn.XLOOKUP(S72,'Schools dataset'!$B$3:$B$187,'Schools dataset'!$J$3:$J$187,,0)))+SIN(RADIANS(90-O72))*SIN(RADIANS(90-_xlfn.XLOOKUP(S72,'Schools dataset'!$B$3:$B$187,'Schools dataset'!$J$3:$J$187,,0)))*COS(RADIANS(P72-_xlfn.XLOOKUP(S72,'Schools dataset'!$B$3:$B$187,'Schools dataset'!$K$3:$K$187,,0))))*6371*1000</f>
        <v>781.18928920326186</v>
      </c>
      <c r="W72" s="20">
        <f>_xlfn.XLOOKUP(T72,'HDB Recommender'!$P$10:$P$39,'HDB Recommender'!$Q$10:$Q$39,"&gt;30mins",1)</f>
        <v>16</v>
      </c>
      <c r="X72" s="20">
        <f>_xlfn.XLOOKUP(U72,'HDB Recommender'!$P$10:$P$39,'HDB Recommender'!$Q$10:$Q$39,"&gt;30mins",1)</f>
        <v>18</v>
      </c>
      <c r="Y72" s="20">
        <f>_xlfn.XLOOKUP(V72,'HDB Recommender'!$P$10:$P$39,'HDB Recommender'!$Q$10:$Q$39,"&gt;30mins",1)</f>
        <v>11</v>
      </c>
      <c r="Z72" s="39">
        <f t="shared" si="3"/>
        <v>15</v>
      </c>
      <c r="AA72" s="20" t="str">
        <f t="shared" si="2"/>
        <v>Within 1km</v>
      </c>
    </row>
    <row r="73" spans="2:27" hidden="1">
      <c r="B73" s="35" t="s">
        <v>317</v>
      </c>
      <c r="C73" s="35" t="s">
        <v>431</v>
      </c>
      <c r="D73" s="35" t="s">
        <v>318</v>
      </c>
      <c r="E73" s="35">
        <v>16</v>
      </c>
      <c r="F73" s="35" t="s">
        <v>440</v>
      </c>
      <c r="G73" s="35" t="s">
        <v>189</v>
      </c>
      <c r="H73" s="35">
        <v>65</v>
      </c>
      <c r="I73" s="35" t="s">
        <v>326</v>
      </c>
      <c r="J73" s="36">
        <v>1975</v>
      </c>
      <c r="K73" s="39">
        <v>50.5833333333333</v>
      </c>
      <c r="L73" s="37">
        <v>320000</v>
      </c>
      <c r="M73" s="35" t="s">
        <v>443</v>
      </c>
      <c r="N73" s="27" t="s">
        <v>444</v>
      </c>
      <c r="O73" s="38">
        <v>1.2780536523233299</v>
      </c>
      <c r="P73" s="38">
        <v>103.821504615515</v>
      </c>
      <c r="Q73" s="38" t="str" cm="1">
        <f t="array" ref="Q73">INDEX('MRT station dataset'!$C$3:$C$179, MATCH(MIN(SQRT(('MRT station dataset'!$E$3:$E$179-'Resale flat dataset'!O73)^2+('MRT station dataset'!$F$3:$F$179-'Resale flat dataset'!P73)^2)), SQRT(('MRT station dataset'!$E$3:$E$179-'Resale flat dataset'!O73)^2+('MRT station dataset'!$F$3:$F$179-'Resale flat dataset'!P73)^2), 0))</f>
        <v>TIONG BAHRU MRT STATION</v>
      </c>
      <c r="R73" s="38" t="str" cm="1">
        <f t="array" ref="R73">INDEX('Mall Dataset'!$B$3:$B$157, MATCH(MIN(SQRT(('Mall Dataset'!$E$3:$E$157-'Resale flat dataset'!O73)^2+('Mall Dataset'!$F$3:$F$157-'Resale flat dataset'!P73)^2)), SQRT(('Mall Dataset'!$E$3:$E$157-'Resale flat dataset'!O73)^2+('Mall Dataset'!$F$3:$F$157-'Resale flat dataset'!P73)^2), 0))</f>
        <v>Tiong Bahru Plaza</v>
      </c>
      <c r="S73" s="38" t="str" cm="1">
        <f t="array" ref="S73">INDEX('Schools dataset'!$B$3:$B$187, MATCH(MIN(SQRT(('Schools dataset'!$J$3:$J$187-'Resale flat dataset'!O73)^2+('Schools dataset'!$K$3:$K$187-'Resale flat dataset'!P73)^2)), SQRT(('Schools dataset'!$J$3:$J$187-'Resale flat dataset'!O73)^2+('Schools dataset'!$K$3:$K$187-'Resale flat dataset'!P73)^2), 0))</f>
        <v>ZHANGDE PRIMARY SCHOOL</v>
      </c>
      <c r="T73" s="39">
        <f>ACOS(COS(RADIANS(90-O73))*COS(RADIANS(90-_xlfn.XLOOKUP(Q73,'MRT station dataset'!$C$3:$C$179,'MRT station dataset'!$E$3:$E$179)))+SIN(RADIANS(90-O73))*SIN(RADIANS(90-_xlfn.XLOOKUP(Q73,'MRT station dataset'!$C$3:$C$179,'MRT station dataset'!$E$3:$E$179)))*COS(RADIANS(P73-_xlfn.XLOOKUP('Resale flat dataset'!Q73,'MRT station dataset'!$C$3:$C$179,'MRT station dataset'!$F$3:$F$179))))*6371*1000</f>
        <v>1092.583446001767</v>
      </c>
      <c r="U73" s="39">
        <f>ACOS(COS(RADIANS(90-O73))*COS(RADIANS(90-_xlfn.XLOOKUP(R73,'Mall Dataset'!$B$3:$B$157,'Mall Dataset'!$E$3:$E$157,,0)))+SIN(RADIANS(90-O73))*SIN(RADIANS(90-_xlfn.XLOOKUP(R73,'Mall Dataset'!$B$3:$B$157,'Mall Dataset'!$E$3:$E$157,,0)))*COS(RADIANS(P73-_xlfn.XLOOKUP(R73,'Mall Dataset'!$B$3:$B$157,'Mall Dataset'!$F$3:$F$157,,0))))*6371*1000</f>
        <v>1117.4954753728368</v>
      </c>
      <c r="V73" s="39">
        <f>ACOS(COS(RADIANS(90-O73))*COS(RADIANS(90-_xlfn.XLOOKUP(S73,'Schools dataset'!$B$3:$B$187,'Schools dataset'!$J$3:$J$187,,0)))+SIN(RADIANS(90-O73))*SIN(RADIANS(90-_xlfn.XLOOKUP(S73,'Schools dataset'!$B$3:$B$187,'Schools dataset'!$J$3:$J$187,,0)))*COS(RADIANS(P73-_xlfn.XLOOKUP(S73,'Schools dataset'!$B$3:$B$187,'Schools dataset'!$K$3:$K$187,,0))))*6371*1000</f>
        <v>844.55366895791803</v>
      </c>
      <c r="W73" s="20">
        <f>_xlfn.XLOOKUP(T73,'HDB Recommender'!$P$10:$P$39,'HDB Recommender'!$Q$10:$Q$39,"&gt;30mins",1)</f>
        <v>15</v>
      </c>
      <c r="X73" s="20">
        <f>_xlfn.XLOOKUP(U73,'HDB Recommender'!$P$10:$P$39,'HDB Recommender'!$Q$10:$Q$39,"&gt;30mins",1)</f>
        <v>15</v>
      </c>
      <c r="Y73" s="20">
        <f>_xlfn.XLOOKUP(V73,'HDB Recommender'!$P$10:$P$39,'HDB Recommender'!$Q$10:$Q$39,"&gt;30mins",1)</f>
        <v>12</v>
      </c>
      <c r="Z73" s="39">
        <f t="shared" si="3"/>
        <v>14</v>
      </c>
      <c r="AA73" s="20" t="str">
        <f t="shared" si="2"/>
        <v>Within 1km</v>
      </c>
    </row>
    <row r="74" spans="2:27" hidden="1">
      <c r="B74" s="35" t="s">
        <v>317</v>
      </c>
      <c r="C74" s="35" t="s">
        <v>431</v>
      </c>
      <c r="D74" s="35" t="s">
        <v>20</v>
      </c>
      <c r="E74" s="35">
        <v>19</v>
      </c>
      <c r="F74" s="35" t="s">
        <v>445</v>
      </c>
      <c r="G74" s="35" t="s">
        <v>189</v>
      </c>
      <c r="H74" s="35">
        <v>90</v>
      </c>
      <c r="I74" s="35" t="s">
        <v>335</v>
      </c>
      <c r="J74" s="36">
        <v>2002</v>
      </c>
      <c r="K74" s="39">
        <v>78.25</v>
      </c>
      <c r="L74" s="37">
        <v>878000</v>
      </c>
      <c r="M74" s="35" t="s">
        <v>446</v>
      </c>
      <c r="N74" s="27" t="s">
        <v>447</v>
      </c>
      <c r="O74" s="38">
        <v>1.2738835418848</v>
      </c>
      <c r="P74" s="38">
        <v>103.83900332856901</v>
      </c>
      <c r="Q74" s="38" t="str" cm="1">
        <f t="array" ref="Q74">INDEX('MRT station dataset'!$C$3:$C$179, MATCH(MIN(SQRT(('MRT station dataset'!$E$3:$E$179-'Resale flat dataset'!O74)^2+('MRT station dataset'!$F$3:$F$179-'Resale flat dataset'!P74)^2)), SQRT(('MRT station dataset'!$E$3:$E$179-'Resale flat dataset'!O74)^2+('MRT station dataset'!$F$3:$F$179-'Resale flat dataset'!P74)^2), 0))</f>
        <v>TANJONG PAGAR MRT STATION</v>
      </c>
      <c r="R74" s="38" t="str" cm="1">
        <f t="array" ref="R74">INDEX('Mall Dataset'!$B$3:$B$157, MATCH(MIN(SQRT(('Mall Dataset'!$E$3:$E$157-'Resale flat dataset'!O74)^2+('Mall Dataset'!$F$3:$F$157-'Resale flat dataset'!P74)^2)), SQRT(('Mall Dataset'!$E$3:$E$157-'Resale flat dataset'!O74)^2+('Mall Dataset'!$F$3:$F$157-'Resale flat dataset'!P74)^2), 0))</f>
        <v>100 AM</v>
      </c>
      <c r="S74" s="38" t="str" cm="1">
        <f t="array" ref="S74">INDEX('Schools dataset'!$B$3:$B$187, MATCH(MIN(SQRT(('Schools dataset'!$J$3:$J$187-'Resale flat dataset'!O74)^2+('Schools dataset'!$K$3:$K$187-'Resale flat dataset'!P74)^2)), SQRT(('Schools dataset'!$J$3:$J$187-'Resale flat dataset'!O74)^2+('Schools dataset'!$K$3:$K$187-'Resale flat dataset'!P74)^2), 0))</f>
        <v>ZHANGDE PRIMARY SCHOOL</v>
      </c>
      <c r="T74" s="39">
        <f>ACOS(COS(RADIANS(90-O74))*COS(RADIANS(90-_xlfn.XLOOKUP(Q74,'MRT station dataset'!$C$3:$C$179,'MRT station dataset'!$E$3:$E$179)))+SIN(RADIANS(90-O74))*SIN(RADIANS(90-_xlfn.XLOOKUP(Q74,'MRT station dataset'!$C$3:$C$179,'MRT station dataset'!$E$3:$E$179)))*COS(RADIANS(P74-_xlfn.XLOOKUP('Resale flat dataset'!Q74,'MRT station dataset'!$C$3:$C$179,'MRT station dataset'!$F$3:$F$179))))*6371*1000</f>
        <v>820.03052456496835</v>
      </c>
      <c r="U74" s="39">
        <f>ACOS(COS(RADIANS(90-O74))*COS(RADIANS(90-_xlfn.XLOOKUP(R74,'Mall Dataset'!$B$3:$B$157,'Mall Dataset'!$E$3:$E$157,,0)))+SIN(RADIANS(90-O74))*SIN(RADIANS(90-_xlfn.XLOOKUP(R74,'Mall Dataset'!$B$3:$B$157,'Mall Dataset'!$E$3:$E$157,,0)))*COS(RADIANS(P74-_xlfn.XLOOKUP(R74,'Mall Dataset'!$B$3:$B$157,'Mall Dataset'!$F$3:$F$157,,0))))*6371*1000</f>
        <v>253.76515914370447</v>
      </c>
      <c r="V74" s="39">
        <f>ACOS(COS(RADIANS(90-O74))*COS(RADIANS(90-_xlfn.XLOOKUP(S74,'Schools dataset'!$B$3:$B$187,'Schools dataset'!$J$3:$J$187,,0)))+SIN(RADIANS(90-O74))*SIN(RADIANS(90-_xlfn.XLOOKUP(S74,'Schools dataset'!$B$3:$B$187,'Schools dataset'!$J$3:$J$187,,0)))*COS(RADIANS(P74-_xlfn.XLOOKUP(S74,'Schools dataset'!$B$3:$B$187,'Schools dataset'!$K$3:$K$187,,0))))*6371*1000</f>
        <v>1850.3946001108791</v>
      </c>
      <c r="W74" s="20">
        <f>_xlfn.XLOOKUP(T74,'HDB Recommender'!$P$10:$P$39,'HDB Recommender'!$Q$10:$Q$39,"&gt;30mins",1)</f>
        <v>11</v>
      </c>
      <c r="X74" s="20">
        <f>_xlfn.XLOOKUP(U74,'HDB Recommender'!$P$10:$P$39,'HDB Recommender'!$Q$10:$Q$39,"&gt;30mins",1)</f>
        <v>4</v>
      </c>
      <c r="Y74" s="20">
        <f>_xlfn.XLOOKUP(V74,'HDB Recommender'!$P$10:$P$39,'HDB Recommender'!$Q$10:$Q$39,"&gt;30mins",1)</f>
        <v>25</v>
      </c>
      <c r="Z74" s="39">
        <f t="shared" si="3"/>
        <v>13.333333333333334</v>
      </c>
      <c r="AA74" s="20" t="str">
        <f t="shared" si="2"/>
        <v>between 1km and 2km</v>
      </c>
    </row>
    <row r="75" spans="2:27" hidden="1">
      <c r="B75" s="35" t="s">
        <v>317</v>
      </c>
      <c r="C75" s="35" t="s">
        <v>431</v>
      </c>
      <c r="D75" s="35" t="s">
        <v>20</v>
      </c>
      <c r="E75" s="35"/>
      <c r="F75" s="35" t="s">
        <v>448</v>
      </c>
      <c r="G75" s="35" t="s">
        <v>189</v>
      </c>
      <c r="H75" s="35">
        <v>92</v>
      </c>
      <c r="I75" s="35" t="s">
        <v>335</v>
      </c>
      <c r="J75" s="36">
        <v>2002</v>
      </c>
      <c r="K75" s="39">
        <v>78.3333333333333</v>
      </c>
      <c r="L75" s="37">
        <v>756000</v>
      </c>
      <c r="M75" s="35" t="s">
        <v>449</v>
      </c>
      <c r="N75" s="27">
        <v>162119</v>
      </c>
      <c r="O75" s="38">
        <v>1.2811555848776299</v>
      </c>
      <c r="P75" s="38">
        <v>103.82726655974101</v>
      </c>
      <c r="Q75" s="38" t="str" cm="1">
        <f t="array" ref="Q75">INDEX('MRT station dataset'!$C$3:$C$179, MATCH(MIN(SQRT(('MRT station dataset'!$E$3:$E$179-'Resale flat dataset'!O75)^2+('MRT station dataset'!$F$3:$F$179-'Resale flat dataset'!P75)^2)), SQRT(('MRT station dataset'!$E$3:$E$179-'Resale flat dataset'!O75)^2+('MRT station dataset'!$F$3:$F$179-'Resale flat dataset'!P75)^2), 0))</f>
        <v>TIONG BAHRU MRT STATION</v>
      </c>
      <c r="R75" s="38" t="str" cm="1">
        <f t="array" ref="R75">INDEX('Mall Dataset'!$B$3:$B$157, MATCH(MIN(SQRT(('Mall Dataset'!$E$3:$E$157-'Resale flat dataset'!O75)^2+('Mall Dataset'!$F$3:$F$157-'Resale flat dataset'!P75)^2)), SQRT(('Mall Dataset'!$E$3:$E$157-'Resale flat dataset'!O75)^2+('Mall Dataset'!$F$3:$F$157-'Resale flat dataset'!P75)^2), 0))</f>
        <v>Tiong Bahru Plaza</v>
      </c>
      <c r="S75" s="38" t="str" cm="1">
        <f t="array" ref="S75">INDEX('Schools dataset'!$B$3:$B$187, MATCH(MIN(SQRT(('Schools dataset'!$J$3:$J$187-'Resale flat dataset'!O75)^2+('Schools dataset'!$K$3:$K$187-'Resale flat dataset'!P75)^2)), SQRT(('Schools dataset'!$J$3:$J$187-'Resale flat dataset'!O75)^2+('Schools dataset'!$K$3:$K$187-'Resale flat dataset'!P75)^2), 0))</f>
        <v>ZHANGDE PRIMARY SCHOOL</v>
      </c>
      <c r="T75" s="39">
        <f>ACOS(COS(RADIANS(90-O75))*COS(RADIANS(90-_xlfn.XLOOKUP(Q75,'MRT station dataset'!$C$3:$C$179,'MRT station dataset'!$E$3:$E$179)))+SIN(RADIANS(90-O75))*SIN(RADIANS(90-_xlfn.XLOOKUP(Q75,'MRT station dataset'!$C$3:$C$179,'MRT station dataset'!$E$3:$E$179)))*COS(RADIANS(P75-_xlfn.XLOOKUP('Resale flat dataset'!Q75,'MRT station dataset'!$C$3:$C$179,'MRT station dataset'!$F$3:$F$179))))*6371*1000</f>
        <v>561.69555955269198</v>
      </c>
      <c r="U75" s="39">
        <f>ACOS(COS(RADIANS(90-O75))*COS(RADIANS(90-_xlfn.XLOOKUP(R75,'Mall Dataset'!$B$3:$B$157,'Mall Dataset'!$E$3:$E$157,,0)))+SIN(RADIANS(90-O75))*SIN(RADIANS(90-_xlfn.XLOOKUP(R75,'Mall Dataset'!$B$3:$B$157,'Mall Dataset'!$E$3:$E$157,,0)))*COS(RADIANS(P75-_xlfn.XLOOKUP(R75,'Mall Dataset'!$B$3:$B$157,'Mall Dataset'!$F$3:$F$157,,0))))*6371*1000</f>
        <v>590.36251478788529</v>
      </c>
      <c r="V75" s="39">
        <f>ACOS(COS(RADIANS(90-O75))*COS(RADIANS(90-_xlfn.XLOOKUP(S75,'Schools dataset'!$B$3:$B$187,'Schools dataset'!$J$3:$J$187,,0)))+SIN(RADIANS(90-O75))*SIN(RADIANS(90-_xlfn.XLOOKUP(S75,'Schools dataset'!$B$3:$B$187,'Schools dataset'!$J$3:$J$187,,0)))*COS(RADIANS(P75-_xlfn.XLOOKUP(S75,'Schools dataset'!$B$3:$B$187,'Schools dataset'!$K$3:$K$187,,0))))*6371*1000</f>
        <v>369.9025331650505</v>
      </c>
      <c r="W75" s="20">
        <f>_xlfn.XLOOKUP(T75,'HDB Recommender'!$P$10:$P$39,'HDB Recommender'!$Q$10:$Q$39,"&gt;30mins",1)</f>
        <v>8</v>
      </c>
      <c r="X75" s="20">
        <f>_xlfn.XLOOKUP(U75,'HDB Recommender'!$P$10:$P$39,'HDB Recommender'!$Q$10:$Q$39,"&gt;30mins",1)</f>
        <v>8</v>
      </c>
      <c r="Y75" s="20">
        <f>_xlfn.XLOOKUP(V75,'HDB Recommender'!$P$10:$P$39,'HDB Recommender'!$Q$10:$Q$39,"&gt;30mins",1)</f>
        <v>5</v>
      </c>
      <c r="Z75" s="39">
        <f t="shared" si="3"/>
        <v>7</v>
      </c>
      <c r="AA75" s="20" t="str">
        <f t="shared" si="2"/>
        <v>Within 1km</v>
      </c>
    </row>
    <row r="76" spans="2:27" hidden="1">
      <c r="B76" s="35" t="s">
        <v>317</v>
      </c>
      <c r="C76" s="35" t="s">
        <v>431</v>
      </c>
      <c r="D76" s="35" t="s">
        <v>20</v>
      </c>
      <c r="E76" s="35"/>
      <c r="F76" s="35" t="s">
        <v>450</v>
      </c>
      <c r="G76" s="35" t="s">
        <v>189</v>
      </c>
      <c r="H76" s="35">
        <v>93</v>
      </c>
      <c r="I76" s="35" t="s">
        <v>335</v>
      </c>
      <c r="J76" s="36">
        <v>2017</v>
      </c>
      <c r="K76" s="39">
        <v>92.6666666666666</v>
      </c>
      <c r="L76" s="37">
        <v>856000</v>
      </c>
      <c r="M76" s="35" t="s">
        <v>451</v>
      </c>
      <c r="N76" s="27">
        <v>101070</v>
      </c>
      <c r="O76" s="38">
        <v>1.2763753097614701</v>
      </c>
      <c r="P76" s="38">
        <v>103.81137191061001</v>
      </c>
      <c r="Q76" s="38" t="str" cm="1">
        <f t="array" ref="Q76">INDEX('MRT station dataset'!$C$3:$C$179, MATCH(MIN(SQRT(('MRT station dataset'!$E$3:$E$179-'Resale flat dataset'!O76)^2+('MRT station dataset'!$F$3:$F$179-'Resale flat dataset'!P76)^2)), SQRT(('MRT station dataset'!$E$3:$E$179-'Resale flat dataset'!O76)^2+('MRT station dataset'!$F$3:$F$179-'Resale flat dataset'!P76)^2), 0))</f>
        <v>TELOK BLANGAH MRT STATION</v>
      </c>
      <c r="R76" s="38" t="str" cm="1">
        <f t="array" ref="R76">INDEX('Mall Dataset'!$B$3:$B$157, MATCH(MIN(SQRT(('Mall Dataset'!$E$3:$E$157-'Resale flat dataset'!O76)^2+('Mall Dataset'!$F$3:$F$157-'Resale flat dataset'!P76)^2)), SQRT(('Mall Dataset'!$E$3:$E$157-'Resale flat dataset'!O76)^2+('Mall Dataset'!$F$3:$F$157-'Resale flat dataset'!P76)^2), 0))</f>
        <v>Alexandra Central</v>
      </c>
      <c r="S76" s="38" t="str" cm="1">
        <f t="array" ref="S76">INDEX('Schools dataset'!$B$3:$B$187, MATCH(MIN(SQRT(('Schools dataset'!$J$3:$J$187-'Resale flat dataset'!O76)^2+('Schools dataset'!$K$3:$K$187-'Resale flat dataset'!P76)^2)), SQRT(('Schools dataset'!$J$3:$J$187-'Resale flat dataset'!O76)^2+('Schools dataset'!$K$3:$K$187-'Resale flat dataset'!P76)^2), 0))</f>
        <v>BLANGAH RISE PRIMARY SCHOOL</v>
      </c>
      <c r="T76" s="39">
        <f>ACOS(COS(RADIANS(90-O76))*COS(RADIANS(90-_xlfn.XLOOKUP(Q76,'MRT station dataset'!$C$3:$C$179,'MRT station dataset'!$E$3:$E$179)))+SIN(RADIANS(90-O76))*SIN(RADIANS(90-_xlfn.XLOOKUP(Q76,'MRT station dataset'!$C$3:$C$179,'MRT station dataset'!$E$3:$E$179)))*COS(RADIANS(P76-_xlfn.XLOOKUP('Resale flat dataset'!Q76,'MRT station dataset'!$C$3:$C$179,'MRT station dataset'!$F$3:$F$179))))*6371*1000</f>
        <v>647.20780820982782</v>
      </c>
      <c r="U76" s="39">
        <f>ACOS(COS(RADIANS(90-O76))*COS(RADIANS(90-_xlfn.XLOOKUP(R76,'Mall Dataset'!$B$3:$B$157,'Mall Dataset'!$E$3:$E$157,,0)))+SIN(RADIANS(90-O76))*SIN(RADIANS(90-_xlfn.XLOOKUP(R76,'Mall Dataset'!$B$3:$B$157,'Mall Dataset'!$E$3:$E$157,,0)))*COS(RADIANS(P76-_xlfn.XLOOKUP(R76,'Mall Dataset'!$B$3:$B$157,'Mall Dataset'!$F$3:$F$157,,0))))*6371*1000</f>
        <v>1388.9758509929945</v>
      </c>
      <c r="V76" s="39">
        <f>ACOS(COS(RADIANS(90-O76))*COS(RADIANS(90-_xlfn.XLOOKUP(S76,'Schools dataset'!$B$3:$B$187,'Schools dataset'!$J$3:$J$187,,0)))+SIN(RADIANS(90-O76))*SIN(RADIANS(90-_xlfn.XLOOKUP(S76,'Schools dataset'!$B$3:$B$187,'Schools dataset'!$J$3:$J$187,,0)))*COS(RADIANS(P76-_xlfn.XLOOKUP(S76,'Schools dataset'!$B$3:$B$187,'Schools dataset'!$K$3:$K$187,,0))))*6371*1000</f>
        <v>243.4402246145022</v>
      </c>
      <c r="W76" s="20">
        <f>_xlfn.XLOOKUP(T76,'HDB Recommender'!$P$10:$P$39,'HDB Recommender'!$Q$10:$Q$39,"&gt;30mins",1)</f>
        <v>9</v>
      </c>
      <c r="X76" s="20">
        <f>_xlfn.XLOOKUP(U76,'HDB Recommender'!$P$10:$P$39,'HDB Recommender'!$Q$10:$Q$39,"&gt;30mins",1)</f>
        <v>19</v>
      </c>
      <c r="Y76" s="20">
        <f>_xlfn.XLOOKUP(V76,'HDB Recommender'!$P$10:$P$39,'HDB Recommender'!$Q$10:$Q$39,"&gt;30mins",1)</f>
        <v>4</v>
      </c>
      <c r="Z76" s="39">
        <f t="shared" si="3"/>
        <v>10.666666666666666</v>
      </c>
      <c r="AA76" s="20" t="str">
        <f t="shared" si="2"/>
        <v>Within 1km</v>
      </c>
    </row>
    <row r="77" spans="2:27" hidden="1">
      <c r="B77" s="35" t="s">
        <v>317</v>
      </c>
      <c r="C77" s="35" t="s">
        <v>431</v>
      </c>
      <c r="D77" s="35" t="s">
        <v>20</v>
      </c>
      <c r="E77" s="35"/>
      <c r="F77" s="35" t="s">
        <v>452</v>
      </c>
      <c r="G77" s="35" t="s">
        <v>453</v>
      </c>
      <c r="H77" s="35">
        <v>93</v>
      </c>
      <c r="I77" s="35" t="s">
        <v>335</v>
      </c>
      <c r="J77" s="36">
        <v>2018</v>
      </c>
      <c r="K77" s="39">
        <v>94.25</v>
      </c>
      <c r="L77" s="37">
        <v>935000</v>
      </c>
      <c r="M77" s="35" t="s">
        <v>454</v>
      </c>
      <c r="N77" s="27">
        <v>102093</v>
      </c>
      <c r="O77" s="38">
        <v>1.2753572200815899</v>
      </c>
      <c r="P77" s="38">
        <v>103.807977257969</v>
      </c>
      <c r="Q77" s="38" t="str" cm="1">
        <f t="array" ref="Q77">INDEX('MRT station dataset'!$C$3:$C$179, MATCH(MIN(SQRT(('MRT station dataset'!$E$3:$E$179-'Resale flat dataset'!O77)^2+('MRT station dataset'!$F$3:$F$179-'Resale flat dataset'!P77)^2)), SQRT(('MRT station dataset'!$E$3:$E$179-'Resale flat dataset'!O77)^2+('MRT station dataset'!$F$3:$F$179-'Resale flat dataset'!P77)^2), 0))</f>
        <v>TELOK BLANGAH MRT STATION</v>
      </c>
      <c r="R77" s="38" t="str" cm="1">
        <f t="array" ref="R77">INDEX('Mall Dataset'!$B$3:$B$157, MATCH(MIN(SQRT(('Mall Dataset'!$E$3:$E$157-'Resale flat dataset'!O77)^2+('Mall Dataset'!$F$3:$F$157-'Resale flat dataset'!P77)^2)), SQRT(('Mall Dataset'!$E$3:$E$157-'Resale flat dataset'!O77)^2+('Mall Dataset'!$F$3:$F$157-'Resale flat dataset'!P77)^2), 0))</f>
        <v>Alexandra Central</v>
      </c>
      <c r="S77" s="38" t="str" cm="1">
        <f t="array" ref="S77">INDEX('Schools dataset'!$B$3:$B$187, MATCH(MIN(SQRT(('Schools dataset'!$J$3:$J$187-'Resale flat dataset'!O77)^2+('Schools dataset'!$K$3:$K$187-'Resale flat dataset'!P77)^2)), SQRT(('Schools dataset'!$J$3:$J$187-'Resale flat dataset'!O77)^2+('Schools dataset'!$K$3:$K$187-'Resale flat dataset'!P77)^2), 0))</f>
        <v>BLANGAH RISE PRIMARY SCHOOL</v>
      </c>
      <c r="T77" s="39">
        <f>ACOS(COS(RADIANS(90-O77))*COS(RADIANS(90-_xlfn.XLOOKUP(Q77,'MRT station dataset'!$C$3:$C$179,'MRT station dataset'!$E$3:$E$179)))+SIN(RADIANS(90-O77))*SIN(RADIANS(90-_xlfn.XLOOKUP(Q77,'MRT station dataset'!$C$3:$C$179,'MRT station dataset'!$E$3:$E$179)))*COS(RADIANS(P77-_xlfn.XLOOKUP('Resale flat dataset'!Q77,'MRT station dataset'!$C$3:$C$179,'MRT station dataset'!$F$3:$F$179))))*6371*1000</f>
        <v>541.72165712175865</v>
      </c>
      <c r="U77" s="39">
        <f>ACOS(COS(RADIANS(90-O77))*COS(RADIANS(90-_xlfn.XLOOKUP(R77,'Mall Dataset'!$B$3:$B$157,'Mall Dataset'!$E$3:$E$157,,0)))+SIN(RADIANS(90-O77))*SIN(RADIANS(90-_xlfn.XLOOKUP(R77,'Mall Dataset'!$B$3:$B$157,'Mall Dataset'!$E$3:$E$157,,0)))*COS(RADIANS(P77-_xlfn.XLOOKUP(R77,'Mall Dataset'!$B$3:$B$157,'Mall Dataset'!$F$3:$F$157,,0))))*6371*1000</f>
        <v>1359.5035408037297</v>
      </c>
      <c r="V77" s="39">
        <f>ACOS(COS(RADIANS(90-O77))*COS(RADIANS(90-_xlfn.XLOOKUP(S77,'Schools dataset'!$B$3:$B$187,'Schools dataset'!$J$3:$J$187,,0)))+SIN(RADIANS(90-O77))*SIN(RADIANS(90-_xlfn.XLOOKUP(S77,'Schools dataset'!$B$3:$B$187,'Schools dataset'!$J$3:$J$187,,0)))*COS(RADIANS(P77-_xlfn.XLOOKUP(S77,'Schools dataset'!$B$3:$B$187,'Schools dataset'!$K$3:$K$187,,0))))*6371*1000</f>
        <v>203.82542147614879</v>
      </c>
      <c r="W77" s="20">
        <f>_xlfn.XLOOKUP(T77,'HDB Recommender'!$P$10:$P$39,'HDB Recommender'!$Q$10:$Q$39,"&gt;30mins",1)</f>
        <v>8</v>
      </c>
      <c r="X77" s="20">
        <f>_xlfn.XLOOKUP(U77,'HDB Recommender'!$P$10:$P$39,'HDB Recommender'!$Q$10:$Q$39,"&gt;30mins",1)</f>
        <v>19</v>
      </c>
      <c r="Y77" s="20">
        <f>_xlfn.XLOOKUP(V77,'HDB Recommender'!$P$10:$P$39,'HDB Recommender'!$Q$10:$Q$39,"&gt;30mins",1)</f>
        <v>3</v>
      </c>
      <c r="Z77" s="39">
        <f t="shared" si="3"/>
        <v>10</v>
      </c>
      <c r="AA77" s="20" t="str">
        <f t="shared" si="2"/>
        <v>Within 1km</v>
      </c>
    </row>
    <row r="78" spans="2:27" hidden="1">
      <c r="B78" s="35" t="s">
        <v>317</v>
      </c>
      <c r="C78" s="35" t="s">
        <v>431</v>
      </c>
      <c r="D78" s="35" t="s">
        <v>20</v>
      </c>
      <c r="E78" s="35"/>
      <c r="F78" s="35" t="s">
        <v>452</v>
      </c>
      <c r="G78" s="35" t="s">
        <v>184</v>
      </c>
      <c r="H78" s="35">
        <v>93</v>
      </c>
      <c r="I78" s="35" t="s">
        <v>335</v>
      </c>
      <c r="J78" s="36">
        <v>2018</v>
      </c>
      <c r="K78" s="39">
        <v>94.25</v>
      </c>
      <c r="L78" s="37">
        <v>820000</v>
      </c>
      <c r="M78" s="35" t="s">
        <v>455</v>
      </c>
      <c r="N78" s="27">
        <v>101090</v>
      </c>
      <c r="O78" s="38">
        <v>1.2777345780028799</v>
      </c>
      <c r="P78" s="38">
        <v>103.807093263136</v>
      </c>
      <c r="Q78" s="38" t="str" cm="1">
        <f t="array" ref="Q78">INDEX('MRT station dataset'!$C$3:$C$179, MATCH(MIN(SQRT(('MRT station dataset'!$E$3:$E$179-'Resale flat dataset'!O78)^2+('MRT station dataset'!$F$3:$F$179-'Resale flat dataset'!P78)^2)), SQRT(('MRT station dataset'!$E$3:$E$179-'Resale flat dataset'!O78)^2+('MRT station dataset'!$F$3:$F$179-'Resale flat dataset'!P78)^2), 0))</f>
        <v>LABRADOR PARK MRT STATION</v>
      </c>
      <c r="R78" s="38" t="str" cm="1">
        <f t="array" ref="R78">INDEX('Mall Dataset'!$B$3:$B$157, MATCH(MIN(SQRT(('Mall Dataset'!$E$3:$E$157-'Resale flat dataset'!O78)^2+('Mall Dataset'!$F$3:$F$157-'Resale flat dataset'!P78)^2)), SQRT(('Mall Dataset'!$E$3:$E$157-'Resale flat dataset'!O78)^2+('Mall Dataset'!$F$3:$F$157-'Resale flat dataset'!P78)^2), 0))</f>
        <v>Alexandra Central</v>
      </c>
      <c r="S78" s="38" t="str" cm="1">
        <f t="array" ref="S78">INDEX('Schools dataset'!$B$3:$B$187, MATCH(MIN(SQRT(('Schools dataset'!$J$3:$J$187-'Resale flat dataset'!O78)^2+('Schools dataset'!$K$3:$K$187-'Resale flat dataset'!P78)^2)), SQRT(('Schools dataset'!$J$3:$J$187-'Resale flat dataset'!O78)^2+('Schools dataset'!$K$3:$K$187-'Resale flat dataset'!P78)^2), 0))</f>
        <v>BLANGAH RISE PRIMARY SCHOOL</v>
      </c>
      <c r="T78" s="39">
        <f>ACOS(COS(RADIANS(90-O78))*COS(RADIANS(90-_xlfn.XLOOKUP(Q78,'MRT station dataset'!$C$3:$C$179,'MRT station dataset'!$E$3:$E$179)))+SIN(RADIANS(90-O78))*SIN(RADIANS(90-_xlfn.XLOOKUP(Q78,'MRT station dataset'!$C$3:$C$179,'MRT station dataset'!$E$3:$E$179)))*COS(RADIANS(P78-_xlfn.XLOOKUP('Resale flat dataset'!Q78,'MRT station dataset'!$C$3:$C$179,'MRT station dataset'!$F$3:$F$179))))*6371*1000</f>
        <v>763.2005965898561</v>
      </c>
      <c r="U78" s="39">
        <f>ACOS(COS(RADIANS(90-O78))*COS(RADIANS(90-_xlfn.XLOOKUP(R78,'Mall Dataset'!$B$3:$B$157,'Mall Dataset'!$E$3:$E$157,,0)))+SIN(RADIANS(90-O78))*SIN(RADIANS(90-_xlfn.XLOOKUP(R78,'Mall Dataset'!$B$3:$B$157,'Mall Dataset'!$E$3:$E$157,,0)))*COS(RADIANS(P78-_xlfn.XLOOKUP(R78,'Mall Dataset'!$B$3:$B$157,'Mall Dataset'!$F$3:$F$157,,0))))*6371*1000</f>
        <v>1080.6547405849992</v>
      </c>
      <c r="V78" s="39">
        <f>ACOS(COS(RADIANS(90-O78))*COS(RADIANS(90-_xlfn.XLOOKUP(S78,'Schools dataset'!$B$3:$B$187,'Schools dataset'!$J$3:$J$187,,0)))+SIN(RADIANS(90-O78))*SIN(RADIANS(90-_xlfn.XLOOKUP(S78,'Schools dataset'!$B$3:$B$187,'Schools dataset'!$J$3:$J$187,,0)))*COS(RADIANS(P78-_xlfn.XLOOKUP(S78,'Schools dataset'!$B$3:$B$187,'Schools dataset'!$K$3:$K$187,,0))))*6371*1000</f>
        <v>261.04489925508443</v>
      </c>
      <c r="W78" s="20">
        <f>_xlfn.XLOOKUP(T78,'HDB Recommender'!$P$10:$P$39,'HDB Recommender'!$Q$10:$Q$39,"&gt;30mins",1)</f>
        <v>11</v>
      </c>
      <c r="X78" s="20">
        <f>_xlfn.XLOOKUP(U78,'HDB Recommender'!$P$10:$P$39,'HDB Recommender'!$Q$10:$Q$39,"&gt;30mins",1)</f>
        <v>15</v>
      </c>
      <c r="Y78" s="20">
        <f>_xlfn.XLOOKUP(V78,'HDB Recommender'!$P$10:$P$39,'HDB Recommender'!$Q$10:$Q$39,"&gt;30mins",1)</f>
        <v>4</v>
      </c>
      <c r="Z78" s="39">
        <f t="shared" si="3"/>
        <v>10</v>
      </c>
      <c r="AA78" s="20" t="str">
        <f t="shared" si="2"/>
        <v>Within 1km</v>
      </c>
    </row>
    <row r="79" spans="2:27" hidden="1">
      <c r="B79" s="35" t="s">
        <v>317</v>
      </c>
      <c r="C79" s="35" t="s">
        <v>431</v>
      </c>
      <c r="D79" s="35" t="s">
        <v>341</v>
      </c>
      <c r="E79" s="35">
        <v>4</v>
      </c>
      <c r="F79" s="35" t="s">
        <v>435</v>
      </c>
      <c r="G79" s="35" t="s">
        <v>191</v>
      </c>
      <c r="H79" s="35">
        <v>137</v>
      </c>
      <c r="I79" s="35" t="s">
        <v>326</v>
      </c>
      <c r="J79" s="36">
        <v>1980</v>
      </c>
      <c r="K79" s="39">
        <v>56.25</v>
      </c>
      <c r="L79" s="37">
        <v>850000</v>
      </c>
      <c r="M79" s="35" t="s">
        <v>456</v>
      </c>
      <c r="N79" s="27" t="s">
        <v>457</v>
      </c>
      <c r="O79" s="38">
        <v>1.2768830736376799</v>
      </c>
      <c r="P79" s="38">
        <v>103.84008562790299</v>
      </c>
      <c r="Q79" s="38" t="str" cm="1">
        <f t="array" ref="Q79">INDEX('MRT station dataset'!$C$3:$C$179, MATCH(MIN(SQRT(('MRT station dataset'!$E$3:$E$179-'Resale flat dataset'!O79)^2+('MRT station dataset'!$F$3:$F$179-'Resale flat dataset'!P79)^2)), SQRT(('MRT station dataset'!$E$3:$E$179-'Resale flat dataset'!O79)^2+('MRT station dataset'!$F$3:$F$179-'Resale flat dataset'!P79)^2), 0))</f>
        <v>OUTRAM PARK MRT STATION</v>
      </c>
      <c r="R79" s="38" t="str" cm="1">
        <f t="array" ref="R79">INDEX('Mall Dataset'!$B$3:$B$157, MATCH(MIN(SQRT(('Mall Dataset'!$E$3:$E$157-'Resale flat dataset'!O79)^2+('Mall Dataset'!$F$3:$F$157-'Resale flat dataset'!P79)^2)), SQRT(('Mall Dataset'!$E$3:$E$157-'Resale flat dataset'!O79)^2+('Mall Dataset'!$F$3:$F$157-'Resale flat dataset'!P79)^2), 0))</f>
        <v>100 AM</v>
      </c>
      <c r="S79" s="38" t="str" cm="1">
        <f t="array" ref="S79">INDEX('Schools dataset'!$B$3:$B$187, MATCH(MIN(SQRT(('Schools dataset'!$J$3:$J$187-'Resale flat dataset'!O79)^2+('Schools dataset'!$K$3:$K$187-'Resale flat dataset'!P79)^2)), SQRT(('Schools dataset'!$J$3:$J$187-'Resale flat dataset'!O79)^2+('Schools dataset'!$K$3:$K$187-'Resale flat dataset'!P79)^2), 0))</f>
        <v>ZHANGDE PRIMARY SCHOOL</v>
      </c>
      <c r="T79" s="39">
        <f>ACOS(COS(RADIANS(90-O79))*COS(RADIANS(90-_xlfn.XLOOKUP(Q79,'MRT station dataset'!$C$3:$C$179,'MRT station dataset'!$E$3:$E$179)))+SIN(RADIANS(90-O79))*SIN(RADIANS(90-_xlfn.XLOOKUP(Q79,'MRT station dataset'!$C$3:$C$179,'MRT station dataset'!$E$3:$E$179)))*COS(RADIANS(P79-_xlfn.XLOOKUP('Resale flat dataset'!Q79,'MRT station dataset'!$C$3:$C$179,'MRT station dataset'!$F$3:$F$179))))*6371*1000</f>
        <v>514.07185980959275</v>
      </c>
      <c r="U79" s="39">
        <f>ACOS(COS(RADIANS(90-O79))*COS(RADIANS(90-_xlfn.XLOOKUP(R79,'Mall Dataset'!$B$3:$B$157,'Mall Dataset'!$E$3:$E$157,,0)))+SIN(RADIANS(90-O79))*SIN(RADIANS(90-_xlfn.XLOOKUP(R79,'Mall Dataset'!$B$3:$B$157,'Mall Dataset'!$E$3:$E$157,,0)))*COS(RADIANS(P79-_xlfn.XLOOKUP(R79,'Mall Dataset'!$B$3:$B$157,'Mall Dataset'!$F$3:$F$157,,0))))*6371*1000</f>
        <v>231.67613006673361</v>
      </c>
      <c r="V79" s="39">
        <f>ACOS(COS(RADIANS(90-O79))*COS(RADIANS(90-_xlfn.XLOOKUP(S79,'Schools dataset'!$B$3:$B$187,'Schools dataset'!$J$3:$J$187,,0)))+SIN(RADIANS(90-O79))*SIN(RADIANS(90-_xlfn.XLOOKUP(S79,'Schools dataset'!$B$3:$B$187,'Schools dataset'!$J$3:$J$187,,0)))*COS(RADIANS(P79-_xlfn.XLOOKUP(S79,'Schools dataset'!$B$3:$B$187,'Schools dataset'!$K$3:$K$187,,0))))*6371*1000</f>
        <v>1769.9540584599849</v>
      </c>
      <c r="W79" s="20">
        <f>_xlfn.XLOOKUP(T79,'HDB Recommender'!$P$10:$P$39,'HDB Recommender'!$Q$10:$Q$39,"&gt;30mins",1)</f>
        <v>7</v>
      </c>
      <c r="X79" s="20">
        <f>_xlfn.XLOOKUP(U79,'HDB Recommender'!$P$10:$P$39,'HDB Recommender'!$Q$10:$Q$39,"&gt;30mins",1)</f>
        <v>4</v>
      </c>
      <c r="Y79" s="20">
        <f>_xlfn.XLOOKUP(V79,'HDB Recommender'!$P$10:$P$39,'HDB Recommender'!$Q$10:$Q$39,"&gt;30mins",1)</f>
        <v>24</v>
      </c>
      <c r="Z79" s="39">
        <f t="shared" si="3"/>
        <v>11.666666666666666</v>
      </c>
      <c r="AA79" s="20" t="str">
        <f t="shared" si="2"/>
        <v>between 1km and 2km</v>
      </c>
    </row>
    <row r="80" spans="2:27" hidden="1">
      <c r="B80" s="35" t="s">
        <v>317</v>
      </c>
      <c r="C80" s="35" t="s">
        <v>431</v>
      </c>
      <c r="D80" s="35" t="s">
        <v>341</v>
      </c>
      <c r="E80" s="35"/>
      <c r="F80" s="35" t="s">
        <v>458</v>
      </c>
      <c r="G80" s="35" t="s">
        <v>411</v>
      </c>
      <c r="H80" s="35">
        <v>113</v>
      </c>
      <c r="I80" s="35" t="s">
        <v>326</v>
      </c>
      <c r="J80" s="36">
        <v>2019</v>
      </c>
      <c r="K80" s="39">
        <v>94.75</v>
      </c>
      <c r="L80" s="37">
        <v>1450000</v>
      </c>
      <c r="M80" s="35" t="s">
        <v>459</v>
      </c>
      <c r="N80" s="27">
        <v>151096</v>
      </c>
      <c r="O80" s="38">
        <v>1.28798878836651</v>
      </c>
      <c r="P80" s="38">
        <v>103.821947260359</v>
      </c>
      <c r="Q80" s="38" t="str" cm="1">
        <f t="array" ref="Q80">INDEX('MRT station dataset'!$C$3:$C$179, MATCH(MIN(SQRT(('MRT station dataset'!$E$3:$E$179-'Resale flat dataset'!O80)^2+('MRT station dataset'!$F$3:$F$179-'Resale flat dataset'!P80)^2)), SQRT(('MRT station dataset'!$E$3:$E$179-'Resale flat dataset'!O80)^2+('MRT station dataset'!$F$3:$F$179-'Resale flat dataset'!P80)^2), 0))</f>
        <v>TIONG BAHRU MRT STATION</v>
      </c>
      <c r="R80" s="38" t="str" cm="1">
        <f t="array" ref="R80">INDEX('Mall Dataset'!$B$3:$B$157, MATCH(MIN(SQRT(('Mall Dataset'!$E$3:$E$157-'Resale flat dataset'!O80)^2+('Mall Dataset'!$F$3:$F$157-'Resale flat dataset'!P80)^2)), SQRT(('Mall Dataset'!$E$3:$E$157-'Resale flat dataset'!O80)^2+('Mall Dataset'!$F$3:$F$157-'Resale flat dataset'!P80)^2), 0))</f>
        <v>Tiong Bahru Plaza</v>
      </c>
      <c r="S80" s="38" t="str" cm="1">
        <f t="array" ref="S80">INDEX('Schools dataset'!$B$3:$B$187, MATCH(MIN(SQRT(('Schools dataset'!$J$3:$J$187-'Resale flat dataset'!O80)^2+('Schools dataset'!$K$3:$K$187-'Resale flat dataset'!P80)^2)), SQRT(('Schools dataset'!$J$3:$J$187-'Resale flat dataset'!O80)^2+('Schools dataset'!$K$3:$K$187-'Resale flat dataset'!P80)^2), 0))</f>
        <v>ALEXANDRA PRIMARY SCHOOL</v>
      </c>
      <c r="T80" s="39">
        <f>ACOS(COS(RADIANS(90-O80))*COS(RADIANS(90-_xlfn.XLOOKUP(Q80,'MRT station dataset'!$C$3:$C$179,'MRT station dataset'!$E$3:$E$179)))+SIN(RADIANS(90-O80))*SIN(RADIANS(90-_xlfn.XLOOKUP(Q80,'MRT station dataset'!$C$3:$C$179,'MRT station dataset'!$E$3:$E$179)))*COS(RADIANS(P80-_xlfn.XLOOKUP('Resale flat dataset'!Q80,'MRT station dataset'!$C$3:$C$179,'MRT station dataset'!$F$3:$F$179))))*6371*1000</f>
        <v>595.87472900222349</v>
      </c>
      <c r="U80" s="39">
        <f>ACOS(COS(RADIANS(90-O80))*COS(RADIANS(90-_xlfn.XLOOKUP(R80,'Mall Dataset'!$B$3:$B$157,'Mall Dataset'!$E$3:$E$157,,0)))+SIN(RADIANS(90-O80))*SIN(RADIANS(90-_xlfn.XLOOKUP(R80,'Mall Dataset'!$B$3:$B$157,'Mall Dataset'!$E$3:$E$157,,0)))*COS(RADIANS(P80-_xlfn.XLOOKUP(R80,'Mall Dataset'!$B$3:$B$157,'Mall Dataset'!$F$3:$F$157,,0))))*6371*1000</f>
        <v>588.51635529357304</v>
      </c>
      <c r="V80" s="39">
        <f>ACOS(COS(RADIANS(90-O80))*COS(RADIANS(90-_xlfn.XLOOKUP(S80,'Schools dataset'!$B$3:$B$187,'Schools dataset'!$J$3:$J$187,,0)))+SIN(RADIANS(90-O80))*SIN(RADIANS(90-_xlfn.XLOOKUP(S80,'Schools dataset'!$B$3:$B$187,'Schools dataset'!$J$3:$J$187,,0)))*COS(RADIANS(P80-_xlfn.XLOOKUP(S80,'Schools dataset'!$B$3:$B$187,'Schools dataset'!$K$3:$K$187,,0))))*6371*1000</f>
        <v>462.86433507334766</v>
      </c>
      <c r="W80" s="20">
        <f>_xlfn.XLOOKUP(T80,'HDB Recommender'!$P$10:$P$39,'HDB Recommender'!$Q$10:$Q$39,"&gt;30mins",1)</f>
        <v>8</v>
      </c>
      <c r="X80" s="20">
        <f>_xlfn.XLOOKUP(U80,'HDB Recommender'!$P$10:$P$39,'HDB Recommender'!$Q$10:$Q$39,"&gt;30mins",1)</f>
        <v>8</v>
      </c>
      <c r="Y80" s="20">
        <f>_xlfn.XLOOKUP(V80,'HDB Recommender'!$P$10:$P$39,'HDB Recommender'!$Q$10:$Q$39,"&gt;30mins",1)</f>
        <v>7</v>
      </c>
      <c r="Z80" s="39">
        <f t="shared" si="3"/>
        <v>7.666666666666667</v>
      </c>
      <c r="AA80" s="20" t="str">
        <f t="shared" si="2"/>
        <v>Within 1km</v>
      </c>
    </row>
    <row r="81" spans="2:27" hidden="1">
      <c r="B81" s="35" t="s">
        <v>317</v>
      </c>
      <c r="C81" s="35" t="s">
        <v>460</v>
      </c>
      <c r="D81" s="35" t="s">
        <v>318</v>
      </c>
      <c r="E81" s="35">
        <v>250</v>
      </c>
      <c r="F81" s="35" t="s">
        <v>461</v>
      </c>
      <c r="G81" s="35" t="s">
        <v>189</v>
      </c>
      <c r="H81" s="35">
        <v>73</v>
      </c>
      <c r="I81" s="35" t="s">
        <v>335</v>
      </c>
      <c r="J81" s="36">
        <v>1988</v>
      </c>
      <c r="K81" s="39">
        <v>64.1666666666666</v>
      </c>
      <c r="L81" s="37">
        <v>370000</v>
      </c>
      <c r="M81" s="35" t="s">
        <v>462</v>
      </c>
      <c r="N81" s="27">
        <v>670250</v>
      </c>
      <c r="O81" s="38">
        <v>1.38065502521671</v>
      </c>
      <c r="P81" s="38">
        <v>103.773698672408</v>
      </c>
      <c r="Q81" s="38" t="str" cm="1">
        <f t="array" ref="Q81">INDEX('MRT station dataset'!$C$3:$C$179, MATCH(MIN(SQRT(('MRT station dataset'!$E$3:$E$179-'Resale flat dataset'!O81)^2+('MRT station dataset'!$F$3:$F$179-'Resale flat dataset'!P81)^2)), SQRT(('MRT station dataset'!$E$3:$E$179-'Resale flat dataset'!O81)^2+('MRT station dataset'!$F$3:$F$179-'Resale flat dataset'!P81)^2), 0))</f>
        <v>BANGKIT LRT STATION</v>
      </c>
      <c r="R81" s="38" t="str" cm="1">
        <f t="array" ref="R81">INDEX('Mall Dataset'!$B$3:$B$157, MATCH(MIN(SQRT(('Mall Dataset'!$E$3:$E$157-'Resale flat dataset'!O81)^2+('Mall Dataset'!$F$3:$F$157-'Resale flat dataset'!P81)^2)), SQRT(('Mall Dataset'!$E$3:$E$157-'Resale flat dataset'!O81)^2+('Mall Dataset'!$F$3:$F$157-'Resale flat dataset'!P81)^2), 0))</f>
        <v>Fajar Shopping Centre</v>
      </c>
      <c r="S81" s="38" t="str" cm="1">
        <f t="array" ref="S81">INDEX('Schools dataset'!$B$3:$B$187, MATCH(MIN(SQRT(('Schools dataset'!$J$3:$J$187-'Resale flat dataset'!O81)^2+('Schools dataset'!$K$3:$K$187-'Resale flat dataset'!P81)^2)), SQRT(('Schools dataset'!$J$3:$J$187-'Resale flat dataset'!O81)^2+('Schools dataset'!$K$3:$K$187-'Resale flat dataset'!P81)^2), 0))</f>
        <v>BEACON PRIMARY SCHOOL</v>
      </c>
      <c r="T81" s="39">
        <f>ACOS(COS(RADIANS(90-O81))*COS(RADIANS(90-_xlfn.XLOOKUP(Q81,'MRT station dataset'!$C$3:$C$179,'MRT station dataset'!$E$3:$E$179)))+SIN(RADIANS(90-O81))*SIN(RADIANS(90-_xlfn.XLOOKUP(Q81,'MRT station dataset'!$C$3:$C$179,'MRT station dataset'!$E$3:$E$179)))*COS(RADIANS(P81-_xlfn.XLOOKUP('Resale flat dataset'!Q81,'MRT station dataset'!$C$3:$C$179,'MRT station dataset'!$F$3:$F$179))))*6371*1000</f>
        <v>142.20084451304072</v>
      </c>
      <c r="U81" s="39">
        <f>ACOS(COS(RADIANS(90-O81))*COS(RADIANS(90-_xlfn.XLOOKUP(R81,'Mall Dataset'!$B$3:$B$157,'Mall Dataset'!$E$3:$E$157,,0)))+SIN(RADIANS(90-O81))*SIN(RADIANS(90-_xlfn.XLOOKUP(R81,'Mall Dataset'!$B$3:$B$157,'Mall Dataset'!$E$3:$E$157,,0)))*COS(RADIANS(P81-_xlfn.XLOOKUP(R81,'Mall Dataset'!$B$3:$B$157,'Mall Dataset'!$F$3:$F$157,,0))))*6371*1000</f>
        <v>452.08555722038057</v>
      </c>
      <c r="V81" s="39">
        <f>ACOS(COS(RADIANS(90-O81))*COS(RADIANS(90-_xlfn.XLOOKUP(S81,'Schools dataset'!$B$3:$B$187,'Schools dataset'!$J$3:$J$187,,0)))+SIN(RADIANS(90-O81))*SIN(RADIANS(90-_xlfn.XLOOKUP(S81,'Schools dataset'!$B$3:$B$187,'Schools dataset'!$J$3:$J$187,,0)))*COS(RADIANS(P81-_xlfn.XLOOKUP(S81,'Schools dataset'!$B$3:$B$187,'Schools dataset'!$K$3:$K$187,,0))))*6371*1000</f>
        <v>366.38846326302877</v>
      </c>
      <c r="W81" s="20">
        <f>_xlfn.XLOOKUP(T81,'HDB Recommender'!$P$10:$P$39,'HDB Recommender'!$Q$10:$Q$39,"&gt;30mins",1)</f>
        <v>2</v>
      </c>
      <c r="X81" s="20">
        <f>_xlfn.XLOOKUP(U81,'HDB Recommender'!$P$10:$P$39,'HDB Recommender'!$Q$10:$Q$39,"&gt;30mins",1)</f>
        <v>7</v>
      </c>
      <c r="Y81" s="20">
        <f>_xlfn.XLOOKUP(V81,'HDB Recommender'!$P$10:$P$39,'HDB Recommender'!$Q$10:$Q$39,"&gt;30mins",1)</f>
        <v>5</v>
      </c>
      <c r="Z81" s="39">
        <f t="shared" si="3"/>
        <v>4.666666666666667</v>
      </c>
      <c r="AA81" s="20" t="str">
        <f t="shared" si="2"/>
        <v>Within 1km</v>
      </c>
    </row>
    <row r="82" spans="2:27" hidden="1">
      <c r="B82" s="35" t="s">
        <v>317</v>
      </c>
      <c r="C82" s="35" t="s">
        <v>460</v>
      </c>
      <c r="D82" s="35" t="s">
        <v>20</v>
      </c>
      <c r="E82" s="35">
        <v>435</v>
      </c>
      <c r="F82" s="35" t="s">
        <v>463</v>
      </c>
      <c r="G82" s="35" t="s">
        <v>184</v>
      </c>
      <c r="H82" s="35">
        <v>104</v>
      </c>
      <c r="I82" s="35" t="s">
        <v>335</v>
      </c>
      <c r="J82" s="36">
        <v>1988</v>
      </c>
      <c r="K82" s="39">
        <v>64.25</v>
      </c>
      <c r="L82" s="37">
        <v>492000</v>
      </c>
      <c r="M82" s="35" t="s">
        <v>464</v>
      </c>
      <c r="N82" s="27">
        <v>670435</v>
      </c>
      <c r="O82" s="38">
        <v>1.3860397462673999</v>
      </c>
      <c r="P82" s="38">
        <v>103.770196336514</v>
      </c>
      <c r="Q82" s="38" t="str" cm="1">
        <f t="array" ref="Q82">INDEX('MRT station dataset'!$C$3:$C$179, MATCH(MIN(SQRT(('MRT station dataset'!$E$3:$E$179-'Resale flat dataset'!O82)^2+('MRT station dataset'!$F$3:$F$179-'Resale flat dataset'!P82)^2)), SQRT(('MRT station dataset'!$E$3:$E$179-'Resale flat dataset'!O82)^2+('MRT station dataset'!$F$3:$F$179-'Resale flat dataset'!P82)^2), 0))</f>
        <v>FAJAR LRT STATION</v>
      </c>
      <c r="R82" s="38" t="str" cm="1">
        <f t="array" ref="R82">INDEX('Mall Dataset'!$B$3:$B$157, MATCH(MIN(SQRT(('Mall Dataset'!$E$3:$E$157-'Resale flat dataset'!O82)^2+('Mall Dataset'!$F$3:$F$157-'Resale flat dataset'!P82)^2)), SQRT(('Mall Dataset'!$E$3:$E$157-'Resale flat dataset'!O82)^2+('Mall Dataset'!$F$3:$F$157-'Resale flat dataset'!P82)^2), 0))</f>
        <v>Fajar Shopping Centre</v>
      </c>
      <c r="S82" s="38" t="str" cm="1">
        <f t="array" ref="S82">INDEX('Schools dataset'!$B$3:$B$187, MATCH(MIN(SQRT(('Schools dataset'!$J$3:$J$187-'Resale flat dataset'!O82)^2+('Schools dataset'!$K$3:$K$187-'Resale flat dataset'!P82)^2)), SQRT(('Schools dataset'!$J$3:$J$187-'Resale flat dataset'!O82)^2+('Schools dataset'!$K$3:$K$187-'Resale flat dataset'!P82)^2), 0))</f>
        <v>GREENRIDGE PRIMARY SCHOOL</v>
      </c>
      <c r="T82" s="39">
        <f>ACOS(COS(RADIANS(90-O82))*COS(RADIANS(90-_xlfn.XLOOKUP(Q82,'MRT station dataset'!$C$3:$C$179,'MRT station dataset'!$E$3:$E$179)))+SIN(RADIANS(90-O82))*SIN(RADIANS(90-_xlfn.XLOOKUP(Q82,'MRT station dataset'!$C$3:$C$179,'MRT station dataset'!$E$3:$E$179)))*COS(RADIANS(P82-_xlfn.XLOOKUP('Resale flat dataset'!Q82,'MRT station dataset'!$C$3:$C$179,'MRT station dataset'!$F$3:$F$179))))*6371*1000</f>
        <v>183.89283338083985</v>
      </c>
      <c r="U82" s="39">
        <f>ACOS(COS(RADIANS(90-O82))*COS(RADIANS(90-_xlfn.XLOOKUP(R82,'Mall Dataset'!$B$3:$B$157,'Mall Dataset'!$E$3:$E$157,,0)))+SIN(RADIANS(90-O82))*SIN(RADIANS(90-_xlfn.XLOOKUP(R82,'Mall Dataset'!$B$3:$B$157,'Mall Dataset'!$E$3:$E$157,,0)))*COS(RADIANS(P82-_xlfn.XLOOKUP(R82,'Mall Dataset'!$B$3:$B$157,'Mall Dataset'!$F$3:$F$157,,0))))*6371*1000</f>
        <v>284.10121932657171</v>
      </c>
      <c r="V82" s="39">
        <f>ACOS(COS(RADIANS(90-O82))*COS(RADIANS(90-_xlfn.XLOOKUP(S82,'Schools dataset'!$B$3:$B$187,'Schools dataset'!$J$3:$J$187,,0)))+SIN(RADIANS(90-O82))*SIN(RADIANS(90-_xlfn.XLOOKUP(S82,'Schools dataset'!$B$3:$B$187,'Schools dataset'!$J$3:$J$187,,0)))*COS(RADIANS(P82-_xlfn.XLOOKUP(S82,'Schools dataset'!$B$3:$B$187,'Schools dataset'!$K$3:$K$187,,0))))*6371*1000</f>
        <v>266.28014169225179</v>
      </c>
      <c r="W82" s="20">
        <f>_xlfn.XLOOKUP(T82,'HDB Recommender'!$P$10:$P$39,'HDB Recommender'!$Q$10:$Q$39,"&gt;30mins",1)</f>
        <v>3</v>
      </c>
      <c r="X82" s="20">
        <f>_xlfn.XLOOKUP(U82,'HDB Recommender'!$P$10:$P$39,'HDB Recommender'!$Q$10:$Q$39,"&gt;30mins",1)</f>
        <v>4</v>
      </c>
      <c r="Y82" s="20">
        <f>_xlfn.XLOOKUP(V82,'HDB Recommender'!$P$10:$P$39,'HDB Recommender'!$Q$10:$Q$39,"&gt;30mins",1)</f>
        <v>4</v>
      </c>
      <c r="Z82" s="39">
        <f t="shared" si="3"/>
        <v>3.6666666666666665</v>
      </c>
      <c r="AA82" s="20" t="str">
        <f t="shared" si="2"/>
        <v>Within 1km</v>
      </c>
    </row>
    <row r="83" spans="2:27" hidden="1">
      <c r="B83" s="35" t="s">
        <v>317</v>
      </c>
      <c r="C83" s="35" t="s">
        <v>460</v>
      </c>
      <c r="D83" s="35" t="s">
        <v>20</v>
      </c>
      <c r="E83" s="35">
        <v>128</v>
      </c>
      <c r="F83" s="35" t="s">
        <v>465</v>
      </c>
      <c r="G83" s="35" t="s">
        <v>189</v>
      </c>
      <c r="H83" s="35">
        <v>103</v>
      </c>
      <c r="I83" s="35" t="s">
        <v>335</v>
      </c>
      <c r="J83" s="36">
        <v>1988</v>
      </c>
      <c r="K83" s="39">
        <v>63.8333333333333</v>
      </c>
      <c r="L83" s="37">
        <v>500000</v>
      </c>
      <c r="M83" s="35" t="s">
        <v>466</v>
      </c>
      <c r="N83" s="27">
        <v>670128</v>
      </c>
      <c r="O83" s="38">
        <v>1.37599511163058</v>
      </c>
      <c r="P83" s="38">
        <v>103.769766187776</v>
      </c>
      <c r="Q83" s="38" t="str" cm="1">
        <f t="array" ref="Q83">INDEX('MRT station dataset'!$C$3:$C$179, MATCH(MIN(SQRT(('MRT station dataset'!$E$3:$E$179-'Resale flat dataset'!O83)^2+('MRT station dataset'!$F$3:$F$179-'Resale flat dataset'!P83)^2)), SQRT(('MRT station dataset'!$E$3:$E$179-'Resale flat dataset'!O83)^2+('MRT station dataset'!$F$3:$F$179-'Resale flat dataset'!P83)^2), 0))</f>
        <v>PENDING LRT STATION</v>
      </c>
      <c r="R83" s="38" t="str" cm="1">
        <f t="array" ref="R83">INDEX('Mall Dataset'!$B$3:$B$157, MATCH(MIN(SQRT(('Mall Dataset'!$E$3:$E$157-'Resale flat dataset'!O83)^2+('Mall Dataset'!$F$3:$F$157-'Resale flat dataset'!P83)^2)), SQRT(('Mall Dataset'!$E$3:$E$157-'Resale flat dataset'!O83)^2+('Mall Dataset'!$F$3:$F$157-'Resale flat dataset'!P83)^2), 0))</f>
        <v>Hillion Mall</v>
      </c>
      <c r="S83" s="38" t="str" cm="1">
        <f t="array" ref="S83">INDEX('Schools dataset'!$B$3:$B$187, MATCH(MIN(SQRT(('Schools dataset'!$J$3:$J$187-'Resale flat dataset'!O83)^2+('Schools dataset'!$K$3:$K$187-'Resale flat dataset'!P83)^2)), SQRT(('Schools dataset'!$J$3:$J$187-'Resale flat dataset'!O83)^2+('Schools dataset'!$K$3:$K$187-'Resale flat dataset'!P83)^2), 0))</f>
        <v>BUKIT PANJANG PRIMARY SCHOOL</v>
      </c>
      <c r="T83" s="39">
        <f>ACOS(COS(RADIANS(90-O83))*COS(RADIANS(90-_xlfn.XLOOKUP(Q83,'MRT station dataset'!$C$3:$C$179,'MRT station dataset'!$E$3:$E$179)))+SIN(RADIANS(90-O83))*SIN(RADIANS(90-_xlfn.XLOOKUP(Q83,'MRT station dataset'!$C$3:$C$179,'MRT station dataset'!$E$3:$E$179)))*COS(RADIANS(P83-_xlfn.XLOOKUP('Resale flat dataset'!Q83,'MRT station dataset'!$C$3:$C$179,'MRT station dataset'!$F$3:$F$179))))*6371*1000</f>
        <v>170.90138852142033</v>
      </c>
      <c r="U83" s="39">
        <f>ACOS(COS(RADIANS(90-O83))*COS(RADIANS(90-_xlfn.XLOOKUP(R83,'Mall Dataset'!$B$3:$B$157,'Mall Dataset'!$E$3:$E$157,,0)))+SIN(RADIANS(90-O83))*SIN(RADIANS(90-_xlfn.XLOOKUP(R83,'Mall Dataset'!$B$3:$B$157,'Mall Dataset'!$E$3:$E$157,,0)))*COS(RADIANS(P83-_xlfn.XLOOKUP(R83,'Mall Dataset'!$B$3:$B$157,'Mall Dataset'!$F$3:$F$157,,0))))*6371*1000</f>
        <v>712.55091133928295</v>
      </c>
      <c r="V83" s="39">
        <f>ACOS(COS(RADIANS(90-O83))*COS(RADIANS(90-_xlfn.XLOOKUP(S83,'Schools dataset'!$B$3:$B$187,'Schools dataset'!$J$3:$J$187,,0)))+SIN(RADIANS(90-O83))*SIN(RADIANS(90-_xlfn.XLOOKUP(S83,'Schools dataset'!$B$3:$B$187,'Schools dataset'!$J$3:$J$187,,0)))*COS(RADIANS(P83-_xlfn.XLOOKUP(S83,'Schools dataset'!$B$3:$B$187,'Schools dataset'!$K$3:$K$187,,0))))*6371*1000</f>
        <v>280.0416861294064</v>
      </c>
      <c r="W83" s="20">
        <f>_xlfn.XLOOKUP(T83,'HDB Recommender'!$P$10:$P$39,'HDB Recommender'!$Q$10:$Q$39,"&gt;30mins",1)</f>
        <v>3</v>
      </c>
      <c r="X83" s="20">
        <f>_xlfn.XLOOKUP(U83,'HDB Recommender'!$P$10:$P$39,'HDB Recommender'!$Q$10:$Q$39,"&gt;30mins",1)</f>
        <v>10</v>
      </c>
      <c r="Y83" s="20">
        <f>_xlfn.XLOOKUP(V83,'HDB Recommender'!$P$10:$P$39,'HDB Recommender'!$Q$10:$Q$39,"&gt;30mins",1)</f>
        <v>4</v>
      </c>
      <c r="Z83" s="39">
        <f t="shared" si="3"/>
        <v>5.666666666666667</v>
      </c>
      <c r="AA83" s="20" t="str">
        <f t="shared" si="2"/>
        <v>Within 1km</v>
      </c>
    </row>
    <row r="84" spans="2:27" hidden="1">
      <c r="B84" s="35" t="s">
        <v>317</v>
      </c>
      <c r="C84" s="35" t="s">
        <v>460</v>
      </c>
      <c r="D84" s="35" t="s">
        <v>20</v>
      </c>
      <c r="E84" s="35">
        <v>458</v>
      </c>
      <c r="F84" s="35" t="s">
        <v>467</v>
      </c>
      <c r="G84" s="35" t="s">
        <v>189</v>
      </c>
      <c r="H84" s="35">
        <v>93</v>
      </c>
      <c r="I84" s="35" t="s">
        <v>389</v>
      </c>
      <c r="J84" s="36">
        <v>2012</v>
      </c>
      <c r="K84" s="39">
        <v>88.1666666666666</v>
      </c>
      <c r="L84" s="37">
        <v>520000</v>
      </c>
      <c r="M84" s="35" t="s">
        <v>468</v>
      </c>
      <c r="N84" s="27">
        <v>670458</v>
      </c>
      <c r="O84" s="38">
        <v>1.3880439418206101</v>
      </c>
      <c r="P84" s="38">
        <v>103.771067583616</v>
      </c>
      <c r="Q84" s="38" t="str" cm="1">
        <f t="array" ref="Q84">INDEX('MRT station dataset'!$C$3:$C$179, MATCH(MIN(SQRT(('MRT station dataset'!$E$3:$E$179-'Resale flat dataset'!O84)^2+('MRT station dataset'!$F$3:$F$179-'Resale flat dataset'!P84)^2)), SQRT(('MRT station dataset'!$E$3:$E$179-'Resale flat dataset'!O84)^2+('MRT station dataset'!$F$3:$F$179-'Resale flat dataset'!P84)^2), 0))</f>
        <v>SEGAR LRT STATION</v>
      </c>
      <c r="R84" s="38" t="str" cm="1">
        <f t="array" ref="R84">INDEX('Mall Dataset'!$B$3:$B$157, MATCH(MIN(SQRT(('Mall Dataset'!$E$3:$E$157-'Resale flat dataset'!O84)^2+('Mall Dataset'!$F$3:$F$157-'Resale flat dataset'!P84)^2)), SQRT(('Mall Dataset'!$E$3:$E$157-'Resale flat dataset'!O84)^2+('Mall Dataset'!$F$3:$F$157-'Resale flat dataset'!P84)^2), 0))</f>
        <v>Fajar Shopping Centre</v>
      </c>
      <c r="S84" s="38" t="str" cm="1">
        <f t="array" ref="S84">INDEX('Schools dataset'!$B$3:$B$187, MATCH(MIN(SQRT(('Schools dataset'!$J$3:$J$187-'Resale flat dataset'!O84)^2+('Schools dataset'!$K$3:$K$187-'Resale flat dataset'!P84)^2)), SQRT(('Schools dataset'!$J$3:$J$187-'Resale flat dataset'!O84)^2+('Schools dataset'!$K$3:$K$187-'Resale flat dataset'!P84)^2), 0))</f>
        <v>GREENRIDGE PRIMARY SCHOOL</v>
      </c>
      <c r="T84" s="39">
        <f>ACOS(COS(RADIANS(90-O84))*COS(RADIANS(90-_xlfn.XLOOKUP(Q84,'MRT station dataset'!$C$3:$C$179,'MRT station dataset'!$E$3:$E$179)))+SIN(RADIANS(90-O84))*SIN(RADIANS(90-_xlfn.XLOOKUP(Q84,'MRT station dataset'!$C$3:$C$179,'MRT station dataset'!$E$3:$E$179)))*COS(RADIANS(P84-_xlfn.XLOOKUP('Resale flat dataset'!Q84,'MRT station dataset'!$C$3:$C$179,'MRT station dataset'!$F$3:$F$179))))*6371*1000</f>
        <v>165.37963245353794</v>
      </c>
      <c r="U84" s="39">
        <f>ACOS(COS(RADIANS(90-O84))*COS(RADIANS(90-_xlfn.XLOOKUP(R84,'Mall Dataset'!$B$3:$B$157,'Mall Dataset'!$E$3:$E$157,,0)))+SIN(RADIANS(90-O84))*SIN(RADIANS(90-_xlfn.XLOOKUP(R84,'Mall Dataset'!$B$3:$B$157,'Mall Dataset'!$E$3:$E$157,,0)))*COS(RADIANS(P84-_xlfn.XLOOKUP(R84,'Mall Dataset'!$B$3:$B$157,'Mall Dataset'!$F$3:$F$157,,0))))*6371*1000</f>
        <v>497.44979195061779</v>
      </c>
      <c r="V84" s="39">
        <f>ACOS(COS(RADIANS(90-O84))*COS(RADIANS(90-_xlfn.XLOOKUP(S84,'Schools dataset'!$B$3:$B$187,'Schools dataset'!$J$3:$J$187,,0)))+SIN(RADIANS(90-O84))*SIN(RADIANS(90-_xlfn.XLOOKUP(S84,'Schools dataset'!$B$3:$B$187,'Schools dataset'!$J$3:$J$187,,0)))*COS(RADIANS(P84-_xlfn.XLOOKUP(S84,'Schools dataset'!$B$3:$B$187,'Schools dataset'!$K$3:$K$187,,0))))*6371*1000</f>
        <v>432.27340741111254</v>
      </c>
      <c r="W84" s="20">
        <f>_xlfn.XLOOKUP(T84,'HDB Recommender'!$P$10:$P$39,'HDB Recommender'!$Q$10:$Q$39,"&gt;30mins",1)</f>
        <v>3</v>
      </c>
      <c r="X84" s="20">
        <f>_xlfn.XLOOKUP(U84,'HDB Recommender'!$P$10:$P$39,'HDB Recommender'!$Q$10:$Q$39,"&gt;30mins",1)</f>
        <v>7</v>
      </c>
      <c r="Y84" s="20">
        <f>_xlfn.XLOOKUP(V84,'HDB Recommender'!$P$10:$P$39,'HDB Recommender'!$Q$10:$Q$39,"&gt;30mins",1)</f>
        <v>6</v>
      </c>
      <c r="Z84" s="39">
        <f t="shared" si="3"/>
        <v>5.333333333333333</v>
      </c>
      <c r="AA84" s="20" t="str">
        <f t="shared" si="2"/>
        <v>Within 1km</v>
      </c>
    </row>
    <row r="85" spans="2:27" hidden="1">
      <c r="B85" s="35" t="s">
        <v>317</v>
      </c>
      <c r="C85" s="35" t="s">
        <v>460</v>
      </c>
      <c r="D85" s="35" t="s">
        <v>20</v>
      </c>
      <c r="E85" s="35"/>
      <c r="F85" s="35" t="s">
        <v>467</v>
      </c>
      <c r="G85" s="35" t="s">
        <v>189</v>
      </c>
      <c r="H85" s="35">
        <v>92</v>
      </c>
      <c r="I85" s="35" t="s">
        <v>335</v>
      </c>
      <c r="J85" s="36">
        <v>2015</v>
      </c>
      <c r="K85" s="39">
        <v>90.8333333333333</v>
      </c>
      <c r="L85" s="37">
        <v>520000</v>
      </c>
      <c r="M85" s="35" t="s">
        <v>469</v>
      </c>
      <c r="N85" s="27">
        <v>671546</v>
      </c>
      <c r="O85" s="38">
        <v>1.3885262872950801</v>
      </c>
      <c r="P85" s="38">
        <v>103.77035294286</v>
      </c>
      <c r="Q85" s="38" t="str" cm="1">
        <f t="array" ref="Q85">INDEX('MRT station dataset'!$C$3:$C$179, MATCH(MIN(SQRT(('MRT station dataset'!$E$3:$E$179-'Resale flat dataset'!O85)^2+('MRT station dataset'!$F$3:$F$179-'Resale flat dataset'!P85)^2)), SQRT(('MRT station dataset'!$E$3:$E$179-'Resale flat dataset'!O85)^2+('MRT station dataset'!$F$3:$F$179-'Resale flat dataset'!P85)^2), 0))</f>
        <v>SEGAR LRT STATION</v>
      </c>
      <c r="R85" s="38" t="str" cm="1">
        <f t="array" ref="R85">INDEX('Mall Dataset'!$B$3:$B$157, MATCH(MIN(SQRT(('Mall Dataset'!$E$3:$E$157-'Resale flat dataset'!O85)^2+('Mall Dataset'!$F$3:$F$157-'Resale flat dataset'!P85)^2)), SQRT(('Mall Dataset'!$E$3:$E$157-'Resale flat dataset'!O85)^2+('Mall Dataset'!$F$3:$F$157-'Resale flat dataset'!P85)^2), 0))</f>
        <v>Fajar Shopping Centre</v>
      </c>
      <c r="S85" s="38" t="str" cm="1">
        <f t="array" ref="S85">INDEX('Schools dataset'!$B$3:$B$187, MATCH(MIN(SQRT(('Schools dataset'!$J$3:$J$187-'Resale flat dataset'!O85)^2+('Schools dataset'!$K$3:$K$187-'Resale flat dataset'!P85)^2)), SQRT(('Schools dataset'!$J$3:$J$187-'Resale flat dataset'!O85)^2+('Schools dataset'!$K$3:$K$187-'Resale flat dataset'!P85)^2), 0))</f>
        <v>GREENRIDGE PRIMARY SCHOOL</v>
      </c>
      <c r="T85" s="39">
        <f>ACOS(COS(RADIANS(90-O85))*COS(RADIANS(90-_xlfn.XLOOKUP(Q85,'MRT station dataset'!$C$3:$C$179,'MRT station dataset'!$E$3:$E$179)))+SIN(RADIANS(90-O85))*SIN(RADIANS(90-_xlfn.XLOOKUP(Q85,'MRT station dataset'!$C$3:$C$179,'MRT station dataset'!$E$3:$E$179)))*COS(RADIANS(P85-_xlfn.XLOOKUP('Resale flat dataset'!Q85,'MRT station dataset'!$C$3:$C$179,'MRT station dataset'!$F$3:$F$179))))*6371*1000</f>
        <v>116.308177805309</v>
      </c>
      <c r="U85" s="39">
        <f>ACOS(COS(RADIANS(90-O85))*COS(RADIANS(90-_xlfn.XLOOKUP(R85,'Mall Dataset'!$B$3:$B$157,'Mall Dataset'!$E$3:$E$157,,0)))+SIN(RADIANS(90-O85))*SIN(RADIANS(90-_xlfn.XLOOKUP(R85,'Mall Dataset'!$B$3:$B$157,'Mall Dataset'!$E$3:$E$157,,0)))*COS(RADIANS(P85-_xlfn.XLOOKUP(R85,'Mall Dataset'!$B$3:$B$157,'Mall Dataset'!$F$3:$F$157,,0))))*6371*1000</f>
        <v>553.56565490608386</v>
      </c>
      <c r="V85" s="39">
        <f>ACOS(COS(RADIANS(90-O85))*COS(RADIANS(90-_xlfn.XLOOKUP(S85,'Schools dataset'!$B$3:$B$187,'Schools dataset'!$J$3:$J$187,,0)))+SIN(RADIANS(90-O85))*SIN(RADIANS(90-_xlfn.XLOOKUP(S85,'Schools dataset'!$B$3:$B$187,'Schools dataset'!$J$3:$J$187,,0)))*COS(RADIANS(P85-_xlfn.XLOOKUP(S85,'Schools dataset'!$B$3:$B$187,'Schools dataset'!$K$3:$K$187,,0))))*6371*1000</f>
        <v>404.4725584522937</v>
      </c>
      <c r="W85" s="20">
        <f>_xlfn.XLOOKUP(T85,'HDB Recommender'!$P$10:$P$39,'HDB Recommender'!$Q$10:$Q$39,"&gt;30mins",1)</f>
        <v>2</v>
      </c>
      <c r="X85" s="20">
        <f>_xlfn.XLOOKUP(U85,'HDB Recommender'!$P$10:$P$39,'HDB Recommender'!$Q$10:$Q$39,"&gt;30mins",1)</f>
        <v>8</v>
      </c>
      <c r="Y85" s="20">
        <f>_xlfn.XLOOKUP(V85,'HDB Recommender'!$P$10:$P$39,'HDB Recommender'!$Q$10:$Q$39,"&gt;30mins",1)</f>
        <v>6</v>
      </c>
      <c r="Z85" s="39">
        <f t="shared" si="3"/>
        <v>5.333333333333333</v>
      </c>
      <c r="AA85" s="20" t="str">
        <f t="shared" si="2"/>
        <v>Within 1km</v>
      </c>
    </row>
    <row r="86" spans="2:27" hidden="1">
      <c r="B86" s="35" t="s">
        <v>317</v>
      </c>
      <c r="C86" s="35" t="s">
        <v>460</v>
      </c>
      <c r="D86" s="35" t="s">
        <v>20</v>
      </c>
      <c r="E86" s="35"/>
      <c r="F86" s="35" t="s">
        <v>470</v>
      </c>
      <c r="G86" s="35" t="s">
        <v>184</v>
      </c>
      <c r="H86" s="35">
        <v>92</v>
      </c>
      <c r="I86" s="35" t="s">
        <v>335</v>
      </c>
      <c r="J86" s="36">
        <v>2015</v>
      </c>
      <c r="K86" s="39">
        <v>91.1666666666666</v>
      </c>
      <c r="L86" s="37">
        <v>560000</v>
      </c>
      <c r="M86" s="35" t="s">
        <v>471</v>
      </c>
      <c r="N86" s="27">
        <v>672636</v>
      </c>
      <c r="O86" s="38">
        <v>1.3876247075997601</v>
      </c>
      <c r="P86" s="38">
        <v>103.758331445094</v>
      </c>
      <c r="Q86" s="38" t="str" cm="1">
        <f t="array" ref="Q86">INDEX('MRT station dataset'!$C$3:$C$179, MATCH(MIN(SQRT(('MRT station dataset'!$E$3:$E$179-'Resale flat dataset'!O86)^2+('MRT station dataset'!$F$3:$F$179-'Resale flat dataset'!P86)^2)), SQRT(('MRT station dataset'!$E$3:$E$179-'Resale flat dataset'!O86)^2+('MRT station dataset'!$F$3:$F$179-'Resale flat dataset'!P86)^2), 0))</f>
        <v>JELAPANG LRT STATION</v>
      </c>
      <c r="R86" s="38" t="str" cm="1">
        <f t="array" ref="R86">INDEX('Mall Dataset'!$B$3:$B$157, MATCH(MIN(SQRT(('Mall Dataset'!$E$3:$E$157-'Resale flat dataset'!O86)^2+('Mall Dataset'!$F$3:$F$157-'Resale flat dataset'!P86)^2)), SQRT(('Mall Dataset'!$E$3:$E$157-'Resale flat dataset'!O86)^2+('Mall Dataset'!$F$3:$F$157-'Resale flat dataset'!P86)^2), 0))</f>
        <v>Junction 10</v>
      </c>
      <c r="S86" s="38" t="str" cm="1">
        <f t="array" ref="S86">INDEX('Schools dataset'!$B$3:$B$187, MATCH(MIN(SQRT(('Schools dataset'!$J$3:$J$187-'Resale flat dataset'!O86)^2+('Schools dataset'!$K$3:$K$187-'Resale flat dataset'!P86)^2)), SQRT(('Schools dataset'!$J$3:$J$187-'Resale flat dataset'!O86)^2+('Schools dataset'!$K$3:$K$187-'Resale flat dataset'!P86)^2), 0))</f>
        <v>WEST VIEW PRIMARY SCHOOL</v>
      </c>
      <c r="T86" s="39">
        <f>ACOS(COS(RADIANS(90-O86))*COS(RADIANS(90-_xlfn.XLOOKUP(Q86,'MRT station dataset'!$C$3:$C$179,'MRT station dataset'!$E$3:$E$179)))+SIN(RADIANS(90-O86))*SIN(RADIANS(90-_xlfn.XLOOKUP(Q86,'MRT station dataset'!$C$3:$C$179,'MRT station dataset'!$E$3:$E$179)))*COS(RADIANS(P86-_xlfn.XLOOKUP('Resale flat dataset'!Q86,'MRT station dataset'!$C$3:$C$179,'MRT station dataset'!$F$3:$F$179))))*6371*1000</f>
        <v>693.3773068291182</v>
      </c>
      <c r="U86" s="39">
        <f>ACOS(COS(RADIANS(90-O86))*COS(RADIANS(90-_xlfn.XLOOKUP(R86,'Mall Dataset'!$B$3:$B$157,'Mall Dataset'!$E$3:$E$157,,0)))+SIN(RADIANS(90-O86))*SIN(RADIANS(90-_xlfn.XLOOKUP(R86,'Mall Dataset'!$B$3:$B$157,'Mall Dataset'!$E$3:$E$157,,0)))*COS(RADIANS(P86-_xlfn.XLOOKUP(R86,'Mall Dataset'!$B$3:$B$157,'Mall Dataset'!$F$3:$F$157,,0))))*6371*1000</f>
        <v>810.91562662299225</v>
      </c>
      <c r="V86" s="39">
        <f>ACOS(COS(RADIANS(90-O86))*COS(RADIANS(90-_xlfn.XLOOKUP(S86,'Schools dataset'!$B$3:$B$187,'Schools dataset'!$J$3:$J$187,,0)))+SIN(RADIANS(90-O86))*SIN(RADIANS(90-_xlfn.XLOOKUP(S86,'Schools dataset'!$B$3:$B$187,'Schools dataset'!$J$3:$J$187,,0)))*COS(RADIANS(P86-_xlfn.XLOOKUP(S86,'Schools dataset'!$B$3:$B$187,'Schools dataset'!$K$3:$K$187,,0))))*6371*1000</f>
        <v>487.68605392612699</v>
      </c>
      <c r="W86" s="20">
        <f>_xlfn.XLOOKUP(T86,'HDB Recommender'!$P$10:$P$39,'HDB Recommender'!$Q$10:$Q$39,"&gt;30mins",1)</f>
        <v>10</v>
      </c>
      <c r="X86" s="20">
        <f>_xlfn.XLOOKUP(U86,'HDB Recommender'!$P$10:$P$39,'HDB Recommender'!$Q$10:$Q$39,"&gt;30mins",1)</f>
        <v>11</v>
      </c>
      <c r="Y86" s="20">
        <f>_xlfn.XLOOKUP(V86,'HDB Recommender'!$P$10:$P$39,'HDB Recommender'!$Q$10:$Q$39,"&gt;30mins",1)</f>
        <v>7</v>
      </c>
      <c r="Z86" s="39">
        <f t="shared" si="3"/>
        <v>9.3333333333333339</v>
      </c>
      <c r="AA86" s="20" t="str">
        <f t="shared" si="2"/>
        <v>Within 1km</v>
      </c>
    </row>
    <row r="87" spans="2:27" hidden="1">
      <c r="B87" s="35" t="s">
        <v>317</v>
      </c>
      <c r="C87" s="35" t="s">
        <v>460</v>
      </c>
      <c r="D87" s="35" t="s">
        <v>383</v>
      </c>
      <c r="E87" s="35">
        <v>239</v>
      </c>
      <c r="F87" s="35" t="s">
        <v>463</v>
      </c>
      <c r="G87" s="35" t="s">
        <v>184</v>
      </c>
      <c r="H87" s="35">
        <v>150</v>
      </c>
      <c r="I87" s="35" t="s">
        <v>392</v>
      </c>
      <c r="J87" s="36">
        <v>1989</v>
      </c>
      <c r="K87" s="39">
        <v>64.4166666666666</v>
      </c>
      <c r="L87" s="37">
        <v>850888</v>
      </c>
      <c r="M87" s="35" t="s">
        <v>472</v>
      </c>
      <c r="N87" s="27">
        <v>670239</v>
      </c>
      <c r="O87" s="38">
        <v>1.38014939686036</v>
      </c>
      <c r="P87" s="38">
        <v>103.771126294353</v>
      </c>
      <c r="Q87" s="38" t="str" cm="1">
        <f t="array" ref="Q87">INDEX('MRT station dataset'!$C$3:$C$179, MATCH(MIN(SQRT(('MRT station dataset'!$E$3:$E$179-'Resale flat dataset'!O87)^2+('MRT station dataset'!$F$3:$F$179-'Resale flat dataset'!P87)^2)), SQRT(('MRT station dataset'!$E$3:$E$179-'Resale flat dataset'!O87)^2+('MRT station dataset'!$F$3:$F$179-'Resale flat dataset'!P87)^2), 0))</f>
        <v>BANGKIT LRT STATION</v>
      </c>
      <c r="R87" s="38" t="str" cm="1">
        <f t="array" ref="R87">INDEX('Mall Dataset'!$B$3:$B$157, MATCH(MIN(SQRT(('Mall Dataset'!$E$3:$E$157-'Resale flat dataset'!O87)^2+('Mall Dataset'!$F$3:$F$157-'Resale flat dataset'!P87)^2)), SQRT(('Mall Dataset'!$E$3:$E$157-'Resale flat dataset'!O87)^2+('Mall Dataset'!$F$3:$F$157-'Resale flat dataset'!P87)^2), 0))</f>
        <v>Fajar Shopping Centre</v>
      </c>
      <c r="S87" s="38" t="str" cm="1">
        <f t="array" ref="S87">INDEX('Schools dataset'!$B$3:$B$187, MATCH(MIN(SQRT(('Schools dataset'!$J$3:$J$187-'Resale flat dataset'!O87)^2+('Schools dataset'!$K$3:$K$187-'Resale flat dataset'!P87)^2)), SQRT(('Schools dataset'!$J$3:$J$187-'Resale flat dataset'!O87)^2+('Schools dataset'!$K$3:$K$187-'Resale flat dataset'!P87)^2), 0))</f>
        <v>ZHENGHUA PRIMARY SCHOOL</v>
      </c>
      <c r="T87" s="39">
        <f>ACOS(COS(RADIANS(90-O87))*COS(RADIANS(90-_xlfn.XLOOKUP(Q87,'MRT station dataset'!$C$3:$C$179,'MRT station dataset'!$E$3:$E$179)))+SIN(RADIANS(90-O87))*SIN(RADIANS(90-_xlfn.XLOOKUP(Q87,'MRT station dataset'!$C$3:$C$179,'MRT station dataset'!$E$3:$E$179)))*COS(RADIANS(P87-_xlfn.XLOOKUP('Resale flat dataset'!Q87,'MRT station dataset'!$C$3:$C$179,'MRT station dataset'!$F$3:$F$179))))*6371*1000</f>
        <v>164.66116241950002</v>
      </c>
      <c r="U87" s="39">
        <f>ACOS(COS(RADIANS(90-O87))*COS(RADIANS(90-_xlfn.XLOOKUP(R87,'Mall Dataset'!$B$3:$B$157,'Mall Dataset'!$E$3:$E$157,,0)))+SIN(RADIANS(90-O87))*SIN(RADIANS(90-_xlfn.XLOOKUP(R87,'Mall Dataset'!$B$3:$B$157,'Mall Dataset'!$E$3:$E$157,,0)))*COS(RADIANS(P87-_xlfn.XLOOKUP(R87,'Mall Dataset'!$B$3:$B$157,'Mall Dataset'!$F$3:$F$157,,0))))*6371*1000</f>
        <v>381.95317386342055</v>
      </c>
      <c r="V87" s="39">
        <f>ACOS(COS(RADIANS(90-O87))*COS(RADIANS(90-_xlfn.XLOOKUP(S87,'Schools dataset'!$B$3:$B$187,'Schools dataset'!$J$3:$J$187,,0)))+SIN(RADIANS(90-O87))*SIN(RADIANS(90-_xlfn.XLOOKUP(S87,'Schools dataset'!$B$3:$B$187,'Schools dataset'!$J$3:$J$187,,0)))*COS(RADIANS(P87-_xlfn.XLOOKUP(S87,'Schools dataset'!$B$3:$B$187,'Schools dataset'!$K$3:$K$187,,0))))*6371*1000</f>
        <v>212.28812685617049</v>
      </c>
      <c r="W87" s="20">
        <f>_xlfn.XLOOKUP(T87,'HDB Recommender'!$P$10:$P$39,'HDB Recommender'!$Q$10:$Q$39,"&gt;30mins",1)</f>
        <v>3</v>
      </c>
      <c r="X87" s="20">
        <f>_xlfn.XLOOKUP(U87,'HDB Recommender'!$P$10:$P$39,'HDB Recommender'!$Q$10:$Q$39,"&gt;30mins",1)</f>
        <v>6</v>
      </c>
      <c r="Y87" s="20">
        <f>_xlfn.XLOOKUP(V87,'HDB Recommender'!$P$10:$P$39,'HDB Recommender'!$Q$10:$Q$39,"&gt;30mins",1)</f>
        <v>3</v>
      </c>
      <c r="Z87" s="39">
        <f t="shared" si="3"/>
        <v>4</v>
      </c>
      <c r="AA87" s="20" t="str">
        <f t="shared" si="2"/>
        <v>Within 1km</v>
      </c>
    </row>
    <row r="88" spans="2:27" hidden="1">
      <c r="B88" s="35" t="s">
        <v>317</v>
      </c>
      <c r="C88" s="35" t="s">
        <v>460</v>
      </c>
      <c r="D88" s="35" t="s">
        <v>383</v>
      </c>
      <c r="E88" s="35">
        <v>452</v>
      </c>
      <c r="F88" s="35" t="s">
        <v>473</v>
      </c>
      <c r="G88" s="35" t="s">
        <v>191</v>
      </c>
      <c r="H88" s="35">
        <v>142</v>
      </c>
      <c r="I88" s="35" t="s">
        <v>384</v>
      </c>
      <c r="J88" s="36">
        <v>1997</v>
      </c>
      <c r="K88" s="39">
        <v>72.6666666666666</v>
      </c>
      <c r="L88" s="37">
        <v>745000</v>
      </c>
      <c r="M88" s="35" t="s">
        <v>474</v>
      </c>
      <c r="N88" s="27">
        <v>670452</v>
      </c>
      <c r="O88" s="38">
        <v>1.3855205396452599</v>
      </c>
      <c r="P88" s="38">
        <v>103.77211872923699</v>
      </c>
      <c r="Q88" s="38" t="str" cm="1">
        <f t="array" ref="Q88">INDEX('MRT station dataset'!$C$3:$C$179, MATCH(MIN(SQRT(('MRT station dataset'!$E$3:$E$179-'Resale flat dataset'!O88)^2+('MRT station dataset'!$F$3:$F$179-'Resale flat dataset'!P88)^2)), SQRT(('MRT station dataset'!$E$3:$E$179-'Resale flat dataset'!O88)^2+('MRT station dataset'!$F$3:$F$179-'Resale flat dataset'!P88)^2), 0))</f>
        <v>FAJAR LRT STATION</v>
      </c>
      <c r="R88" s="38" t="str" cm="1">
        <f t="array" ref="R88">INDEX('Mall Dataset'!$B$3:$B$157, MATCH(MIN(SQRT(('Mall Dataset'!$E$3:$E$157-'Resale flat dataset'!O88)^2+('Mall Dataset'!$F$3:$F$157-'Resale flat dataset'!P88)^2)), SQRT(('Mall Dataset'!$E$3:$E$157-'Resale flat dataset'!O88)^2+('Mall Dataset'!$F$3:$F$157-'Resale flat dataset'!P88)^2), 0))</f>
        <v>Fajar Shopping Centre</v>
      </c>
      <c r="S88" s="38" t="str" cm="1">
        <f t="array" ref="S88">INDEX('Schools dataset'!$B$3:$B$187, MATCH(MIN(SQRT(('Schools dataset'!$J$3:$J$187-'Resale flat dataset'!O88)^2+('Schools dataset'!$K$3:$K$187-'Resale flat dataset'!P88)^2)), SQRT(('Schools dataset'!$J$3:$J$187-'Resale flat dataset'!O88)^2+('Schools dataset'!$K$3:$K$187-'Resale flat dataset'!P88)^2), 0))</f>
        <v>BEACON PRIMARY SCHOOL</v>
      </c>
      <c r="T88" s="39">
        <f>ACOS(COS(RADIANS(90-O88))*COS(RADIANS(90-_xlfn.XLOOKUP(Q88,'MRT station dataset'!$C$3:$C$179,'MRT station dataset'!$E$3:$E$179)))+SIN(RADIANS(90-O88))*SIN(RADIANS(90-_xlfn.XLOOKUP(Q88,'MRT station dataset'!$C$3:$C$179,'MRT station dataset'!$E$3:$E$179)))*COS(RADIANS(P88-_xlfn.XLOOKUP('Resale flat dataset'!Q88,'MRT station dataset'!$C$3:$C$179,'MRT station dataset'!$F$3:$F$179))))*6371*1000</f>
        <v>185.3834066352149</v>
      </c>
      <c r="U88" s="39">
        <f>ACOS(COS(RADIANS(90-O88))*COS(RADIANS(90-_xlfn.XLOOKUP(R88,'Mall Dataset'!$B$3:$B$157,'Mall Dataset'!$E$3:$E$157,,0)))+SIN(RADIANS(90-O88))*SIN(RADIANS(90-_xlfn.XLOOKUP(R88,'Mall Dataset'!$B$3:$B$157,'Mall Dataset'!$E$3:$E$157,,0)))*COS(RADIANS(P88-_xlfn.XLOOKUP(R88,'Mall Dataset'!$B$3:$B$157,'Mall Dataset'!$F$3:$F$157,,0))))*6371*1000</f>
        <v>257.15988630836881</v>
      </c>
      <c r="V88" s="39">
        <f>ACOS(COS(RADIANS(90-O88))*COS(RADIANS(90-_xlfn.XLOOKUP(S88,'Schools dataset'!$B$3:$B$187,'Schools dataset'!$J$3:$J$187,,0)))+SIN(RADIANS(90-O88))*SIN(RADIANS(90-_xlfn.XLOOKUP(S88,'Schools dataset'!$B$3:$B$187,'Schools dataset'!$J$3:$J$187,,0)))*COS(RADIANS(P88-_xlfn.XLOOKUP(S88,'Schools dataset'!$B$3:$B$187,'Schools dataset'!$K$3:$K$187,,0))))*6371*1000</f>
        <v>242.5303493508948</v>
      </c>
      <c r="W88" s="20">
        <f>_xlfn.XLOOKUP(T88,'HDB Recommender'!$P$10:$P$39,'HDB Recommender'!$Q$10:$Q$39,"&gt;30mins",1)</f>
        <v>3</v>
      </c>
      <c r="X88" s="20">
        <f>_xlfn.XLOOKUP(U88,'HDB Recommender'!$P$10:$P$39,'HDB Recommender'!$Q$10:$Q$39,"&gt;30mins",1)</f>
        <v>4</v>
      </c>
      <c r="Y88" s="20">
        <f>_xlfn.XLOOKUP(V88,'HDB Recommender'!$P$10:$P$39,'HDB Recommender'!$Q$10:$Q$39,"&gt;30mins",1)</f>
        <v>4</v>
      </c>
      <c r="Z88" s="39">
        <f t="shared" si="3"/>
        <v>3.6666666666666665</v>
      </c>
      <c r="AA88" s="20" t="str">
        <f t="shared" si="2"/>
        <v>Within 1km</v>
      </c>
    </row>
    <row r="89" spans="2:27" hidden="1">
      <c r="B89" s="35" t="s">
        <v>317</v>
      </c>
      <c r="C89" s="35" t="s">
        <v>475</v>
      </c>
      <c r="D89" s="35" t="s">
        <v>318</v>
      </c>
      <c r="E89" s="35">
        <v>8</v>
      </c>
      <c r="F89" s="35" t="s">
        <v>476</v>
      </c>
      <c r="G89" s="35" t="s">
        <v>323</v>
      </c>
      <c r="H89" s="35">
        <v>65</v>
      </c>
      <c r="I89" s="35" t="s">
        <v>326</v>
      </c>
      <c r="J89" s="36">
        <v>1976</v>
      </c>
      <c r="K89" s="39">
        <v>51.5833333333333</v>
      </c>
      <c r="L89" s="37">
        <v>448168</v>
      </c>
      <c r="M89" s="35" t="s">
        <v>477</v>
      </c>
      <c r="N89" s="27">
        <v>260008</v>
      </c>
      <c r="O89" s="38">
        <v>1.3164119009817401</v>
      </c>
      <c r="P89" s="38">
        <v>103.805373811937</v>
      </c>
      <c r="Q89" s="38" t="str" cm="1">
        <f t="array" ref="Q89">INDEX('MRT station dataset'!$C$3:$C$179, MATCH(MIN(SQRT(('MRT station dataset'!$E$3:$E$179-'Resale flat dataset'!O89)^2+('MRT station dataset'!$F$3:$F$179-'Resale flat dataset'!P89)^2)), SQRT(('MRT station dataset'!$E$3:$E$179-'Resale flat dataset'!O89)^2+('MRT station dataset'!$F$3:$F$179-'Resale flat dataset'!P89)^2), 0))</f>
        <v>FARRER ROAD MRT STATION</v>
      </c>
      <c r="R89" s="38" t="str" cm="1">
        <f t="array" ref="R89">INDEX('Mall Dataset'!$B$3:$B$157, MATCH(MIN(SQRT(('Mall Dataset'!$E$3:$E$157-'Resale flat dataset'!O89)^2+('Mall Dataset'!$F$3:$F$157-'Resale flat dataset'!P89)^2)), SQRT(('Mall Dataset'!$E$3:$E$157-'Resale flat dataset'!O89)^2+('Mall Dataset'!$F$3:$F$157-'Resale flat dataset'!P89)^2), 0))</f>
        <v>The Star Vista</v>
      </c>
      <c r="S89" s="38" t="str" cm="1">
        <f t="array" ref="S89">INDEX('Schools dataset'!$B$3:$B$187, MATCH(MIN(SQRT(('Schools dataset'!$J$3:$J$187-'Resale flat dataset'!O89)^2+('Schools dataset'!$K$3:$K$187-'Resale flat dataset'!P89)^2)), SQRT(('Schools dataset'!$J$3:$J$187-'Resale flat dataset'!O89)^2+('Schools dataset'!$K$3:$K$187-'Resale flat dataset'!P89)^2), 0))</f>
        <v>NANYANG PRIMARY SCHOOL</v>
      </c>
      <c r="T89" s="39">
        <f>ACOS(COS(RADIANS(90-O89))*COS(RADIANS(90-_xlfn.XLOOKUP(Q89,'MRT station dataset'!$C$3:$C$179,'MRT station dataset'!$E$3:$E$179)))+SIN(RADIANS(90-O89))*SIN(RADIANS(90-_xlfn.XLOOKUP(Q89,'MRT station dataset'!$C$3:$C$179,'MRT station dataset'!$E$3:$E$179)))*COS(RADIANS(P89-_xlfn.XLOOKUP('Resale flat dataset'!Q89,'MRT station dataset'!$C$3:$C$179,'MRT station dataset'!$F$3:$F$179))))*6371*1000</f>
        <v>275.46857021512142</v>
      </c>
      <c r="U89" s="39">
        <f>ACOS(COS(RADIANS(90-O89))*COS(RADIANS(90-_xlfn.XLOOKUP(R89,'Mall Dataset'!$B$3:$B$157,'Mall Dataset'!$E$3:$E$157,,0)))+SIN(RADIANS(90-O89))*SIN(RADIANS(90-_xlfn.XLOOKUP(R89,'Mall Dataset'!$B$3:$B$157,'Mall Dataset'!$E$3:$E$157,,0)))*COS(RADIANS(P89-_xlfn.XLOOKUP(R89,'Mall Dataset'!$B$3:$B$157,'Mall Dataset'!$F$3:$F$157,,0))))*6371*1000</f>
        <v>2161.6909915565675</v>
      </c>
      <c r="V89" s="39">
        <f>ACOS(COS(RADIANS(90-O89))*COS(RADIANS(90-_xlfn.XLOOKUP(S89,'Schools dataset'!$B$3:$B$187,'Schools dataset'!$J$3:$J$187,,0)))+SIN(RADIANS(90-O89))*SIN(RADIANS(90-_xlfn.XLOOKUP(S89,'Schools dataset'!$B$3:$B$187,'Schools dataset'!$J$3:$J$187,,0)))*COS(RADIANS(P89-_xlfn.XLOOKUP(S89,'Schools dataset'!$B$3:$B$187,'Schools dataset'!$K$3:$K$187,,0))))*6371*1000</f>
        <v>578.11629795534998</v>
      </c>
      <c r="W89" s="20">
        <f>_xlfn.XLOOKUP(T89,'HDB Recommender'!$P$10:$P$39,'HDB Recommender'!$Q$10:$Q$39,"&gt;30mins",1)</f>
        <v>4</v>
      </c>
      <c r="X89" s="20">
        <f>_xlfn.XLOOKUP(U89,'HDB Recommender'!$P$10:$P$39,'HDB Recommender'!$Q$10:$Q$39,"&gt;30mins",1)</f>
        <v>29</v>
      </c>
      <c r="Y89" s="20">
        <f>_xlfn.XLOOKUP(V89,'HDB Recommender'!$P$10:$P$39,'HDB Recommender'!$Q$10:$Q$39,"&gt;30mins",1)</f>
        <v>8</v>
      </c>
      <c r="Z89" s="39">
        <f t="shared" si="3"/>
        <v>13.666666666666666</v>
      </c>
      <c r="AA89" s="20" t="str">
        <f t="shared" si="2"/>
        <v>Within 1km</v>
      </c>
    </row>
    <row r="90" spans="2:27" hidden="1">
      <c r="B90" s="35" t="s">
        <v>317</v>
      </c>
      <c r="C90" s="35" t="s">
        <v>478</v>
      </c>
      <c r="D90" s="35" t="s">
        <v>318</v>
      </c>
      <c r="E90" s="35">
        <v>3</v>
      </c>
      <c r="F90" s="35" t="s">
        <v>479</v>
      </c>
      <c r="G90" s="35" t="s">
        <v>184</v>
      </c>
      <c r="H90" s="35">
        <v>59</v>
      </c>
      <c r="I90" s="35" t="s">
        <v>326</v>
      </c>
      <c r="J90" s="36">
        <v>1977</v>
      </c>
      <c r="K90" s="39">
        <v>52.4166666666666</v>
      </c>
      <c r="L90" s="37">
        <v>495000</v>
      </c>
      <c r="M90" s="35" t="s">
        <v>480</v>
      </c>
      <c r="N90" s="27" t="s">
        <v>481</v>
      </c>
      <c r="O90" s="38">
        <v>1.2756191858993</v>
      </c>
      <c r="P90" s="38">
        <v>103.842431306625</v>
      </c>
      <c r="Q90" s="38" t="str" cm="1">
        <f t="array" ref="Q90">INDEX('MRT station dataset'!$C$3:$C$179, MATCH(MIN(SQRT(('MRT station dataset'!$E$3:$E$179-'Resale flat dataset'!O90)^2+('MRT station dataset'!$F$3:$F$179-'Resale flat dataset'!P90)^2)), SQRT(('MRT station dataset'!$E$3:$E$179-'Resale flat dataset'!O90)^2+('MRT station dataset'!$F$3:$F$179-'Resale flat dataset'!P90)^2), 0))</f>
        <v>TANJONG PAGAR MRT STATION</v>
      </c>
      <c r="R90" s="38" t="str" cm="1">
        <f t="array" ref="R90">INDEX('Mall Dataset'!$B$3:$B$157, MATCH(MIN(SQRT(('Mall Dataset'!$E$3:$E$157-'Resale flat dataset'!O90)^2+('Mall Dataset'!$F$3:$F$157-'Resale flat dataset'!P90)^2)), SQRT(('Mall Dataset'!$E$3:$E$157-'Resale flat dataset'!O90)^2+('Mall Dataset'!$F$3:$F$157-'Resale flat dataset'!P90)^2), 0))</f>
        <v>Tanjong Pagar Plaza</v>
      </c>
      <c r="S90" s="38" t="str" cm="1">
        <f t="array" ref="S90">INDEX('Schools dataset'!$B$3:$B$187, MATCH(MIN(SQRT(('Schools dataset'!$J$3:$J$187-'Resale flat dataset'!O90)^2+('Schools dataset'!$K$3:$K$187-'Resale flat dataset'!P90)^2)), SQRT(('Schools dataset'!$J$3:$J$187-'Resale flat dataset'!O90)^2+('Schools dataset'!$K$3:$K$187-'Resale flat dataset'!P90)^2), 0))</f>
        <v>ZHANGDE PRIMARY SCHOOL</v>
      </c>
      <c r="T90" s="39">
        <f>ACOS(COS(RADIANS(90-O90))*COS(RADIANS(90-_xlfn.XLOOKUP(Q90,'MRT station dataset'!$C$3:$C$179,'MRT station dataset'!$E$3:$E$179)))+SIN(RADIANS(90-O90))*SIN(RADIANS(90-_xlfn.XLOOKUP(Q90,'MRT station dataset'!$C$3:$C$179,'MRT station dataset'!$E$3:$E$179)))*COS(RADIANS(P90-_xlfn.XLOOKUP('Resale flat dataset'!Q90,'MRT station dataset'!$C$3:$C$179,'MRT station dataset'!$F$3:$F$179))))*6371*1000</f>
        <v>397.84949332528407</v>
      </c>
      <c r="U90" s="39">
        <f>ACOS(COS(RADIANS(90-O90))*COS(RADIANS(90-_xlfn.XLOOKUP(R90,'Mall Dataset'!$B$3:$B$157,'Mall Dataset'!$E$3:$E$157,,0)))+SIN(RADIANS(90-O90))*SIN(RADIANS(90-_xlfn.XLOOKUP(R90,'Mall Dataset'!$B$3:$B$157,'Mall Dataset'!$E$3:$E$157,,0)))*COS(RADIANS(P90-_xlfn.XLOOKUP(R90,'Mall Dataset'!$B$3:$B$157,'Mall Dataset'!$F$3:$F$157,,0))))*6371*1000</f>
        <v>4.9503091487224093</v>
      </c>
      <c r="V90" s="39">
        <f>ACOS(COS(RADIANS(90-O90))*COS(RADIANS(90-_xlfn.XLOOKUP(S90,'Schools dataset'!$B$3:$B$187,'Schools dataset'!$J$3:$J$187,,0)))+SIN(RADIANS(90-O90))*SIN(RADIANS(90-_xlfn.XLOOKUP(S90,'Schools dataset'!$B$3:$B$187,'Schools dataset'!$J$3:$J$187,,0)))*COS(RADIANS(P90-_xlfn.XLOOKUP(S90,'Schools dataset'!$B$3:$B$187,'Schools dataset'!$K$3:$K$187,,0))))*6371*1000</f>
        <v>2066.145290840961</v>
      </c>
      <c r="W90" s="20">
        <f>_xlfn.XLOOKUP(T90,'HDB Recommender'!$P$10:$P$39,'HDB Recommender'!$Q$10:$Q$39,"&gt;30mins",1)</f>
        <v>6</v>
      </c>
      <c r="X90" s="20">
        <f>_xlfn.XLOOKUP(U90,'HDB Recommender'!$P$10:$P$39,'HDB Recommender'!$Q$10:$Q$39,"&gt;30mins",1)</f>
        <v>2</v>
      </c>
      <c r="Y90" s="20">
        <f>_xlfn.XLOOKUP(V90,'HDB Recommender'!$P$10:$P$39,'HDB Recommender'!$Q$10:$Q$39,"&gt;30mins",1)</f>
        <v>28</v>
      </c>
      <c r="Z90" s="39">
        <f t="shared" si="3"/>
        <v>12</v>
      </c>
      <c r="AA90" s="20" t="str">
        <f t="shared" si="2"/>
        <v>more than 2km</v>
      </c>
    </row>
    <row r="91" spans="2:27" hidden="1">
      <c r="B91" s="35" t="s">
        <v>317</v>
      </c>
      <c r="C91" s="35" t="s">
        <v>482</v>
      </c>
      <c r="D91" s="35" t="s">
        <v>318</v>
      </c>
      <c r="E91" s="35"/>
      <c r="F91" s="35" t="s">
        <v>483</v>
      </c>
      <c r="G91" s="35" t="s">
        <v>184</v>
      </c>
      <c r="H91" s="35">
        <v>67</v>
      </c>
      <c r="I91" s="35" t="s">
        <v>335</v>
      </c>
      <c r="J91" s="36">
        <v>2017</v>
      </c>
      <c r="K91" s="39">
        <v>93</v>
      </c>
      <c r="L91" s="37">
        <v>465000</v>
      </c>
      <c r="M91" s="35" t="s">
        <v>484</v>
      </c>
      <c r="N91" s="27">
        <v>681818</v>
      </c>
      <c r="O91" s="38">
        <v>1.3776293626312299</v>
      </c>
      <c r="P91" s="38">
        <v>103.748488766609</v>
      </c>
      <c r="Q91" s="38" t="str" cm="1">
        <f t="array" ref="Q91">INDEX('MRT station dataset'!$C$3:$C$179, MATCH(MIN(SQRT(('MRT station dataset'!$E$3:$E$179-'Resale flat dataset'!O91)^2+('MRT station dataset'!$F$3:$F$179-'Resale flat dataset'!P91)^2)), SQRT(('MRT station dataset'!$E$3:$E$179-'Resale flat dataset'!O91)^2+('MRT station dataset'!$F$3:$F$179-'Resale flat dataset'!P91)^2), 0))</f>
        <v>KEAT HONG LRT STATION</v>
      </c>
      <c r="R91" s="38" t="str" cm="1">
        <f t="array" ref="R91">INDEX('Mall Dataset'!$B$3:$B$157, MATCH(MIN(SQRT(('Mall Dataset'!$E$3:$E$157-'Resale flat dataset'!O91)^2+('Mall Dataset'!$F$3:$F$157-'Resale flat dataset'!P91)^2)), SQRT(('Mall Dataset'!$E$3:$E$157-'Resale flat dataset'!O91)^2+('Mall Dataset'!$F$3:$F$157-'Resale flat dataset'!P91)^2), 0))</f>
        <v>Keat Hong Shopping Centre</v>
      </c>
      <c r="S91" s="38" t="str" cm="1">
        <f t="array" ref="S91">INDEX('Schools dataset'!$B$3:$B$187, MATCH(MIN(SQRT(('Schools dataset'!$J$3:$J$187-'Resale flat dataset'!O91)^2+('Schools dataset'!$K$3:$K$187-'Resale flat dataset'!P91)^2)), SQRT(('Schools dataset'!$J$3:$J$187-'Resale flat dataset'!O91)^2+('Schools dataset'!$K$3:$K$187-'Resale flat dataset'!P91)^2), 0))</f>
        <v>SOUTH VIEW PRIMARY SCHOOL</v>
      </c>
      <c r="T91" s="39">
        <f>ACOS(COS(RADIANS(90-O91))*COS(RADIANS(90-_xlfn.XLOOKUP(Q91,'MRT station dataset'!$C$3:$C$179,'MRT station dataset'!$E$3:$E$179)))+SIN(RADIANS(90-O91))*SIN(RADIANS(90-_xlfn.XLOOKUP(Q91,'MRT station dataset'!$C$3:$C$179,'MRT station dataset'!$E$3:$E$179)))*COS(RADIANS(P91-_xlfn.XLOOKUP('Resale flat dataset'!Q91,'MRT station dataset'!$C$3:$C$179,'MRT station dataset'!$F$3:$F$179))))*6371*1000</f>
        <v>127.53662484497875</v>
      </c>
      <c r="U91" s="39">
        <f>ACOS(COS(RADIANS(90-O91))*COS(RADIANS(90-_xlfn.XLOOKUP(R91,'Mall Dataset'!$B$3:$B$157,'Mall Dataset'!$E$3:$E$157,,0)))+SIN(RADIANS(90-O91))*SIN(RADIANS(90-_xlfn.XLOOKUP(R91,'Mall Dataset'!$B$3:$B$157,'Mall Dataset'!$E$3:$E$157,,0)))*COS(RADIANS(P91-_xlfn.XLOOKUP(R91,'Mall Dataset'!$B$3:$B$157,'Mall Dataset'!$F$3:$F$157,,0))))*6371*1000</f>
        <v>456.16516385495441</v>
      </c>
      <c r="V91" s="39">
        <f>ACOS(COS(RADIANS(90-O91))*COS(RADIANS(90-_xlfn.XLOOKUP(S91,'Schools dataset'!$B$3:$B$187,'Schools dataset'!$J$3:$J$187,,0)))+SIN(RADIANS(90-O91))*SIN(RADIANS(90-_xlfn.XLOOKUP(S91,'Schools dataset'!$B$3:$B$187,'Schools dataset'!$J$3:$J$187,,0)))*COS(RADIANS(P91-_xlfn.XLOOKUP(S91,'Schools dataset'!$B$3:$B$187,'Schools dataset'!$K$3:$K$187,,0))))*6371*1000</f>
        <v>448.04405864001518</v>
      </c>
      <c r="W91" s="20">
        <f>_xlfn.XLOOKUP(T91,'HDB Recommender'!$P$10:$P$39,'HDB Recommender'!$Q$10:$Q$39,"&gt;30mins",1)</f>
        <v>2</v>
      </c>
      <c r="X91" s="20">
        <f>_xlfn.XLOOKUP(U91,'HDB Recommender'!$P$10:$P$39,'HDB Recommender'!$Q$10:$Q$39,"&gt;30mins",1)</f>
        <v>7</v>
      </c>
      <c r="Y91" s="20">
        <f>_xlfn.XLOOKUP(V91,'HDB Recommender'!$P$10:$P$39,'HDB Recommender'!$Q$10:$Q$39,"&gt;30mins",1)</f>
        <v>6</v>
      </c>
      <c r="Z91" s="39">
        <f t="shared" si="3"/>
        <v>5</v>
      </c>
      <c r="AA91" s="20" t="str">
        <f t="shared" si="2"/>
        <v>Within 1km</v>
      </c>
    </row>
    <row r="92" spans="2:27" hidden="1">
      <c r="B92" s="35" t="s">
        <v>317</v>
      </c>
      <c r="C92" s="35" t="s">
        <v>482</v>
      </c>
      <c r="D92" s="35" t="s">
        <v>318</v>
      </c>
      <c r="E92" s="35"/>
      <c r="F92" s="35" t="s">
        <v>485</v>
      </c>
      <c r="G92" s="35" t="s">
        <v>323</v>
      </c>
      <c r="H92" s="35">
        <v>68</v>
      </c>
      <c r="I92" s="35" t="s">
        <v>335</v>
      </c>
      <c r="J92" s="36">
        <v>2015</v>
      </c>
      <c r="K92" s="39">
        <v>90.4166666666666</v>
      </c>
      <c r="L92" s="37">
        <v>408600</v>
      </c>
      <c r="M92" s="35" t="s">
        <v>486</v>
      </c>
      <c r="N92" s="27">
        <v>682166</v>
      </c>
      <c r="O92" s="38">
        <v>1.3831598930826601</v>
      </c>
      <c r="P92" s="38">
        <v>103.753400918803</v>
      </c>
      <c r="Q92" s="38" t="str" cm="1">
        <f t="array" ref="Q92">INDEX('MRT station dataset'!$C$3:$C$179, MATCH(MIN(SQRT(('MRT station dataset'!$E$3:$E$179-'Resale flat dataset'!O92)^2+('MRT station dataset'!$F$3:$F$179-'Resale flat dataset'!P92)^2)), SQRT(('MRT station dataset'!$E$3:$E$179-'Resale flat dataset'!O92)^2+('MRT station dataset'!$F$3:$F$179-'Resale flat dataset'!P92)^2), 0))</f>
        <v>KEAT HONG LRT STATION</v>
      </c>
      <c r="R92" s="38" t="str" cm="1">
        <f t="array" ref="R92">INDEX('Mall Dataset'!$B$3:$B$157, MATCH(MIN(SQRT(('Mall Dataset'!$E$3:$E$157-'Resale flat dataset'!O92)^2+('Mall Dataset'!$F$3:$F$157-'Resale flat dataset'!P92)^2)), SQRT(('Mall Dataset'!$E$3:$E$157-'Resale flat dataset'!O92)^2+('Mall Dataset'!$F$3:$F$157-'Resale flat dataset'!P92)^2), 0))</f>
        <v>Teck Whye Shopping Centre</v>
      </c>
      <c r="S92" s="38" t="str" cm="1">
        <f t="array" ref="S92">INDEX('Schools dataset'!$B$3:$B$187, MATCH(MIN(SQRT(('Schools dataset'!$J$3:$J$187-'Resale flat dataset'!O92)^2+('Schools dataset'!$K$3:$K$187-'Resale flat dataset'!P92)^2)), SQRT(('Schools dataset'!$J$3:$J$187-'Resale flat dataset'!O92)^2+('Schools dataset'!$K$3:$K$187-'Resale flat dataset'!P92)^2), 0))</f>
        <v>TECK WHYE PRIMARY SCHOOL</v>
      </c>
      <c r="T92" s="39">
        <f>ACOS(COS(RADIANS(90-O92))*COS(RADIANS(90-_xlfn.XLOOKUP(Q92,'MRT station dataset'!$C$3:$C$179,'MRT station dataset'!$E$3:$E$179)))+SIN(RADIANS(90-O92))*SIN(RADIANS(90-_xlfn.XLOOKUP(Q92,'MRT station dataset'!$C$3:$C$179,'MRT station dataset'!$E$3:$E$179)))*COS(RADIANS(P92-_xlfn.XLOOKUP('Resale flat dataset'!Q92,'MRT station dataset'!$C$3:$C$179,'MRT station dataset'!$F$3:$F$179))))*6371*1000</f>
        <v>696.89849026529953</v>
      </c>
      <c r="U92" s="39">
        <f>ACOS(COS(RADIANS(90-O92))*COS(RADIANS(90-_xlfn.XLOOKUP(R92,'Mall Dataset'!$B$3:$B$157,'Mall Dataset'!$E$3:$E$157,,0)))+SIN(RADIANS(90-O92))*SIN(RADIANS(90-_xlfn.XLOOKUP(R92,'Mall Dataset'!$B$3:$B$157,'Mall Dataset'!$E$3:$E$157,,0)))*COS(RADIANS(P92-_xlfn.XLOOKUP(R92,'Mall Dataset'!$B$3:$B$157,'Mall Dataset'!$F$3:$F$157,,0))))*6371*1000</f>
        <v>360.78167499477252</v>
      </c>
      <c r="V92" s="39">
        <f>ACOS(COS(RADIANS(90-O92))*COS(RADIANS(90-_xlfn.XLOOKUP(S92,'Schools dataset'!$B$3:$B$187,'Schools dataset'!$J$3:$J$187,,0)))+SIN(RADIANS(90-O92))*SIN(RADIANS(90-_xlfn.XLOOKUP(S92,'Schools dataset'!$B$3:$B$187,'Schools dataset'!$J$3:$J$187,,0)))*COS(RADIANS(P92-_xlfn.XLOOKUP(S92,'Schools dataset'!$B$3:$B$187,'Schools dataset'!$K$3:$K$187,,0))))*6371*1000</f>
        <v>55.82615286522352</v>
      </c>
      <c r="W92" s="20">
        <f>_xlfn.XLOOKUP(T92,'HDB Recommender'!$P$10:$P$39,'HDB Recommender'!$Q$10:$Q$39,"&gt;30mins",1)</f>
        <v>10</v>
      </c>
      <c r="X92" s="20">
        <f>_xlfn.XLOOKUP(U92,'HDB Recommender'!$P$10:$P$39,'HDB Recommender'!$Q$10:$Q$39,"&gt;30mins",1)</f>
        <v>5</v>
      </c>
      <c r="Y92" s="20">
        <f>_xlfn.XLOOKUP(V92,'HDB Recommender'!$P$10:$P$39,'HDB Recommender'!$Q$10:$Q$39,"&gt;30mins",1)</f>
        <v>2</v>
      </c>
      <c r="Z92" s="39">
        <f t="shared" si="3"/>
        <v>5.666666666666667</v>
      </c>
      <c r="AA92" s="20" t="str">
        <f t="shared" si="2"/>
        <v>Within 1km</v>
      </c>
    </row>
    <row r="93" spans="2:27" hidden="1">
      <c r="B93" s="35" t="s">
        <v>317</v>
      </c>
      <c r="C93" s="35" t="s">
        <v>482</v>
      </c>
      <c r="D93" s="35" t="s">
        <v>318</v>
      </c>
      <c r="E93" s="35"/>
      <c r="F93" s="35" t="s">
        <v>485</v>
      </c>
      <c r="G93" s="35" t="s">
        <v>184</v>
      </c>
      <c r="H93" s="35">
        <v>68</v>
      </c>
      <c r="I93" s="35" t="s">
        <v>335</v>
      </c>
      <c r="J93" s="36">
        <v>2015</v>
      </c>
      <c r="K93" s="39">
        <v>90.4166666666666</v>
      </c>
      <c r="L93" s="37">
        <v>417000</v>
      </c>
      <c r="M93" s="35" t="s">
        <v>486</v>
      </c>
      <c r="N93" s="27">
        <v>682166</v>
      </c>
      <c r="O93" s="38">
        <v>1.3831598930826601</v>
      </c>
      <c r="P93" s="38">
        <v>103.753400918803</v>
      </c>
      <c r="Q93" s="38" t="str" cm="1">
        <f t="array" ref="Q93">INDEX('MRT station dataset'!$C$3:$C$179, MATCH(MIN(SQRT(('MRT station dataset'!$E$3:$E$179-'Resale flat dataset'!O93)^2+('MRT station dataset'!$F$3:$F$179-'Resale flat dataset'!P93)^2)), SQRT(('MRT station dataset'!$E$3:$E$179-'Resale flat dataset'!O93)^2+('MRT station dataset'!$F$3:$F$179-'Resale flat dataset'!P93)^2), 0))</f>
        <v>KEAT HONG LRT STATION</v>
      </c>
      <c r="R93" s="38" t="str" cm="1">
        <f t="array" ref="R93">INDEX('Mall Dataset'!$B$3:$B$157, MATCH(MIN(SQRT(('Mall Dataset'!$E$3:$E$157-'Resale flat dataset'!O93)^2+('Mall Dataset'!$F$3:$F$157-'Resale flat dataset'!P93)^2)), SQRT(('Mall Dataset'!$E$3:$E$157-'Resale flat dataset'!O93)^2+('Mall Dataset'!$F$3:$F$157-'Resale flat dataset'!P93)^2), 0))</f>
        <v>Teck Whye Shopping Centre</v>
      </c>
      <c r="S93" s="38" t="str" cm="1">
        <f t="array" ref="S93">INDEX('Schools dataset'!$B$3:$B$187, MATCH(MIN(SQRT(('Schools dataset'!$J$3:$J$187-'Resale flat dataset'!O93)^2+('Schools dataset'!$K$3:$K$187-'Resale flat dataset'!P93)^2)), SQRT(('Schools dataset'!$J$3:$J$187-'Resale flat dataset'!O93)^2+('Schools dataset'!$K$3:$K$187-'Resale flat dataset'!P93)^2), 0))</f>
        <v>TECK WHYE PRIMARY SCHOOL</v>
      </c>
      <c r="T93" s="39">
        <f>ACOS(COS(RADIANS(90-O93))*COS(RADIANS(90-_xlfn.XLOOKUP(Q93,'MRT station dataset'!$C$3:$C$179,'MRT station dataset'!$E$3:$E$179)))+SIN(RADIANS(90-O93))*SIN(RADIANS(90-_xlfn.XLOOKUP(Q93,'MRT station dataset'!$C$3:$C$179,'MRT station dataset'!$E$3:$E$179)))*COS(RADIANS(P93-_xlfn.XLOOKUP('Resale flat dataset'!Q93,'MRT station dataset'!$C$3:$C$179,'MRT station dataset'!$F$3:$F$179))))*6371*1000</f>
        <v>696.89849026529953</v>
      </c>
      <c r="U93" s="39">
        <f>ACOS(COS(RADIANS(90-O93))*COS(RADIANS(90-_xlfn.XLOOKUP(R93,'Mall Dataset'!$B$3:$B$157,'Mall Dataset'!$E$3:$E$157,,0)))+SIN(RADIANS(90-O93))*SIN(RADIANS(90-_xlfn.XLOOKUP(R93,'Mall Dataset'!$B$3:$B$157,'Mall Dataset'!$E$3:$E$157,,0)))*COS(RADIANS(P93-_xlfn.XLOOKUP(R93,'Mall Dataset'!$B$3:$B$157,'Mall Dataset'!$F$3:$F$157,,0))))*6371*1000</f>
        <v>360.78167499477252</v>
      </c>
      <c r="V93" s="39">
        <f>ACOS(COS(RADIANS(90-O93))*COS(RADIANS(90-_xlfn.XLOOKUP(S93,'Schools dataset'!$B$3:$B$187,'Schools dataset'!$J$3:$J$187,,0)))+SIN(RADIANS(90-O93))*SIN(RADIANS(90-_xlfn.XLOOKUP(S93,'Schools dataset'!$B$3:$B$187,'Schools dataset'!$J$3:$J$187,,0)))*COS(RADIANS(P93-_xlfn.XLOOKUP(S93,'Schools dataset'!$B$3:$B$187,'Schools dataset'!$K$3:$K$187,,0))))*6371*1000</f>
        <v>55.82615286522352</v>
      </c>
      <c r="W93" s="20">
        <f>_xlfn.XLOOKUP(T93,'HDB Recommender'!$P$10:$P$39,'HDB Recommender'!$Q$10:$Q$39,"&gt;30mins",1)</f>
        <v>10</v>
      </c>
      <c r="X93" s="20">
        <f>_xlfn.XLOOKUP(U93,'HDB Recommender'!$P$10:$P$39,'HDB Recommender'!$Q$10:$Q$39,"&gt;30mins",1)</f>
        <v>5</v>
      </c>
      <c r="Y93" s="20">
        <f>_xlfn.XLOOKUP(V93,'HDB Recommender'!$P$10:$P$39,'HDB Recommender'!$Q$10:$Q$39,"&gt;30mins",1)</f>
        <v>2</v>
      </c>
      <c r="Z93" s="39">
        <f t="shared" si="3"/>
        <v>5.666666666666667</v>
      </c>
      <c r="AA93" s="20" t="str">
        <f t="shared" si="2"/>
        <v>Within 1km</v>
      </c>
    </row>
    <row r="94" spans="2:27" hidden="1">
      <c r="B94" s="35" t="s">
        <v>317</v>
      </c>
      <c r="C94" s="35" t="s">
        <v>482</v>
      </c>
      <c r="D94" s="35" t="s">
        <v>318</v>
      </c>
      <c r="E94" s="35">
        <v>16</v>
      </c>
      <c r="F94" s="35" t="s">
        <v>487</v>
      </c>
      <c r="G94" s="35" t="s">
        <v>191</v>
      </c>
      <c r="H94" s="35">
        <v>82</v>
      </c>
      <c r="I94" s="35" t="s">
        <v>320</v>
      </c>
      <c r="J94" s="36">
        <v>1979</v>
      </c>
      <c r="K94" s="39">
        <v>54.5</v>
      </c>
      <c r="L94" s="37">
        <v>370000</v>
      </c>
      <c r="M94" s="35" t="s">
        <v>488</v>
      </c>
      <c r="N94" s="27">
        <v>680016</v>
      </c>
      <c r="O94" s="38">
        <v>1.37842710387364</v>
      </c>
      <c r="P94" s="38">
        <v>103.75491181557599</v>
      </c>
      <c r="Q94" s="38" t="str" cm="1">
        <f t="array" ref="Q94">INDEX('MRT station dataset'!$C$3:$C$179, MATCH(MIN(SQRT(('MRT station dataset'!$E$3:$E$179-'Resale flat dataset'!O94)^2+('MRT station dataset'!$F$3:$F$179-'Resale flat dataset'!P94)^2)), SQRT(('MRT station dataset'!$E$3:$E$179-'Resale flat dataset'!O94)^2+('MRT station dataset'!$F$3:$F$179-'Resale flat dataset'!P94)^2), 0))</f>
        <v>TECK WHYE LRT STATION</v>
      </c>
      <c r="R94" s="38" t="str" cm="1">
        <f t="array" ref="R94">INDEX('Mall Dataset'!$B$3:$B$157, MATCH(MIN(SQRT(('Mall Dataset'!$E$3:$E$157-'Resale flat dataset'!O94)^2+('Mall Dataset'!$F$3:$F$157-'Resale flat dataset'!P94)^2)), SQRT(('Mall Dataset'!$E$3:$E$157-'Resale flat dataset'!O94)^2+('Mall Dataset'!$F$3:$F$157-'Resale flat dataset'!P94)^2), 0))</f>
        <v>Teck Whye Shopping Centre</v>
      </c>
      <c r="S94" s="38" t="str" cm="1">
        <f t="array" ref="S94">INDEX('Schools dataset'!$B$3:$B$187, MATCH(MIN(SQRT(('Schools dataset'!$J$3:$J$187-'Resale flat dataset'!O94)^2+('Schools dataset'!$K$3:$K$187-'Resale flat dataset'!P94)^2)), SQRT(('Schools dataset'!$J$3:$J$187-'Resale flat dataset'!O94)^2+('Schools dataset'!$K$3:$K$187-'Resale flat dataset'!P94)^2), 0))</f>
        <v>TECK WHYE PRIMARY SCHOOL</v>
      </c>
      <c r="T94" s="39">
        <f>ACOS(COS(RADIANS(90-O94))*COS(RADIANS(90-_xlfn.XLOOKUP(Q94,'MRT station dataset'!$C$3:$C$179,'MRT station dataset'!$E$3:$E$179)))+SIN(RADIANS(90-O94))*SIN(RADIANS(90-_xlfn.XLOOKUP(Q94,'MRT station dataset'!$C$3:$C$179,'MRT station dataset'!$E$3:$E$179)))*COS(RADIANS(P94-_xlfn.XLOOKUP('Resale flat dataset'!Q94,'MRT station dataset'!$C$3:$C$179,'MRT station dataset'!$F$3:$F$179))))*6371*1000</f>
        <v>234.58008824016386</v>
      </c>
      <c r="U94" s="39">
        <f>ACOS(COS(RADIANS(90-O94))*COS(RADIANS(90-_xlfn.XLOOKUP(R94,'Mall Dataset'!$B$3:$B$157,'Mall Dataset'!$E$3:$E$157,,0)))+SIN(RADIANS(90-O94))*SIN(RADIANS(90-_xlfn.XLOOKUP(R94,'Mall Dataset'!$B$3:$B$157,'Mall Dataset'!$E$3:$E$157,,0)))*COS(RADIANS(P94-_xlfn.XLOOKUP(R94,'Mall Dataset'!$B$3:$B$157,'Mall Dataset'!$F$3:$F$157,,0))))*6371*1000</f>
        <v>324.51824709559276</v>
      </c>
      <c r="V94" s="39">
        <f>ACOS(COS(RADIANS(90-O94))*COS(RADIANS(90-_xlfn.XLOOKUP(S94,'Schools dataset'!$B$3:$B$187,'Schools dataset'!$J$3:$J$187,,0)))+SIN(RADIANS(90-O94))*SIN(RADIANS(90-_xlfn.XLOOKUP(S94,'Schools dataset'!$B$3:$B$187,'Schools dataset'!$J$3:$J$187,,0)))*COS(RADIANS(P94-_xlfn.XLOOKUP(S94,'Schools dataset'!$B$3:$B$187,'Schools dataset'!$K$3:$K$187,,0))))*6371*1000</f>
        <v>608.03451113860297</v>
      </c>
      <c r="W94" s="20">
        <f>_xlfn.XLOOKUP(T94,'HDB Recommender'!$P$10:$P$39,'HDB Recommender'!$Q$10:$Q$39,"&gt;30mins",1)</f>
        <v>4</v>
      </c>
      <c r="X94" s="20">
        <f>_xlfn.XLOOKUP(U94,'HDB Recommender'!$P$10:$P$39,'HDB Recommender'!$Q$10:$Q$39,"&gt;30mins",1)</f>
        <v>5</v>
      </c>
      <c r="Y94" s="20">
        <f>_xlfn.XLOOKUP(V94,'HDB Recommender'!$P$10:$P$39,'HDB Recommender'!$Q$10:$Q$39,"&gt;30mins",1)</f>
        <v>9</v>
      </c>
      <c r="Z94" s="39">
        <f t="shared" si="3"/>
        <v>6</v>
      </c>
      <c r="AA94" s="20" t="str">
        <f t="shared" si="2"/>
        <v>Within 1km</v>
      </c>
    </row>
    <row r="95" spans="2:27" hidden="1">
      <c r="B95" s="35" t="s">
        <v>317</v>
      </c>
      <c r="C95" s="35" t="s">
        <v>482</v>
      </c>
      <c r="D95" s="35" t="s">
        <v>318</v>
      </c>
      <c r="E95" s="35">
        <v>26</v>
      </c>
      <c r="F95" s="35" t="s">
        <v>487</v>
      </c>
      <c r="G95" s="35" t="s">
        <v>184</v>
      </c>
      <c r="H95" s="35">
        <v>74</v>
      </c>
      <c r="I95" s="35" t="s">
        <v>320</v>
      </c>
      <c r="J95" s="36">
        <v>1979</v>
      </c>
      <c r="K95" s="39">
        <v>54.5</v>
      </c>
      <c r="L95" s="37">
        <v>368888</v>
      </c>
      <c r="M95" s="35" t="s">
        <v>489</v>
      </c>
      <c r="N95" s="27">
        <v>680026</v>
      </c>
      <c r="O95" s="38">
        <v>1.37762112372223</v>
      </c>
      <c r="P95" s="38">
        <v>103.755740001262</v>
      </c>
      <c r="Q95" s="38" t="str" cm="1">
        <f t="array" ref="Q95">INDEX('MRT station dataset'!$C$3:$C$179, MATCH(MIN(SQRT(('MRT station dataset'!$E$3:$E$179-'Resale flat dataset'!O95)^2+('MRT station dataset'!$F$3:$F$179-'Resale flat dataset'!P95)^2)), SQRT(('MRT station dataset'!$E$3:$E$179-'Resale flat dataset'!O95)^2+('MRT station dataset'!$F$3:$F$179-'Resale flat dataset'!P95)^2), 0))</f>
        <v>TECK WHYE LRT STATION</v>
      </c>
      <c r="R95" s="38" t="str" cm="1">
        <f t="array" ref="R95">INDEX('Mall Dataset'!$B$3:$B$157, MATCH(MIN(SQRT(('Mall Dataset'!$E$3:$E$157-'Resale flat dataset'!O95)^2+('Mall Dataset'!$F$3:$F$157-'Resale flat dataset'!P95)^2)), SQRT(('Mall Dataset'!$E$3:$E$157-'Resale flat dataset'!O95)^2+('Mall Dataset'!$F$3:$F$157-'Resale flat dataset'!P95)^2), 0))</f>
        <v>Teck Whye Shopping Centre</v>
      </c>
      <c r="S95" s="38" t="str" cm="1">
        <f t="array" ref="S95">INDEX('Schools dataset'!$B$3:$B$187, MATCH(MIN(SQRT(('Schools dataset'!$J$3:$J$187-'Resale flat dataset'!O95)^2+('Schools dataset'!$K$3:$K$187-'Resale flat dataset'!P95)^2)), SQRT(('Schools dataset'!$J$3:$J$187-'Resale flat dataset'!O95)^2+('Schools dataset'!$K$3:$K$187-'Resale flat dataset'!P95)^2), 0))</f>
        <v>TECK WHYE PRIMARY SCHOOL</v>
      </c>
      <c r="T95" s="39">
        <f>ACOS(COS(RADIANS(90-O95))*COS(RADIANS(90-_xlfn.XLOOKUP(Q95,'MRT station dataset'!$C$3:$C$179,'MRT station dataset'!$E$3:$E$179)))+SIN(RADIANS(90-O95))*SIN(RADIANS(90-_xlfn.XLOOKUP(Q95,'MRT station dataset'!$C$3:$C$179,'MRT station dataset'!$E$3:$E$179)))*COS(RADIANS(P95-_xlfn.XLOOKUP('Resale flat dataset'!Q95,'MRT station dataset'!$C$3:$C$179,'MRT station dataset'!$F$3:$F$179))))*6371*1000</f>
        <v>248.83005223125343</v>
      </c>
      <c r="U95" s="39">
        <f>ACOS(COS(RADIANS(90-O95))*COS(RADIANS(90-_xlfn.XLOOKUP(R95,'Mall Dataset'!$B$3:$B$157,'Mall Dataset'!$E$3:$E$157,,0)))+SIN(RADIANS(90-O95))*SIN(RADIANS(90-_xlfn.XLOOKUP(R95,'Mall Dataset'!$B$3:$B$157,'Mall Dataset'!$E$3:$E$157,,0)))*COS(RADIANS(P95-_xlfn.XLOOKUP(R95,'Mall Dataset'!$B$3:$B$157,'Mall Dataset'!$F$3:$F$157,,0))))*6371*1000</f>
        <v>451.45531444432964</v>
      </c>
      <c r="V95" s="39">
        <f>ACOS(COS(RADIANS(90-O95))*COS(RADIANS(90-_xlfn.XLOOKUP(S95,'Schools dataset'!$B$3:$B$187,'Schools dataset'!$J$3:$J$187,,0)))+SIN(RADIANS(90-O95))*SIN(RADIANS(90-_xlfn.XLOOKUP(S95,'Schools dataset'!$B$3:$B$187,'Schools dataset'!$J$3:$J$187,,0)))*COS(RADIANS(P95-_xlfn.XLOOKUP(S95,'Schools dataset'!$B$3:$B$187,'Schools dataset'!$K$3:$K$187,,0))))*6371*1000</f>
        <v>723.50992226494611</v>
      </c>
      <c r="W95" s="20">
        <f>_xlfn.XLOOKUP(T95,'HDB Recommender'!$P$10:$P$39,'HDB Recommender'!$Q$10:$Q$39,"&gt;30mins",1)</f>
        <v>4</v>
      </c>
      <c r="X95" s="20">
        <f>_xlfn.XLOOKUP(U95,'HDB Recommender'!$P$10:$P$39,'HDB Recommender'!$Q$10:$Q$39,"&gt;30mins",1)</f>
        <v>7</v>
      </c>
      <c r="Y95" s="20">
        <f>_xlfn.XLOOKUP(V95,'HDB Recommender'!$P$10:$P$39,'HDB Recommender'!$Q$10:$Q$39,"&gt;30mins",1)</f>
        <v>10</v>
      </c>
      <c r="Z95" s="39">
        <f t="shared" si="3"/>
        <v>7</v>
      </c>
      <c r="AA95" s="20" t="str">
        <f t="shared" si="2"/>
        <v>Within 1km</v>
      </c>
    </row>
    <row r="96" spans="2:27" hidden="1">
      <c r="B96" s="35" t="s">
        <v>317</v>
      </c>
      <c r="C96" s="35" t="s">
        <v>482</v>
      </c>
      <c r="D96" s="35" t="s">
        <v>20</v>
      </c>
      <c r="E96" s="35"/>
      <c r="F96" s="35" t="s">
        <v>483</v>
      </c>
      <c r="G96" s="35" t="s">
        <v>189</v>
      </c>
      <c r="H96" s="35">
        <v>92</v>
      </c>
      <c r="I96" s="35" t="s">
        <v>335</v>
      </c>
      <c r="J96" s="36">
        <v>2017</v>
      </c>
      <c r="K96" s="39">
        <v>93.0833333333333</v>
      </c>
      <c r="L96" s="37">
        <v>525888</v>
      </c>
      <c r="M96" s="35" t="s">
        <v>490</v>
      </c>
      <c r="N96" s="27">
        <v>683818</v>
      </c>
      <c r="O96" s="38">
        <v>1.3767218404141599</v>
      </c>
      <c r="P96" s="38">
        <v>103.74815008318301</v>
      </c>
      <c r="Q96" s="38" t="str" cm="1">
        <f t="array" ref="Q96">INDEX('MRT station dataset'!$C$3:$C$179, MATCH(MIN(SQRT(('MRT station dataset'!$E$3:$E$179-'Resale flat dataset'!O96)^2+('MRT station dataset'!$F$3:$F$179-'Resale flat dataset'!P96)^2)), SQRT(('MRT station dataset'!$E$3:$E$179-'Resale flat dataset'!O96)^2+('MRT station dataset'!$F$3:$F$179-'Resale flat dataset'!P96)^2), 0))</f>
        <v>KEAT HONG LRT STATION</v>
      </c>
      <c r="R96" s="38" t="str" cm="1">
        <f t="array" ref="R96">INDEX('Mall Dataset'!$B$3:$B$157, MATCH(MIN(SQRT(('Mall Dataset'!$E$3:$E$157-'Resale flat dataset'!O96)^2+('Mall Dataset'!$F$3:$F$157-'Resale flat dataset'!P96)^2)), SQRT(('Mall Dataset'!$E$3:$E$157-'Resale flat dataset'!O96)^2+('Mall Dataset'!$F$3:$F$157-'Resale flat dataset'!P96)^2), 0))</f>
        <v>Keat Hong Shopping Centre</v>
      </c>
      <c r="S96" s="38" t="str" cm="1">
        <f t="array" ref="S96">INDEX('Schools dataset'!$B$3:$B$187, MATCH(MIN(SQRT(('Schools dataset'!$J$3:$J$187-'Resale flat dataset'!O96)^2+('Schools dataset'!$K$3:$K$187-'Resale flat dataset'!P96)^2)), SQRT(('Schools dataset'!$J$3:$J$187-'Resale flat dataset'!O96)^2+('Schools dataset'!$K$3:$K$187-'Resale flat dataset'!P96)^2), 0))</f>
        <v>SOUTH VIEW PRIMARY SCHOOL</v>
      </c>
      <c r="T96" s="39">
        <f>ACOS(COS(RADIANS(90-O96))*COS(RADIANS(90-_xlfn.XLOOKUP(Q96,'MRT station dataset'!$C$3:$C$179,'MRT station dataset'!$E$3:$E$179)))+SIN(RADIANS(90-O96))*SIN(RADIANS(90-_xlfn.XLOOKUP(Q96,'MRT station dataset'!$C$3:$C$179,'MRT station dataset'!$E$3:$E$179)))*COS(RADIANS(P96-_xlfn.XLOOKUP('Resale flat dataset'!Q96,'MRT station dataset'!$C$3:$C$179,'MRT station dataset'!$F$3:$F$179))))*6371*1000</f>
        <v>234.01984220509721</v>
      </c>
      <c r="U96" s="39">
        <f>ACOS(COS(RADIANS(90-O96))*COS(RADIANS(90-_xlfn.XLOOKUP(R96,'Mall Dataset'!$B$3:$B$157,'Mall Dataset'!$E$3:$E$157,,0)))+SIN(RADIANS(90-O96))*SIN(RADIANS(90-_xlfn.XLOOKUP(R96,'Mall Dataset'!$B$3:$B$157,'Mall Dataset'!$E$3:$E$157,,0)))*COS(RADIANS(P96-_xlfn.XLOOKUP(R96,'Mall Dataset'!$B$3:$B$157,'Mall Dataset'!$F$3:$F$157,,0))))*6371*1000</f>
        <v>423.67583491281977</v>
      </c>
      <c r="V96" s="39">
        <f>ACOS(COS(RADIANS(90-O96))*COS(RADIANS(90-_xlfn.XLOOKUP(S96,'Schools dataset'!$B$3:$B$187,'Schools dataset'!$J$3:$J$187,,0)))+SIN(RADIANS(90-O96))*SIN(RADIANS(90-_xlfn.XLOOKUP(S96,'Schools dataset'!$B$3:$B$187,'Schools dataset'!$J$3:$J$187,,0)))*COS(RADIANS(P96-_xlfn.XLOOKUP(S96,'Schools dataset'!$B$3:$B$187,'Schools dataset'!$K$3:$K$187,,0))))*6371*1000</f>
        <v>535.24743276303741</v>
      </c>
      <c r="W96" s="20">
        <f>_xlfn.XLOOKUP(T96,'HDB Recommender'!$P$10:$P$39,'HDB Recommender'!$Q$10:$Q$39,"&gt;30mins",1)</f>
        <v>4</v>
      </c>
      <c r="X96" s="20">
        <f>_xlfn.XLOOKUP(U96,'HDB Recommender'!$P$10:$P$39,'HDB Recommender'!$Q$10:$Q$39,"&gt;30mins",1)</f>
        <v>6</v>
      </c>
      <c r="Y96" s="20">
        <f>_xlfn.XLOOKUP(V96,'HDB Recommender'!$P$10:$P$39,'HDB Recommender'!$Q$10:$Q$39,"&gt;30mins",1)</f>
        <v>8</v>
      </c>
      <c r="Z96" s="39">
        <f t="shared" si="3"/>
        <v>6</v>
      </c>
      <c r="AA96" s="20" t="str">
        <f t="shared" si="2"/>
        <v>Within 1km</v>
      </c>
    </row>
    <row r="97" spans="2:27" hidden="1">
      <c r="B97" s="35" t="s">
        <v>317</v>
      </c>
      <c r="C97" s="35" t="s">
        <v>482</v>
      </c>
      <c r="D97" s="35" t="s">
        <v>20</v>
      </c>
      <c r="E97" s="35"/>
      <c r="F97" s="35" t="s">
        <v>483</v>
      </c>
      <c r="G97" s="35" t="s">
        <v>323</v>
      </c>
      <c r="H97" s="35">
        <v>92</v>
      </c>
      <c r="I97" s="35" t="s">
        <v>335</v>
      </c>
      <c r="J97" s="36">
        <v>2017</v>
      </c>
      <c r="K97" s="39">
        <v>93</v>
      </c>
      <c r="L97" s="37">
        <v>595000</v>
      </c>
      <c r="M97" s="35" t="s">
        <v>491</v>
      </c>
      <c r="N97" s="27">
        <v>682818</v>
      </c>
      <c r="O97" s="38">
        <v>1.3772587480210601</v>
      </c>
      <c r="P97" s="38">
        <v>103.748291851205</v>
      </c>
      <c r="Q97" s="38" t="str" cm="1">
        <f t="array" ref="Q97">INDEX('MRT station dataset'!$C$3:$C$179, MATCH(MIN(SQRT(('MRT station dataset'!$E$3:$E$179-'Resale flat dataset'!O97)^2+('MRT station dataset'!$F$3:$F$179-'Resale flat dataset'!P97)^2)), SQRT(('MRT station dataset'!$E$3:$E$179-'Resale flat dataset'!O97)^2+('MRT station dataset'!$F$3:$F$179-'Resale flat dataset'!P97)^2), 0))</f>
        <v>KEAT HONG LRT STATION</v>
      </c>
      <c r="R97" s="38" t="str" cm="1">
        <f t="array" ref="R97">INDEX('Mall Dataset'!$B$3:$B$157, MATCH(MIN(SQRT(('Mall Dataset'!$E$3:$E$157-'Resale flat dataset'!O97)^2+('Mall Dataset'!$F$3:$F$157-'Resale flat dataset'!P97)^2)), SQRT(('Mall Dataset'!$E$3:$E$157-'Resale flat dataset'!O97)^2+('Mall Dataset'!$F$3:$F$157-'Resale flat dataset'!P97)^2), 0))</f>
        <v>Keat Hong Shopping Centre</v>
      </c>
      <c r="S97" s="38" t="str" cm="1">
        <f t="array" ref="S97">INDEX('Schools dataset'!$B$3:$B$187, MATCH(MIN(SQRT(('Schools dataset'!$J$3:$J$187-'Resale flat dataset'!O97)^2+('Schools dataset'!$K$3:$K$187-'Resale flat dataset'!P97)^2)), SQRT(('Schools dataset'!$J$3:$J$187-'Resale flat dataset'!O97)^2+('Schools dataset'!$K$3:$K$187-'Resale flat dataset'!P97)^2), 0))</f>
        <v>SOUTH VIEW PRIMARY SCHOOL</v>
      </c>
      <c r="T97" s="39">
        <f>ACOS(COS(RADIANS(90-O97))*COS(RADIANS(90-_xlfn.XLOOKUP(Q97,'MRT station dataset'!$C$3:$C$179,'MRT station dataset'!$E$3:$E$179)))+SIN(RADIANS(90-O97))*SIN(RADIANS(90-_xlfn.XLOOKUP(Q97,'MRT station dataset'!$C$3:$C$179,'MRT station dataset'!$E$3:$E$179)))*COS(RADIANS(P97-_xlfn.XLOOKUP('Resale flat dataset'!Q97,'MRT station dataset'!$C$3:$C$179,'MRT station dataset'!$F$3:$F$179))))*6371*1000</f>
        <v>174.10737647889718</v>
      </c>
      <c r="U97" s="39">
        <f>ACOS(COS(RADIANS(90-O97))*COS(RADIANS(90-_xlfn.XLOOKUP(R97,'Mall Dataset'!$B$3:$B$157,'Mall Dataset'!$E$3:$E$157,,0)))+SIN(RADIANS(90-O97))*SIN(RADIANS(90-_xlfn.XLOOKUP(R97,'Mall Dataset'!$B$3:$B$157,'Mall Dataset'!$E$3:$E$157,,0)))*COS(RADIANS(P97-_xlfn.XLOOKUP(R97,'Mall Dataset'!$B$3:$B$157,'Mall Dataset'!$F$3:$F$157,,0))))*6371*1000</f>
        <v>433.49940567326416</v>
      </c>
      <c r="V97" s="39">
        <f>ACOS(COS(RADIANS(90-O97))*COS(RADIANS(90-_xlfn.XLOOKUP(S97,'Schools dataset'!$B$3:$B$187,'Schools dataset'!$J$3:$J$187,,0)))+SIN(RADIANS(90-O97))*SIN(RADIANS(90-_xlfn.XLOOKUP(S97,'Schools dataset'!$B$3:$B$187,'Schools dataset'!$J$3:$J$187,,0)))*COS(RADIANS(P97-_xlfn.XLOOKUP(S97,'Schools dataset'!$B$3:$B$187,'Schools dataset'!$K$3:$K$187,,0))))*6371*1000</f>
        <v>480.90218995453961</v>
      </c>
      <c r="W97" s="20">
        <f>_xlfn.XLOOKUP(T97,'HDB Recommender'!$P$10:$P$39,'HDB Recommender'!$Q$10:$Q$39,"&gt;30mins",1)</f>
        <v>3</v>
      </c>
      <c r="X97" s="20">
        <f>_xlfn.XLOOKUP(U97,'HDB Recommender'!$P$10:$P$39,'HDB Recommender'!$Q$10:$Q$39,"&gt;30mins",1)</f>
        <v>6</v>
      </c>
      <c r="Y97" s="20">
        <f>_xlfn.XLOOKUP(V97,'HDB Recommender'!$P$10:$P$39,'HDB Recommender'!$Q$10:$Q$39,"&gt;30mins",1)</f>
        <v>7</v>
      </c>
      <c r="Z97" s="39">
        <f t="shared" si="3"/>
        <v>5.333333333333333</v>
      </c>
      <c r="AA97" s="20" t="str">
        <f t="shared" si="2"/>
        <v>Within 1km</v>
      </c>
    </row>
    <row r="98" spans="2:27" hidden="1">
      <c r="B98" s="35" t="s">
        <v>317</v>
      </c>
      <c r="C98" s="35" t="s">
        <v>482</v>
      </c>
      <c r="D98" s="35" t="s">
        <v>20</v>
      </c>
      <c r="E98" s="35">
        <v>295</v>
      </c>
      <c r="F98" s="35" t="s">
        <v>492</v>
      </c>
      <c r="G98" s="35" t="s">
        <v>191</v>
      </c>
      <c r="H98" s="35">
        <v>113</v>
      </c>
      <c r="I98" s="35" t="s">
        <v>335</v>
      </c>
      <c r="J98" s="36">
        <v>1990</v>
      </c>
      <c r="K98" s="39">
        <v>65.6666666666666</v>
      </c>
      <c r="L98" s="37">
        <v>550000</v>
      </c>
      <c r="M98" s="35" t="s">
        <v>493</v>
      </c>
      <c r="N98" s="27">
        <v>680295</v>
      </c>
      <c r="O98" s="38">
        <v>1.37816643554536</v>
      </c>
      <c r="P98" s="38">
        <v>103.740967966102</v>
      </c>
      <c r="Q98" s="38" t="str" cm="1">
        <f t="array" ref="Q98">INDEX('MRT station dataset'!$C$3:$C$179, MATCH(MIN(SQRT(('MRT station dataset'!$E$3:$E$179-'Resale flat dataset'!O98)^2+('MRT station dataset'!$F$3:$F$179-'Resale flat dataset'!P98)^2)), SQRT(('MRT station dataset'!$E$3:$E$179-'Resale flat dataset'!O98)^2+('MRT station dataset'!$F$3:$F$179-'Resale flat dataset'!P98)^2), 0))</f>
        <v>SOUTH VIEW LRT STATION</v>
      </c>
      <c r="R98" s="38" t="str" cm="1">
        <f t="array" ref="R98">INDEX('Mall Dataset'!$B$3:$B$157, MATCH(MIN(SQRT(('Mall Dataset'!$E$3:$E$157-'Resale flat dataset'!O98)^2+('Mall Dataset'!$F$3:$F$157-'Resale flat dataset'!P98)^2)), SQRT(('Mall Dataset'!$E$3:$E$157-'Resale flat dataset'!O98)^2+('Mall Dataset'!$F$3:$F$157-'Resale flat dataset'!P98)^2), 0))</f>
        <v>Sunshine Place</v>
      </c>
      <c r="S98" s="38" t="str" cm="1">
        <f t="array" ref="S98">INDEX('Schools dataset'!$B$3:$B$187, MATCH(MIN(SQRT(('Schools dataset'!$J$3:$J$187-'Resale flat dataset'!O98)^2+('Schools dataset'!$K$3:$K$187-'Resale flat dataset'!P98)^2)), SQRT(('Schools dataset'!$J$3:$J$187-'Resale flat dataset'!O98)^2+('Schools dataset'!$K$3:$K$187-'Resale flat dataset'!P98)^2), 0))</f>
        <v>CHUA CHU KANG PRIMARY SCHOOL</v>
      </c>
      <c r="T98" s="39">
        <f>ACOS(COS(RADIANS(90-O98))*COS(RADIANS(90-_xlfn.XLOOKUP(Q98,'MRT station dataset'!$C$3:$C$179,'MRT station dataset'!$E$3:$E$179)))+SIN(RADIANS(90-O98))*SIN(RADIANS(90-_xlfn.XLOOKUP(Q98,'MRT station dataset'!$C$3:$C$179,'MRT station dataset'!$E$3:$E$179)))*COS(RADIANS(P98-_xlfn.XLOOKUP('Resale flat dataset'!Q98,'MRT station dataset'!$C$3:$C$179,'MRT station dataset'!$F$3:$F$179))))*6371*1000</f>
        <v>536.82790063397067</v>
      </c>
      <c r="U98" s="39">
        <f>ACOS(COS(RADIANS(90-O98))*COS(RADIANS(90-_xlfn.XLOOKUP(R98,'Mall Dataset'!$B$3:$B$157,'Mall Dataset'!$E$3:$E$157,,0)))+SIN(RADIANS(90-O98))*SIN(RADIANS(90-_xlfn.XLOOKUP(R98,'Mall Dataset'!$B$3:$B$157,'Mall Dataset'!$E$3:$E$157,,0)))*COS(RADIANS(P98-_xlfn.XLOOKUP(R98,'Mall Dataset'!$B$3:$B$157,'Mall Dataset'!$F$3:$F$157,,0))))*6371*1000</f>
        <v>219.09686711060016</v>
      </c>
      <c r="V98" s="39">
        <f>ACOS(COS(RADIANS(90-O98))*COS(RADIANS(90-_xlfn.XLOOKUP(S98,'Schools dataset'!$B$3:$B$187,'Schools dataset'!$J$3:$J$187,,0)))+SIN(RADIANS(90-O98))*SIN(RADIANS(90-_xlfn.XLOOKUP(S98,'Schools dataset'!$B$3:$B$187,'Schools dataset'!$J$3:$J$187,,0)))*COS(RADIANS(P98-_xlfn.XLOOKUP(S98,'Schools dataset'!$B$3:$B$187,'Schools dataset'!$K$3:$K$187,,0))))*6371*1000</f>
        <v>106.29396201361429</v>
      </c>
      <c r="W98" s="20">
        <f>_xlfn.XLOOKUP(T98,'HDB Recommender'!$P$10:$P$39,'HDB Recommender'!$Q$10:$Q$39,"&gt;30mins",1)</f>
        <v>8</v>
      </c>
      <c r="X98" s="20">
        <f>_xlfn.XLOOKUP(U98,'HDB Recommender'!$P$10:$P$39,'HDB Recommender'!$Q$10:$Q$39,"&gt;30mins",1)</f>
        <v>3</v>
      </c>
      <c r="Y98" s="20">
        <f>_xlfn.XLOOKUP(V98,'HDB Recommender'!$P$10:$P$39,'HDB Recommender'!$Q$10:$Q$39,"&gt;30mins",1)</f>
        <v>2</v>
      </c>
      <c r="Z98" s="39">
        <f t="shared" si="3"/>
        <v>4.333333333333333</v>
      </c>
      <c r="AA98" s="20" t="str">
        <f t="shared" si="2"/>
        <v>Within 1km</v>
      </c>
    </row>
    <row r="99" spans="2:27" hidden="1">
      <c r="B99" s="35" t="s">
        <v>317</v>
      </c>
      <c r="C99" s="35" t="s">
        <v>482</v>
      </c>
      <c r="D99" s="35" t="s">
        <v>20</v>
      </c>
      <c r="E99" s="35">
        <v>281</v>
      </c>
      <c r="F99" s="35" t="s">
        <v>494</v>
      </c>
      <c r="G99" s="35" t="s">
        <v>323</v>
      </c>
      <c r="H99" s="35">
        <v>106</v>
      </c>
      <c r="I99" s="35" t="s">
        <v>335</v>
      </c>
      <c r="J99" s="36">
        <v>1992</v>
      </c>
      <c r="K99" s="39">
        <v>67.8333333333333</v>
      </c>
      <c r="L99" s="37">
        <v>508000</v>
      </c>
      <c r="M99" s="35" t="s">
        <v>495</v>
      </c>
      <c r="N99" s="27">
        <v>680281</v>
      </c>
      <c r="O99" s="38">
        <v>1.3803244297047601</v>
      </c>
      <c r="P99" s="38">
        <v>103.74259978067001</v>
      </c>
      <c r="Q99" s="38" t="str" cm="1">
        <f t="array" ref="Q99">INDEX('MRT station dataset'!$C$3:$C$179, MATCH(MIN(SQRT(('MRT station dataset'!$E$3:$E$179-'Resale flat dataset'!O99)^2+('MRT station dataset'!$F$3:$F$179-'Resale flat dataset'!P99)^2)), SQRT(('MRT station dataset'!$E$3:$E$179-'Resale flat dataset'!O99)^2+('MRT station dataset'!$F$3:$F$179-'Resale flat dataset'!P99)^2), 0))</f>
        <v>SOUTH VIEW LRT STATION</v>
      </c>
      <c r="R99" s="38" t="str" cm="1">
        <f t="array" ref="R99">INDEX('Mall Dataset'!$B$3:$B$157, MATCH(MIN(SQRT(('Mall Dataset'!$E$3:$E$157-'Resale flat dataset'!O99)^2+('Mall Dataset'!$F$3:$F$157-'Resale flat dataset'!P99)^2)), SQRT(('Mall Dataset'!$E$3:$E$157-'Resale flat dataset'!O99)^2+('Mall Dataset'!$F$3:$F$157-'Resale flat dataset'!P99)^2), 0))</f>
        <v>Keat Hong Shopping Centre</v>
      </c>
      <c r="S99" s="38" t="str" cm="1">
        <f t="array" ref="S99">INDEX('Schools dataset'!$B$3:$B$187, MATCH(MIN(SQRT(('Schools dataset'!$J$3:$J$187-'Resale flat dataset'!O99)^2+('Schools dataset'!$K$3:$K$187-'Resale flat dataset'!P99)^2)), SQRT(('Schools dataset'!$J$3:$J$187-'Resale flat dataset'!O99)^2+('Schools dataset'!$K$3:$K$187-'Resale flat dataset'!P99)^2), 0))</f>
        <v>CHUA CHU KANG PRIMARY SCHOOL</v>
      </c>
      <c r="T99" s="39">
        <f>ACOS(COS(RADIANS(90-O99))*COS(RADIANS(90-_xlfn.XLOOKUP(Q99,'MRT station dataset'!$C$3:$C$179,'MRT station dataset'!$E$3:$E$179)))+SIN(RADIANS(90-O99))*SIN(RADIANS(90-_xlfn.XLOOKUP(Q99,'MRT station dataset'!$C$3:$C$179,'MRT station dataset'!$E$3:$E$179)))*COS(RADIANS(P99-_xlfn.XLOOKUP('Resale flat dataset'!Q99,'MRT station dataset'!$C$3:$C$179,'MRT station dataset'!$F$3:$F$179))))*6371*1000</f>
        <v>300.17586447105526</v>
      </c>
      <c r="U99" s="39">
        <f>ACOS(COS(RADIANS(90-O99))*COS(RADIANS(90-_xlfn.XLOOKUP(R99,'Mall Dataset'!$B$3:$B$157,'Mall Dataset'!$E$3:$E$157,,0)))+SIN(RADIANS(90-O99))*SIN(RADIANS(90-_xlfn.XLOOKUP(R99,'Mall Dataset'!$B$3:$B$157,'Mall Dataset'!$E$3:$E$157,,0)))*COS(RADIANS(P99-_xlfn.XLOOKUP(R99,'Mall Dataset'!$B$3:$B$157,'Mall Dataset'!$F$3:$F$157,,0))))*6371*1000</f>
        <v>384.67603507509995</v>
      </c>
      <c r="V99" s="39">
        <f>ACOS(COS(RADIANS(90-O99))*COS(RADIANS(90-_xlfn.XLOOKUP(S99,'Schools dataset'!$B$3:$B$187,'Schools dataset'!$J$3:$J$187,,0)))+SIN(RADIANS(90-O99))*SIN(RADIANS(90-_xlfn.XLOOKUP(S99,'Schools dataset'!$B$3:$B$187,'Schools dataset'!$J$3:$J$187,,0)))*COS(RADIANS(P99-_xlfn.XLOOKUP(S99,'Schools dataset'!$B$3:$B$187,'Schools dataset'!$K$3:$K$187,,0))))*6371*1000</f>
        <v>297.73831487937997</v>
      </c>
      <c r="W99" s="20">
        <f>_xlfn.XLOOKUP(T99,'HDB Recommender'!$P$10:$P$39,'HDB Recommender'!$Q$10:$Q$39,"&gt;30mins",1)</f>
        <v>5</v>
      </c>
      <c r="X99" s="20">
        <f>_xlfn.XLOOKUP(U99,'HDB Recommender'!$P$10:$P$39,'HDB Recommender'!$Q$10:$Q$39,"&gt;30mins",1)</f>
        <v>6</v>
      </c>
      <c r="Y99" s="20">
        <f>_xlfn.XLOOKUP(V99,'HDB Recommender'!$P$10:$P$39,'HDB Recommender'!$Q$10:$Q$39,"&gt;30mins",1)</f>
        <v>4</v>
      </c>
      <c r="Z99" s="39">
        <f t="shared" si="3"/>
        <v>5</v>
      </c>
      <c r="AA99" s="20" t="str">
        <f t="shared" si="2"/>
        <v>Within 1km</v>
      </c>
    </row>
    <row r="100" spans="2:27" hidden="1">
      <c r="B100" s="35" t="s">
        <v>317</v>
      </c>
      <c r="C100" s="35" t="s">
        <v>482</v>
      </c>
      <c r="D100" s="35" t="s">
        <v>20</v>
      </c>
      <c r="E100" s="35"/>
      <c r="F100" s="35" t="s">
        <v>496</v>
      </c>
      <c r="G100" s="35" t="s">
        <v>191</v>
      </c>
      <c r="H100" s="35">
        <v>93</v>
      </c>
      <c r="I100" s="35" t="s">
        <v>335</v>
      </c>
      <c r="J100" s="36">
        <v>2016</v>
      </c>
      <c r="K100" s="39">
        <v>91.75</v>
      </c>
      <c r="L100" s="37">
        <v>558888</v>
      </c>
      <c r="M100" s="35" t="s">
        <v>497</v>
      </c>
      <c r="N100" s="27">
        <v>683488</v>
      </c>
      <c r="O100" s="38">
        <v>1.37659678332207</v>
      </c>
      <c r="P100" s="38">
        <v>103.73994960704999</v>
      </c>
      <c r="Q100" s="38" t="str" cm="1">
        <f t="array" ref="Q100">INDEX('MRT station dataset'!$C$3:$C$179, MATCH(MIN(SQRT(('MRT station dataset'!$E$3:$E$179-'Resale flat dataset'!O100)^2+('MRT station dataset'!$F$3:$F$179-'Resale flat dataset'!P100)^2)), SQRT(('MRT station dataset'!$E$3:$E$179-'Resale flat dataset'!O100)^2+('MRT station dataset'!$F$3:$F$179-'Resale flat dataset'!P100)^2), 0))</f>
        <v>SOUTH VIEW LRT STATION</v>
      </c>
      <c r="R100" s="38" t="str" cm="1">
        <f t="array" ref="R100">INDEX('Mall Dataset'!$B$3:$B$157, MATCH(MIN(SQRT(('Mall Dataset'!$E$3:$E$157-'Resale flat dataset'!O100)^2+('Mall Dataset'!$F$3:$F$157-'Resale flat dataset'!P100)^2)), SQRT(('Mall Dataset'!$E$3:$E$157-'Resale flat dataset'!O100)^2+('Mall Dataset'!$F$3:$F$157-'Resale flat dataset'!P100)^2), 0))</f>
        <v>Sunshine Place</v>
      </c>
      <c r="S100" s="38" t="str" cm="1">
        <f t="array" ref="S100">INDEX('Schools dataset'!$B$3:$B$187, MATCH(MIN(SQRT(('Schools dataset'!$J$3:$J$187-'Resale flat dataset'!O100)^2+('Schools dataset'!$K$3:$K$187-'Resale flat dataset'!P100)^2)), SQRT(('Schools dataset'!$J$3:$J$187-'Resale flat dataset'!O100)^2+('Schools dataset'!$K$3:$K$187-'Resale flat dataset'!P100)^2), 0))</f>
        <v>CHUA CHU KANG PRIMARY SCHOOL</v>
      </c>
      <c r="T100" s="39">
        <f>ACOS(COS(RADIANS(90-O100))*COS(RADIANS(90-_xlfn.XLOOKUP(Q100,'MRT station dataset'!$C$3:$C$179,'MRT station dataset'!$E$3:$E$179)))+SIN(RADIANS(90-O100))*SIN(RADIANS(90-_xlfn.XLOOKUP(Q100,'MRT station dataset'!$C$3:$C$179,'MRT station dataset'!$E$3:$E$179)))*COS(RADIANS(P100-_xlfn.XLOOKUP('Resale flat dataset'!Q100,'MRT station dataset'!$C$3:$C$179,'MRT station dataset'!$F$3:$F$179))))*6371*1000</f>
        <v>723.39929628874961</v>
      </c>
      <c r="U100" s="39">
        <f>ACOS(COS(RADIANS(90-O100))*COS(RADIANS(90-_xlfn.XLOOKUP(R100,'Mall Dataset'!$B$3:$B$157,'Mall Dataset'!$E$3:$E$157,,0)))+SIN(RADIANS(90-O100))*SIN(RADIANS(90-_xlfn.XLOOKUP(R100,'Mall Dataset'!$B$3:$B$157,'Mall Dataset'!$E$3:$E$157,,0)))*COS(RADIANS(P100-_xlfn.XLOOKUP(R100,'Mall Dataset'!$B$3:$B$157,'Mall Dataset'!$F$3:$F$157,,0))))*6371*1000</f>
        <v>178.02864359590754</v>
      </c>
      <c r="V100" s="39">
        <f>ACOS(COS(RADIANS(90-O100))*COS(RADIANS(90-_xlfn.XLOOKUP(S100,'Schools dataset'!$B$3:$B$187,'Schools dataset'!$J$3:$J$187,,0)))+SIN(RADIANS(90-O100))*SIN(RADIANS(90-_xlfn.XLOOKUP(S100,'Schools dataset'!$B$3:$B$187,'Schools dataset'!$J$3:$J$187,,0)))*COS(RADIANS(P100-_xlfn.XLOOKUP(S100,'Schools dataset'!$B$3:$B$187,'Schools dataset'!$K$3:$K$187,,0))))*6371*1000</f>
        <v>246.0230433917967</v>
      </c>
      <c r="W100" s="20">
        <f>_xlfn.XLOOKUP(T100,'HDB Recommender'!$P$10:$P$39,'HDB Recommender'!$Q$10:$Q$39,"&gt;30mins",1)</f>
        <v>10</v>
      </c>
      <c r="X100" s="20">
        <f>_xlfn.XLOOKUP(U100,'HDB Recommender'!$P$10:$P$39,'HDB Recommender'!$Q$10:$Q$39,"&gt;30mins",1)</f>
        <v>3</v>
      </c>
      <c r="Y100" s="20">
        <f>_xlfn.XLOOKUP(V100,'HDB Recommender'!$P$10:$P$39,'HDB Recommender'!$Q$10:$Q$39,"&gt;30mins",1)</f>
        <v>4</v>
      </c>
      <c r="Z100" s="39">
        <f t="shared" si="3"/>
        <v>5.666666666666667</v>
      </c>
      <c r="AA100" s="20" t="str">
        <f t="shared" si="2"/>
        <v>Within 1km</v>
      </c>
    </row>
    <row r="101" spans="2:27" hidden="1">
      <c r="B101" s="35" t="s">
        <v>317</v>
      </c>
      <c r="C101" s="35" t="s">
        <v>482</v>
      </c>
      <c r="D101" s="35" t="s">
        <v>20</v>
      </c>
      <c r="E101" s="35"/>
      <c r="F101" s="35" t="s">
        <v>498</v>
      </c>
      <c r="G101" s="35" t="s">
        <v>191</v>
      </c>
      <c r="H101" s="35">
        <v>93</v>
      </c>
      <c r="I101" s="35" t="s">
        <v>335</v>
      </c>
      <c r="J101" s="36">
        <v>2017</v>
      </c>
      <c r="K101" s="39">
        <v>93.25</v>
      </c>
      <c r="L101" s="37">
        <v>528000</v>
      </c>
      <c r="M101" s="35" t="s">
        <v>499</v>
      </c>
      <c r="N101" s="27">
        <v>682811</v>
      </c>
      <c r="O101" s="38">
        <v>1.37312145835945</v>
      </c>
      <c r="P101" s="38">
        <v>103.74538215346701</v>
      </c>
      <c r="Q101" s="38" t="str" cm="1">
        <f t="array" ref="Q101">INDEX('MRT station dataset'!$C$3:$C$179, MATCH(MIN(SQRT(('MRT station dataset'!$E$3:$E$179-'Resale flat dataset'!O101)^2+('MRT station dataset'!$F$3:$F$179-'Resale flat dataset'!P101)^2)), SQRT(('MRT station dataset'!$E$3:$E$179-'Resale flat dataset'!O101)^2+('MRT station dataset'!$F$3:$F$179-'Resale flat dataset'!P101)^2), 0))</f>
        <v>KEAT HONG LRT STATION</v>
      </c>
      <c r="R101" s="38" t="str" cm="1">
        <f t="array" ref="R101">INDEX('Mall Dataset'!$B$3:$B$157, MATCH(MIN(SQRT(('Mall Dataset'!$E$3:$E$157-'Resale flat dataset'!O101)^2+('Mall Dataset'!$F$3:$F$157-'Resale flat dataset'!P101)^2)), SQRT(('Mall Dataset'!$E$3:$E$157-'Resale flat dataset'!O101)^2+('Mall Dataset'!$F$3:$F$157-'Resale flat dataset'!P101)^2), 0))</f>
        <v>Keat Hong Shopping Centre</v>
      </c>
      <c r="S101" s="38" t="str" cm="1">
        <f t="array" ref="S101">INDEX('Schools dataset'!$B$3:$B$187, MATCH(MIN(SQRT(('Schools dataset'!$J$3:$J$187-'Resale flat dataset'!O101)^2+('Schools dataset'!$K$3:$K$187-'Resale flat dataset'!P101)^2)), SQRT(('Schools dataset'!$J$3:$J$187-'Resale flat dataset'!O101)^2+('Schools dataset'!$K$3:$K$187-'Resale flat dataset'!P101)^2), 0))</f>
        <v>CHUA CHU KANG PRIMARY SCHOOL</v>
      </c>
      <c r="T101" s="39">
        <f>ACOS(COS(RADIANS(90-O101))*COS(RADIANS(90-_xlfn.XLOOKUP(Q101,'MRT station dataset'!$C$3:$C$179,'MRT station dataset'!$E$3:$E$179)))+SIN(RADIANS(90-O101))*SIN(RADIANS(90-_xlfn.XLOOKUP(Q101,'MRT station dataset'!$C$3:$C$179,'MRT station dataset'!$E$3:$E$179)))*COS(RADIANS(P101-_xlfn.XLOOKUP('Resale flat dataset'!Q101,'MRT station dataset'!$C$3:$C$179,'MRT station dataset'!$F$3:$F$179))))*6371*1000</f>
        <v>736.14764515043055</v>
      </c>
      <c r="U101" s="39">
        <f>ACOS(COS(RADIANS(90-O101))*COS(RADIANS(90-_xlfn.XLOOKUP(R101,'Mall Dataset'!$B$3:$B$157,'Mall Dataset'!$E$3:$E$157,,0)))+SIN(RADIANS(90-O101))*SIN(RADIANS(90-_xlfn.XLOOKUP(R101,'Mall Dataset'!$B$3:$B$157,'Mall Dataset'!$E$3:$E$157,,0)))*COS(RADIANS(P101-_xlfn.XLOOKUP(R101,'Mall Dataset'!$B$3:$B$157,'Mall Dataset'!$F$3:$F$157,,0))))*6371*1000</f>
        <v>484.60254535853852</v>
      </c>
      <c r="V101" s="39">
        <f>ACOS(COS(RADIANS(90-O101))*COS(RADIANS(90-_xlfn.XLOOKUP(S101,'Schools dataset'!$B$3:$B$187,'Schools dataset'!$J$3:$J$187,,0)))+SIN(RADIANS(90-O101))*SIN(RADIANS(90-_xlfn.XLOOKUP(S101,'Schools dataset'!$B$3:$B$187,'Schools dataset'!$J$3:$J$187,,0)))*COS(RADIANS(P101-_xlfn.XLOOKUP(S101,'Schools dataset'!$B$3:$B$187,'Schools dataset'!$K$3:$K$187,,0))))*6371*1000</f>
        <v>649.28403979579264</v>
      </c>
      <c r="W101" s="20">
        <f>_xlfn.XLOOKUP(T101,'HDB Recommender'!$P$10:$P$39,'HDB Recommender'!$Q$10:$Q$39,"&gt;30mins",1)</f>
        <v>10</v>
      </c>
      <c r="X101" s="20">
        <f>_xlfn.XLOOKUP(U101,'HDB Recommender'!$P$10:$P$39,'HDB Recommender'!$Q$10:$Q$39,"&gt;30mins",1)</f>
        <v>7</v>
      </c>
      <c r="Y101" s="20">
        <f>_xlfn.XLOOKUP(V101,'HDB Recommender'!$P$10:$P$39,'HDB Recommender'!$Q$10:$Q$39,"&gt;30mins",1)</f>
        <v>9</v>
      </c>
      <c r="Z101" s="39">
        <f t="shared" si="3"/>
        <v>8.6666666666666661</v>
      </c>
      <c r="AA101" s="20" t="str">
        <f t="shared" si="2"/>
        <v>Within 1km</v>
      </c>
    </row>
    <row r="102" spans="2:27" hidden="1">
      <c r="B102" s="35" t="s">
        <v>317</v>
      </c>
      <c r="C102" s="35" t="s">
        <v>482</v>
      </c>
      <c r="D102" s="35" t="s">
        <v>20</v>
      </c>
      <c r="E102" s="35">
        <v>680</v>
      </c>
      <c r="F102" s="35" t="s">
        <v>500</v>
      </c>
      <c r="G102" s="35" t="s">
        <v>191</v>
      </c>
      <c r="H102" s="35">
        <v>105</v>
      </c>
      <c r="I102" s="35" t="s">
        <v>389</v>
      </c>
      <c r="J102" s="36">
        <v>1999</v>
      </c>
      <c r="K102" s="39">
        <v>75.1666666666666</v>
      </c>
      <c r="L102" s="37">
        <v>495888</v>
      </c>
      <c r="M102" s="35" t="s">
        <v>501</v>
      </c>
      <c r="N102" s="27">
        <v>680680</v>
      </c>
      <c r="O102" s="38">
        <v>1.40333610825505</v>
      </c>
      <c r="P102" s="38">
        <v>103.745131655848</v>
      </c>
      <c r="Q102" s="38" t="str" cm="1">
        <f t="array" ref="Q102">INDEX('MRT station dataset'!$C$3:$C$179, MATCH(MIN(SQRT(('MRT station dataset'!$E$3:$E$179-'Resale flat dataset'!O102)^2+('MRT station dataset'!$F$3:$F$179-'Resale flat dataset'!P102)^2)), SQRT(('MRT station dataset'!$E$3:$E$179-'Resale flat dataset'!O102)^2+('MRT station dataset'!$F$3:$F$179-'Resale flat dataset'!P102)^2), 0))</f>
        <v>YEW TEE MRT STATION</v>
      </c>
      <c r="R102" s="38" t="str" cm="1">
        <f t="array" ref="R102">INDEX('Mall Dataset'!$B$3:$B$157, MATCH(MIN(SQRT(('Mall Dataset'!$E$3:$E$157-'Resale flat dataset'!O102)^2+('Mall Dataset'!$F$3:$F$157-'Resale flat dataset'!P102)^2)), SQRT(('Mall Dataset'!$E$3:$E$157-'Resale flat dataset'!O102)^2+('Mall Dataset'!$F$3:$F$157-'Resale flat dataset'!P102)^2), 0))</f>
        <v>Yew Tee Square</v>
      </c>
      <c r="S102" s="38" t="str" cm="1">
        <f t="array" ref="S102">INDEX('Schools dataset'!$B$3:$B$187, MATCH(MIN(SQRT(('Schools dataset'!$J$3:$J$187-'Resale flat dataset'!O102)^2+('Schools dataset'!$K$3:$K$187-'Resale flat dataset'!P102)^2)), SQRT(('Schools dataset'!$J$3:$J$187-'Resale flat dataset'!O102)^2+('Schools dataset'!$K$3:$K$187-'Resale flat dataset'!P102)^2), 0))</f>
        <v>UNITY PRIMARY SCHOOL</v>
      </c>
      <c r="T102" s="39">
        <f>ACOS(COS(RADIANS(90-O102))*COS(RADIANS(90-_xlfn.XLOOKUP(Q102,'MRT station dataset'!$C$3:$C$179,'MRT station dataset'!$E$3:$E$179)))+SIN(RADIANS(90-O102))*SIN(RADIANS(90-_xlfn.XLOOKUP(Q102,'MRT station dataset'!$C$3:$C$179,'MRT station dataset'!$E$3:$E$179)))*COS(RADIANS(P102-_xlfn.XLOOKUP('Resale flat dataset'!Q102,'MRT station dataset'!$C$3:$C$179,'MRT station dataset'!$F$3:$F$179))))*6371*1000</f>
        <v>696.21230423100928</v>
      </c>
      <c r="U102" s="39">
        <f>ACOS(COS(RADIANS(90-O102))*COS(RADIANS(90-_xlfn.XLOOKUP(R102,'Mall Dataset'!$B$3:$B$157,'Mall Dataset'!$E$3:$E$157,,0)))+SIN(RADIANS(90-O102))*SIN(RADIANS(90-_xlfn.XLOOKUP(R102,'Mall Dataset'!$B$3:$B$157,'Mall Dataset'!$E$3:$E$157,,0)))*COS(RADIANS(P102-_xlfn.XLOOKUP(R102,'Mall Dataset'!$B$3:$B$157,'Mall Dataset'!$F$3:$F$157,,0))))*6371*1000</f>
        <v>597.72780516145986</v>
      </c>
      <c r="V102" s="39">
        <f>ACOS(COS(RADIANS(90-O102))*COS(RADIANS(90-_xlfn.XLOOKUP(S102,'Schools dataset'!$B$3:$B$187,'Schools dataset'!$J$3:$J$187,,0)))+SIN(RADIANS(90-O102))*SIN(RADIANS(90-_xlfn.XLOOKUP(S102,'Schools dataset'!$B$3:$B$187,'Schools dataset'!$J$3:$J$187,,0)))*COS(RADIANS(P102-_xlfn.XLOOKUP(S102,'Schools dataset'!$B$3:$B$187,'Schools dataset'!$K$3:$K$187,,0))))*6371*1000</f>
        <v>195.5169816746025</v>
      </c>
      <c r="W102" s="20">
        <f>_xlfn.XLOOKUP(T102,'HDB Recommender'!$P$10:$P$39,'HDB Recommender'!$Q$10:$Q$39,"&gt;30mins",1)</f>
        <v>10</v>
      </c>
      <c r="X102" s="20">
        <f>_xlfn.XLOOKUP(U102,'HDB Recommender'!$P$10:$P$39,'HDB Recommender'!$Q$10:$Q$39,"&gt;30mins",1)</f>
        <v>8</v>
      </c>
      <c r="Y102" s="20">
        <f>_xlfn.XLOOKUP(V102,'HDB Recommender'!$P$10:$P$39,'HDB Recommender'!$Q$10:$Q$39,"&gt;30mins",1)</f>
        <v>3</v>
      </c>
      <c r="Z102" s="39">
        <f t="shared" si="3"/>
        <v>7</v>
      </c>
      <c r="AA102" s="20" t="str">
        <f t="shared" si="2"/>
        <v>Within 1km</v>
      </c>
    </row>
    <row r="103" spans="2:27" hidden="1">
      <c r="B103" s="35" t="s">
        <v>317</v>
      </c>
      <c r="C103" s="35" t="s">
        <v>482</v>
      </c>
      <c r="D103" s="35" t="s">
        <v>20</v>
      </c>
      <c r="E103" s="35">
        <v>658</v>
      </c>
      <c r="F103" s="35" t="s">
        <v>500</v>
      </c>
      <c r="G103" s="35" t="s">
        <v>184</v>
      </c>
      <c r="H103" s="35">
        <v>104</v>
      </c>
      <c r="I103" s="35" t="s">
        <v>389</v>
      </c>
      <c r="J103" s="36">
        <v>1999</v>
      </c>
      <c r="K103" s="39">
        <v>74.5833333333333</v>
      </c>
      <c r="L103" s="37">
        <v>475000</v>
      </c>
      <c r="M103" s="35" t="s">
        <v>502</v>
      </c>
      <c r="N103" s="27">
        <v>680658</v>
      </c>
      <c r="O103" s="38">
        <v>1.40075418778953</v>
      </c>
      <c r="P103" s="38">
        <v>103.749259984055</v>
      </c>
      <c r="Q103" s="38" t="str" cm="1">
        <f t="array" ref="Q103">INDEX('MRT station dataset'!$C$3:$C$179, MATCH(MIN(SQRT(('MRT station dataset'!$E$3:$E$179-'Resale flat dataset'!O103)^2+('MRT station dataset'!$F$3:$F$179-'Resale flat dataset'!P103)^2)), SQRT(('MRT station dataset'!$E$3:$E$179-'Resale flat dataset'!O103)^2+('MRT station dataset'!$F$3:$F$179-'Resale flat dataset'!P103)^2), 0))</f>
        <v>YEW TEE MRT STATION</v>
      </c>
      <c r="R103" s="38" t="str" cm="1">
        <f t="array" ref="R103">INDEX('Mall Dataset'!$B$3:$B$157, MATCH(MIN(SQRT(('Mall Dataset'!$E$3:$E$157-'Resale flat dataset'!O103)^2+('Mall Dataset'!$F$3:$F$157-'Resale flat dataset'!P103)^2)), SQRT(('Mall Dataset'!$E$3:$E$157-'Resale flat dataset'!O103)^2+('Mall Dataset'!$F$3:$F$157-'Resale flat dataset'!P103)^2), 0))</f>
        <v>Yew Tee Square</v>
      </c>
      <c r="S103" s="38" t="str" cm="1">
        <f t="array" ref="S103">INDEX('Schools dataset'!$B$3:$B$187, MATCH(MIN(SQRT(('Schools dataset'!$J$3:$J$187-'Resale flat dataset'!O103)^2+('Schools dataset'!$K$3:$K$187-'Resale flat dataset'!P103)^2)), SQRT(('Schools dataset'!$J$3:$J$187-'Resale flat dataset'!O103)^2+('Schools dataset'!$K$3:$K$187-'Resale flat dataset'!P103)^2), 0))</f>
        <v>UNITY PRIMARY SCHOOL</v>
      </c>
      <c r="T103" s="39">
        <f>ACOS(COS(RADIANS(90-O103))*COS(RADIANS(90-_xlfn.XLOOKUP(Q103,'MRT station dataset'!$C$3:$C$179,'MRT station dataset'!$E$3:$E$179)))+SIN(RADIANS(90-O103))*SIN(RADIANS(90-_xlfn.XLOOKUP(Q103,'MRT station dataset'!$C$3:$C$179,'MRT station dataset'!$E$3:$E$179)))*COS(RADIANS(P103-_xlfn.XLOOKUP('Resale flat dataset'!Q103,'MRT station dataset'!$C$3:$C$179,'MRT station dataset'!$F$3:$F$179))))*6371*1000</f>
        <v>416.75431272888153</v>
      </c>
      <c r="U103" s="39">
        <f>ACOS(COS(RADIANS(90-O103))*COS(RADIANS(90-_xlfn.XLOOKUP(R103,'Mall Dataset'!$B$3:$B$157,'Mall Dataset'!$E$3:$E$157,,0)))+SIN(RADIANS(90-O103))*SIN(RADIANS(90-_xlfn.XLOOKUP(R103,'Mall Dataset'!$B$3:$B$157,'Mall Dataset'!$E$3:$E$157,,0)))*COS(RADIANS(P103-_xlfn.XLOOKUP(R103,'Mall Dataset'!$B$3:$B$157,'Mall Dataset'!$F$3:$F$157,,0))))*6371*1000</f>
        <v>351.2004674057365</v>
      </c>
      <c r="V103" s="39">
        <f>ACOS(COS(RADIANS(90-O103))*COS(RADIANS(90-_xlfn.XLOOKUP(S103,'Schools dataset'!$B$3:$B$187,'Schools dataset'!$J$3:$J$187,,0)))+SIN(RADIANS(90-O103))*SIN(RADIANS(90-_xlfn.XLOOKUP(S103,'Schools dataset'!$B$3:$B$187,'Schools dataset'!$J$3:$J$187,,0)))*COS(RADIANS(P103-_xlfn.XLOOKUP(S103,'Schools dataset'!$B$3:$B$187,'Schools dataset'!$K$3:$K$187,,0))))*6371*1000</f>
        <v>354.39697686318362</v>
      </c>
      <c r="W103" s="20">
        <f>_xlfn.XLOOKUP(T103,'HDB Recommender'!$P$10:$P$39,'HDB Recommender'!$Q$10:$Q$39,"&gt;30mins",1)</f>
        <v>6</v>
      </c>
      <c r="X103" s="20">
        <f>_xlfn.XLOOKUP(U103,'HDB Recommender'!$P$10:$P$39,'HDB Recommender'!$Q$10:$Q$39,"&gt;30mins",1)</f>
        <v>5</v>
      </c>
      <c r="Y103" s="20">
        <f>_xlfn.XLOOKUP(V103,'HDB Recommender'!$P$10:$P$39,'HDB Recommender'!$Q$10:$Q$39,"&gt;30mins",1)</f>
        <v>5</v>
      </c>
      <c r="Z103" s="39">
        <f t="shared" si="3"/>
        <v>5.333333333333333</v>
      </c>
      <c r="AA103" s="20" t="str">
        <f t="shared" si="2"/>
        <v>Within 1km</v>
      </c>
    </row>
    <row r="104" spans="2:27" hidden="1">
      <c r="B104" s="35" t="s">
        <v>317</v>
      </c>
      <c r="C104" s="35" t="s">
        <v>482</v>
      </c>
      <c r="D104" s="35" t="s">
        <v>20</v>
      </c>
      <c r="E104" s="35"/>
      <c r="F104" s="35" t="s">
        <v>503</v>
      </c>
      <c r="G104" s="35" t="s">
        <v>184</v>
      </c>
      <c r="H104" s="35">
        <v>90</v>
      </c>
      <c r="I104" s="35" t="s">
        <v>335</v>
      </c>
      <c r="J104" s="36">
        <v>2002</v>
      </c>
      <c r="K104" s="39">
        <v>77.5833333333333</v>
      </c>
      <c r="L104" s="37">
        <v>457500</v>
      </c>
      <c r="M104" s="35" t="s">
        <v>504</v>
      </c>
      <c r="N104" s="27">
        <v>681688</v>
      </c>
      <c r="O104" s="38">
        <v>1.40396387456119</v>
      </c>
      <c r="P104" s="38">
        <v>103.750566306243</v>
      </c>
      <c r="Q104" s="38" t="str" cm="1">
        <f t="array" ref="Q104">INDEX('MRT station dataset'!$C$3:$C$179, MATCH(MIN(SQRT(('MRT station dataset'!$E$3:$E$179-'Resale flat dataset'!O104)^2+('MRT station dataset'!$F$3:$F$179-'Resale flat dataset'!P104)^2)), SQRT(('MRT station dataset'!$E$3:$E$179-'Resale flat dataset'!O104)^2+('MRT station dataset'!$F$3:$F$179-'Resale flat dataset'!P104)^2), 0))</f>
        <v>YEW TEE MRT STATION</v>
      </c>
      <c r="R104" s="38" t="str" cm="1">
        <f t="array" ref="R104">INDEX('Mall Dataset'!$B$3:$B$157, MATCH(MIN(SQRT(('Mall Dataset'!$E$3:$E$157-'Resale flat dataset'!O104)^2+('Mall Dataset'!$F$3:$F$157-'Resale flat dataset'!P104)^2)), SQRT(('Mall Dataset'!$E$3:$E$157-'Resale flat dataset'!O104)^2+('Mall Dataset'!$F$3:$F$157-'Resale flat dataset'!P104)^2), 0))</f>
        <v>Yew Tee Square</v>
      </c>
      <c r="S104" s="38" t="str" cm="1">
        <f t="array" ref="S104">INDEX('Schools dataset'!$B$3:$B$187, MATCH(MIN(SQRT(('Schools dataset'!$J$3:$J$187-'Resale flat dataset'!O104)^2+('Schools dataset'!$K$3:$K$187-'Resale flat dataset'!P104)^2)), SQRT(('Schools dataset'!$J$3:$J$187-'Resale flat dataset'!O104)^2+('Schools dataset'!$K$3:$K$187-'Resale flat dataset'!P104)^2), 0))</f>
        <v>UNITY PRIMARY SCHOOL</v>
      </c>
      <c r="T104" s="39">
        <f>ACOS(COS(RADIANS(90-O104))*COS(RADIANS(90-_xlfn.XLOOKUP(Q104,'MRT station dataset'!$C$3:$C$179,'MRT station dataset'!$E$3:$E$179)))+SIN(RADIANS(90-O104))*SIN(RADIANS(90-_xlfn.XLOOKUP(Q104,'MRT station dataset'!$C$3:$C$179,'MRT station dataset'!$E$3:$E$179)))*COS(RADIANS(P104-_xlfn.XLOOKUP('Resale flat dataset'!Q104,'MRT station dataset'!$C$3:$C$179,'MRT station dataset'!$F$3:$F$179))))*6371*1000</f>
        <v>800.30363892692515</v>
      </c>
      <c r="U104" s="39">
        <f>ACOS(COS(RADIANS(90-O104))*COS(RADIANS(90-_xlfn.XLOOKUP(R104,'Mall Dataset'!$B$3:$B$157,'Mall Dataset'!$E$3:$E$157,,0)))+SIN(RADIANS(90-O104))*SIN(RADIANS(90-_xlfn.XLOOKUP(R104,'Mall Dataset'!$B$3:$B$157,'Mall Dataset'!$E$3:$E$157,,0)))*COS(RADIANS(P104-_xlfn.XLOOKUP(R104,'Mall Dataset'!$B$3:$B$157,'Mall Dataset'!$F$3:$F$157,,0))))*6371*1000</f>
        <v>726.61176863488879</v>
      </c>
      <c r="V104" s="39">
        <f>ACOS(COS(RADIANS(90-O104))*COS(RADIANS(90-_xlfn.XLOOKUP(S104,'Schools dataset'!$B$3:$B$187,'Schools dataset'!$J$3:$J$187,,0)))+SIN(RADIANS(90-O104))*SIN(RADIANS(90-_xlfn.XLOOKUP(S104,'Schools dataset'!$B$3:$B$187,'Schools dataset'!$J$3:$J$187,,0)))*COS(RADIANS(P104-_xlfn.XLOOKUP(S104,'Schools dataset'!$B$3:$B$187,'Schools dataset'!$K$3:$K$187,,0))))*6371*1000</f>
        <v>438.64466872968899</v>
      </c>
      <c r="W104" s="20">
        <f>_xlfn.XLOOKUP(T104,'HDB Recommender'!$P$10:$P$39,'HDB Recommender'!$Q$10:$Q$39,"&gt;30mins",1)</f>
        <v>11</v>
      </c>
      <c r="X104" s="20">
        <f>_xlfn.XLOOKUP(U104,'HDB Recommender'!$P$10:$P$39,'HDB Recommender'!$Q$10:$Q$39,"&gt;30mins",1)</f>
        <v>10</v>
      </c>
      <c r="Y104" s="20">
        <f>_xlfn.XLOOKUP(V104,'HDB Recommender'!$P$10:$P$39,'HDB Recommender'!$Q$10:$Q$39,"&gt;30mins",1)</f>
        <v>6</v>
      </c>
      <c r="Z104" s="39">
        <f t="shared" si="3"/>
        <v>9</v>
      </c>
      <c r="AA104" s="20" t="str">
        <f t="shared" si="2"/>
        <v>Within 1km</v>
      </c>
    </row>
    <row r="105" spans="2:27" hidden="1">
      <c r="B105" s="35" t="s">
        <v>317</v>
      </c>
      <c r="C105" s="35" t="s">
        <v>482</v>
      </c>
      <c r="D105" s="35" t="s">
        <v>20</v>
      </c>
      <c r="E105" s="35">
        <v>636</v>
      </c>
      <c r="F105" s="35" t="s">
        <v>505</v>
      </c>
      <c r="G105" s="35" t="s">
        <v>323</v>
      </c>
      <c r="H105" s="35">
        <v>113</v>
      </c>
      <c r="I105" s="35" t="s">
        <v>389</v>
      </c>
      <c r="J105" s="36">
        <v>1998</v>
      </c>
      <c r="K105" s="39">
        <v>73.3333333333333</v>
      </c>
      <c r="L105" s="37">
        <v>575000</v>
      </c>
      <c r="M105" s="35" t="s">
        <v>506</v>
      </c>
      <c r="N105" s="27">
        <v>680636</v>
      </c>
      <c r="O105" s="38">
        <v>1.3972777533158101</v>
      </c>
      <c r="P105" s="38">
        <v>103.748932039354</v>
      </c>
      <c r="Q105" s="38" t="str" cm="1">
        <f t="array" ref="Q105">INDEX('MRT station dataset'!$C$3:$C$179, MATCH(MIN(SQRT(('MRT station dataset'!$E$3:$E$179-'Resale flat dataset'!O105)^2+('MRT station dataset'!$F$3:$F$179-'Resale flat dataset'!P105)^2)), SQRT(('MRT station dataset'!$E$3:$E$179-'Resale flat dataset'!O105)^2+('MRT station dataset'!$F$3:$F$179-'Resale flat dataset'!P105)^2), 0))</f>
        <v>YEW TEE MRT STATION</v>
      </c>
      <c r="R105" s="38" t="str" cm="1">
        <f t="array" ref="R105">INDEX('Mall Dataset'!$B$3:$B$157, MATCH(MIN(SQRT(('Mall Dataset'!$E$3:$E$157-'Resale flat dataset'!O105)^2+('Mall Dataset'!$F$3:$F$157-'Resale flat dataset'!P105)^2)), SQRT(('Mall Dataset'!$E$3:$E$157-'Resale flat dataset'!O105)^2+('Mall Dataset'!$F$3:$F$157-'Resale flat dataset'!P105)^2), 0))</f>
        <v>Yew Tee Square</v>
      </c>
      <c r="S105" s="38" t="str" cm="1">
        <f t="array" ref="S105">INDEX('Schools dataset'!$B$3:$B$187, MATCH(MIN(SQRT(('Schools dataset'!$J$3:$J$187-'Resale flat dataset'!O105)^2+('Schools dataset'!$K$3:$K$187-'Resale flat dataset'!P105)^2)), SQRT(('Schools dataset'!$J$3:$J$187-'Resale flat dataset'!O105)^2+('Schools dataset'!$K$3:$K$187-'Resale flat dataset'!P105)^2), 0))</f>
        <v>YEW TEE PRIMARY SCHOOL</v>
      </c>
      <c r="T105" s="39">
        <f>ACOS(COS(RADIANS(90-O105))*COS(RADIANS(90-_xlfn.XLOOKUP(Q105,'MRT station dataset'!$C$3:$C$179,'MRT station dataset'!$E$3:$E$179)))+SIN(RADIANS(90-O105))*SIN(RADIANS(90-_xlfn.XLOOKUP(Q105,'MRT station dataset'!$C$3:$C$179,'MRT station dataset'!$E$3:$E$179)))*COS(RADIANS(P105-_xlfn.XLOOKUP('Resale flat dataset'!Q105,'MRT station dataset'!$C$3:$C$179,'MRT station dataset'!$F$3:$F$179))))*6371*1000</f>
        <v>172.08802865321937</v>
      </c>
      <c r="U105" s="39">
        <f>ACOS(COS(RADIANS(90-O105))*COS(RADIANS(90-_xlfn.XLOOKUP(R105,'Mall Dataset'!$B$3:$B$157,'Mall Dataset'!$E$3:$E$157,,0)))+SIN(RADIANS(90-O105))*SIN(RADIANS(90-_xlfn.XLOOKUP(R105,'Mall Dataset'!$B$3:$B$157,'Mall Dataset'!$E$3:$E$157,,0)))*COS(RADIANS(P105-_xlfn.XLOOKUP(R105,'Mall Dataset'!$B$3:$B$157,'Mall Dataset'!$F$3:$F$157,,0))))*6371*1000</f>
        <v>228.69199974524014</v>
      </c>
      <c r="V105" s="39">
        <f>ACOS(COS(RADIANS(90-O105))*COS(RADIANS(90-_xlfn.XLOOKUP(S105,'Schools dataset'!$B$3:$B$187,'Schools dataset'!$J$3:$J$187,,0)))+SIN(RADIANS(90-O105))*SIN(RADIANS(90-_xlfn.XLOOKUP(S105,'Schools dataset'!$B$3:$B$187,'Schools dataset'!$J$3:$J$187,,0)))*COS(RADIANS(P105-_xlfn.XLOOKUP(S105,'Schools dataset'!$B$3:$B$187,'Schools dataset'!$K$3:$K$187,,0))))*6371*1000</f>
        <v>235.30262772603217</v>
      </c>
      <c r="W105" s="20">
        <f>_xlfn.XLOOKUP(T105,'HDB Recommender'!$P$10:$P$39,'HDB Recommender'!$Q$10:$Q$39,"&gt;30mins",1)</f>
        <v>3</v>
      </c>
      <c r="X105" s="20">
        <f>_xlfn.XLOOKUP(U105,'HDB Recommender'!$P$10:$P$39,'HDB Recommender'!$Q$10:$Q$39,"&gt;30mins",1)</f>
        <v>4</v>
      </c>
      <c r="Y105" s="20">
        <f>_xlfn.XLOOKUP(V105,'HDB Recommender'!$P$10:$P$39,'HDB Recommender'!$Q$10:$Q$39,"&gt;30mins",1)</f>
        <v>4</v>
      </c>
      <c r="Z105" s="39">
        <f t="shared" si="3"/>
        <v>3.6666666666666665</v>
      </c>
      <c r="AA105" s="20" t="str">
        <f t="shared" si="2"/>
        <v>Within 1km</v>
      </c>
    </row>
    <row r="106" spans="2:27" hidden="1">
      <c r="B106" s="35" t="s">
        <v>317</v>
      </c>
      <c r="C106" s="35" t="s">
        <v>482</v>
      </c>
      <c r="D106" s="35" t="s">
        <v>20</v>
      </c>
      <c r="E106" s="35">
        <v>635</v>
      </c>
      <c r="F106" s="35" t="s">
        <v>505</v>
      </c>
      <c r="G106" s="35" t="s">
        <v>191</v>
      </c>
      <c r="H106" s="35">
        <v>113</v>
      </c>
      <c r="I106" s="35" t="s">
        <v>389</v>
      </c>
      <c r="J106" s="36">
        <v>1998</v>
      </c>
      <c r="K106" s="39">
        <v>73.3333333333333</v>
      </c>
      <c r="L106" s="37">
        <v>590000</v>
      </c>
      <c r="M106" s="35" t="s">
        <v>507</v>
      </c>
      <c r="N106" s="27">
        <v>680635</v>
      </c>
      <c r="O106" s="38">
        <v>1.39737094150025</v>
      </c>
      <c r="P106" s="38">
        <v>103.749602912203</v>
      </c>
      <c r="Q106" s="38" t="str" cm="1">
        <f t="array" ref="Q106">INDEX('MRT station dataset'!$C$3:$C$179, MATCH(MIN(SQRT(('MRT station dataset'!$E$3:$E$179-'Resale flat dataset'!O106)^2+('MRT station dataset'!$F$3:$F$179-'Resale flat dataset'!P106)^2)), SQRT(('MRT station dataset'!$E$3:$E$179-'Resale flat dataset'!O106)^2+('MRT station dataset'!$F$3:$F$179-'Resale flat dataset'!P106)^2), 0))</f>
        <v>YEW TEE MRT STATION</v>
      </c>
      <c r="R106" s="38" t="str" cm="1">
        <f t="array" ref="R106">INDEX('Mall Dataset'!$B$3:$B$157, MATCH(MIN(SQRT(('Mall Dataset'!$E$3:$E$157-'Resale flat dataset'!O106)^2+('Mall Dataset'!$F$3:$F$157-'Resale flat dataset'!P106)^2)), SQRT(('Mall Dataset'!$E$3:$E$157-'Resale flat dataset'!O106)^2+('Mall Dataset'!$F$3:$F$157-'Resale flat dataset'!P106)^2), 0))</f>
        <v>Yew Tee Square</v>
      </c>
      <c r="S106" s="38" t="str" cm="1">
        <f t="array" ref="S106">INDEX('Schools dataset'!$B$3:$B$187, MATCH(MIN(SQRT(('Schools dataset'!$J$3:$J$187-'Resale flat dataset'!O106)^2+('Schools dataset'!$K$3:$K$187-'Resale flat dataset'!P106)^2)), SQRT(('Schools dataset'!$J$3:$J$187-'Resale flat dataset'!O106)^2+('Schools dataset'!$K$3:$K$187-'Resale flat dataset'!P106)^2), 0))</f>
        <v>YEW TEE PRIMARY SCHOOL</v>
      </c>
      <c r="T106" s="39">
        <f>ACOS(COS(RADIANS(90-O106))*COS(RADIANS(90-_xlfn.XLOOKUP(Q106,'MRT station dataset'!$C$3:$C$179,'MRT station dataset'!$E$3:$E$179)))+SIN(RADIANS(90-O106))*SIN(RADIANS(90-_xlfn.XLOOKUP(Q106,'MRT station dataset'!$C$3:$C$179,'MRT station dataset'!$E$3:$E$179)))*COS(RADIANS(P106-_xlfn.XLOOKUP('Resale flat dataset'!Q106,'MRT station dataset'!$C$3:$C$179,'MRT station dataset'!$F$3:$F$179))))*6371*1000</f>
        <v>245.29991399705753</v>
      </c>
      <c r="U106" s="39">
        <f>ACOS(COS(RADIANS(90-O106))*COS(RADIANS(90-_xlfn.XLOOKUP(R106,'Mall Dataset'!$B$3:$B$157,'Mall Dataset'!$E$3:$E$157,,0)))+SIN(RADIANS(90-O106))*SIN(RADIANS(90-_xlfn.XLOOKUP(R106,'Mall Dataset'!$B$3:$B$157,'Mall Dataset'!$E$3:$E$157,,0)))*COS(RADIANS(P106-_xlfn.XLOOKUP(R106,'Mall Dataset'!$B$3:$B$157,'Mall Dataset'!$F$3:$F$157,,0))))*6371*1000</f>
        <v>290.44990129925606</v>
      </c>
      <c r="V106" s="39">
        <f>ACOS(COS(RADIANS(90-O106))*COS(RADIANS(90-_xlfn.XLOOKUP(S106,'Schools dataset'!$B$3:$B$187,'Schools dataset'!$J$3:$J$187,,0)))+SIN(RADIANS(90-O106))*SIN(RADIANS(90-_xlfn.XLOOKUP(S106,'Schools dataset'!$B$3:$B$187,'Schools dataset'!$J$3:$J$187,,0)))*COS(RADIANS(P106-_xlfn.XLOOKUP(S106,'Schools dataset'!$B$3:$B$187,'Schools dataset'!$K$3:$K$187,,0))))*6371*1000</f>
        <v>167.81400348095988</v>
      </c>
      <c r="W106" s="20">
        <f>_xlfn.XLOOKUP(T106,'HDB Recommender'!$P$10:$P$39,'HDB Recommender'!$Q$10:$Q$39,"&gt;30mins",1)</f>
        <v>4</v>
      </c>
      <c r="X106" s="20">
        <f>_xlfn.XLOOKUP(U106,'HDB Recommender'!$P$10:$P$39,'HDB Recommender'!$Q$10:$Q$39,"&gt;30mins",1)</f>
        <v>4</v>
      </c>
      <c r="Y106" s="20">
        <f>_xlfn.XLOOKUP(V106,'HDB Recommender'!$P$10:$P$39,'HDB Recommender'!$Q$10:$Q$39,"&gt;30mins",1)</f>
        <v>3</v>
      </c>
      <c r="Z106" s="39">
        <f t="shared" si="3"/>
        <v>3.6666666666666665</v>
      </c>
      <c r="AA106" s="20" t="str">
        <f t="shared" si="2"/>
        <v>Within 1km</v>
      </c>
    </row>
    <row r="107" spans="2:27" hidden="1">
      <c r="B107" s="35" t="s">
        <v>317</v>
      </c>
      <c r="C107" s="35" t="s">
        <v>482</v>
      </c>
      <c r="D107" s="35" t="s">
        <v>20</v>
      </c>
      <c r="E107" s="35">
        <v>1</v>
      </c>
      <c r="F107" s="35" t="s">
        <v>508</v>
      </c>
      <c r="G107" s="35" t="s">
        <v>189</v>
      </c>
      <c r="H107" s="35">
        <v>104</v>
      </c>
      <c r="I107" s="35" t="s">
        <v>335</v>
      </c>
      <c r="J107" s="36">
        <v>1984</v>
      </c>
      <c r="K107" s="39">
        <v>60.0833333333333</v>
      </c>
      <c r="L107" s="37">
        <v>451000</v>
      </c>
      <c r="M107" s="35" t="s">
        <v>509</v>
      </c>
      <c r="N107" s="27">
        <v>680001</v>
      </c>
      <c r="O107" s="38">
        <v>1.3825388286195599</v>
      </c>
      <c r="P107" s="38">
        <v>103.751710905678</v>
      </c>
      <c r="Q107" s="38" t="str" cm="1">
        <f t="array" ref="Q107">INDEX('MRT station dataset'!$C$3:$C$179, MATCH(MIN(SQRT(('MRT station dataset'!$E$3:$E$179-'Resale flat dataset'!O107)^2+('MRT station dataset'!$F$3:$F$179-'Resale flat dataset'!P107)^2)), SQRT(('MRT station dataset'!$E$3:$E$179-'Resale flat dataset'!O107)^2+('MRT station dataset'!$F$3:$F$179-'Resale flat dataset'!P107)^2), 0))</f>
        <v>KEAT HONG LRT STATION</v>
      </c>
      <c r="R107" s="38" t="str" cm="1">
        <f t="array" ref="R107">INDEX('Mall Dataset'!$B$3:$B$157, MATCH(MIN(SQRT(('Mall Dataset'!$E$3:$E$157-'Resale flat dataset'!O107)^2+('Mall Dataset'!$F$3:$F$157-'Resale flat dataset'!P107)^2)), SQRT(('Mall Dataset'!$E$3:$E$157-'Resale flat dataset'!O107)^2+('Mall Dataset'!$F$3:$F$157-'Resale flat dataset'!P107)^2), 0))</f>
        <v>Teck Whye Shopping Centre</v>
      </c>
      <c r="S107" s="38" t="str" cm="1">
        <f t="array" ref="S107">INDEX('Schools dataset'!$B$3:$B$187, MATCH(MIN(SQRT(('Schools dataset'!$J$3:$J$187-'Resale flat dataset'!O107)^2+('Schools dataset'!$K$3:$K$187-'Resale flat dataset'!P107)^2)), SQRT(('Schools dataset'!$J$3:$J$187-'Resale flat dataset'!O107)^2+('Schools dataset'!$K$3:$K$187-'Resale flat dataset'!P107)^2), 0))</f>
        <v>TECK WHYE PRIMARY SCHOOL</v>
      </c>
      <c r="T107" s="39">
        <f>ACOS(COS(RADIANS(90-O107))*COS(RADIANS(90-_xlfn.XLOOKUP(Q107,'MRT station dataset'!$C$3:$C$179,'MRT station dataset'!$E$3:$E$179)))+SIN(RADIANS(90-O107))*SIN(RADIANS(90-_xlfn.XLOOKUP(Q107,'MRT station dataset'!$C$3:$C$179,'MRT station dataset'!$E$3:$E$179)))*COS(RADIANS(P107-_xlfn.XLOOKUP('Resale flat dataset'!Q107,'MRT station dataset'!$C$3:$C$179,'MRT station dataset'!$F$3:$F$179))))*6371*1000</f>
        <v>525.41505620077248</v>
      </c>
      <c r="U107" s="39">
        <f>ACOS(COS(RADIANS(90-O107))*COS(RADIANS(90-_xlfn.XLOOKUP(R107,'Mall Dataset'!$B$3:$B$157,'Mall Dataset'!$E$3:$E$157,,0)))+SIN(RADIANS(90-O107))*SIN(RADIANS(90-_xlfn.XLOOKUP(R107,'Mall Dataset'!$B$3:$B$157,'Mall Dataset'!$E$3:$E$157,,0)))*COS(RADIANS(P107-_xlfn.XLOOKUP(R107,'Mall Dataset'!$B$3:$B$157,'Mall Dataset'!$F$3:$F$157,,0))))*6371*1000</f>
        <v>290.03875528902421</v>
      </c>
      <c r="V107" s="39">
        <f>ACOS(COS(RADIANS(90-O107))*COS(RADIANS(90-_xlfn.XLOOKUP(S107,'Schools dataset'!$B$3:$B$187,'Schools dataset'!$J$3:$J$187,,0)))+SIN(RADIANS(90-O107))*SIN(RADIANS(90-_xlfn.XLOOKUP(S107,'Schools dataset'!$B$3:$B$187,'Schools dataset'!$J$3:$J$187,,0)))*COS(RADIANS(P107-_xlfn.XLOOKUP(S107,'Schools dataset'!$B$3:$B$187,'Schools dataset'!$K$3:$K$187,,0))))*6371*1000</f>
        <v>214.82739905266013</v>
      </c>
      <c r="W107" s="20">
        <f>_xlfn.XLOOKUP(T107,'HDB Recommender'!$P$10:$P$39,'HDB Recommender'!$Q$10:$Q$39,"&gt;30mins",1)</f>
        <v>8</v>
      </c>
      <c r="X107" s="20">
        <f>_xlfn.XLOOKUP(U107,'HDB Recommender'!$P$10:$P$39,'HDB Recommender'!$Q$10:$Q$39,"&gt;30mins",1)</f>
        <v>4</v>
      </c>
      <c r="Y107" s="20">
        <f>_xlfn.XLOOKUP(V107,'HDB Recommender'!$P$10:$P$39,'HDB Recommender'!$Q$10:$Q$39,"&gt;30mins",1)</f>
        <v>3</v>
      </c>
      <c r="Z107" s="39">
        <f t="shared" si="3"/>
        <v>5</v>
      </c>
      <c r="AA107" s="20" t="str">
        <f t="shared" si="2"/>
        <v>Within 1km</v>
      </c>
    </row>
    <row r="108" spans="2:27" hidden="1">
      <c r="B108" s="35" t="s">
        <v>317</v>
      </c>
      <c r="C108" s="35" t="s">
        <v>482</v>
      </c>
      <c r="D108" s="35" t="s">
        <v>341</v>
      </c>
      <c r="E108" s="35"/>
      <c r="F108" s="35" t="s">
        <v>496</v>
      </c>
      <c r="G108" s="35" t="s">
        <v>191</v>
      </c>
      <c r="H108" s="35">
        <v>113</v>
      </c>
      <c r="I108" s="35" t="s">
        <v>326</v>
      </c>
      <c r="J108" s="36">
        <v>2016</v>
      </c>
      <c r="K108" s="39">
        <v>91.75</v>
      </c>
      <c r="L108" s="37">
        <v>640000</v>
      </c>
      <c r="M108" s="35" t="s">
        <v>510</v>
      </c>
      <c r="N108" s="27">
        <v>683487</v>
      </c>
      <c r="O108" s="38">
        <v>1.3765128070257699</v>
      </c>
      <c r="P108" s="38">
        <v>103.739137682367</v>
      </c>
      <c r="Q108" s="38" t="str" cm="1">
        <f t="array" ref="Q108">INDEX('MRT station dataset'!$C$3:$C$179, MATCH(MIN(SQRT(('MRT station dataset'!$E$3:$E$179-'Resale flat dataset'!O108)^2+('MRT station dataset'!$F$3:$F$179-'Resale flat dataset'!P108)^2)), SQRT(('MRT station dataset'!$E$3:$E$179-'Resale flat dataset'!O108)^2+('MRT station dataset'!$F$3:$F$179-'Resale flat dataset'!P108)^2), 0))</f>
        <v>SOUTH VIEW LRT STATION</v>
      </c>
      <c r="R108" s="38" t="str" cm="1">
        <f t="array" ref="R108">INDEX('Mall Dataset'!$B$3:$B$157, MATCH(MIN(SQRT(('Mall Dataset'!$E$3:$E$157-'Resale flat dataset'!O108)^2+('Mall Dataset'!$F$3:$F$157-'Resale flat dataset'!P108)^2)), SQRT(('Mall Dataset'!$E$3:$E$157-'Resale flat dataset'!O108)^2+('Mall Dataset'!$F$3:$F$157-'Resale flat dataset'!P108)^2), 0))</f>
        <v>Sunshine Place</v>
      </c>
      <c r="S108" s="38" t="str" cm="1">
        <f t="array" ref="S108">INDEX('Schools dataset'!$B$3:$B$187, MATCH(MIN(SQRT(('Schools dataset'!$J$3:$J$187-'Resale flat dataset'!O108)^2+('Schools dataset'!$K$3:$K$187-'Resale flat dataset'!P108)^2)), SQRT(('Schools dataset'!$J$3:$J$187-'Resale flat dataset'!O108)^2+('Schools dataset'!$K$3:$K$187-'Resale flat dataset'!P108)^2), 0))</f>
        <v>CHUA CHU KANG PRIMARY SCHOOL</v>
      </c>
      <c r="T108" s="39">
        <f>ACOS(COS(RADIANS(90-O108))*COS(RADIANS(90-_xlfn.XLOOKUP(Q108,'MRT station dataset'!$C$3:$C$179,'MRT station dataset'!$E$3:$E$179)))+SIN(RADIANS(90-O108))*SIN(RADIANS(90-_xlfn.XLOOKUP(Q108,'MRT station dataset'!$C$3:$C$179,'MRT station dataset'!$E$3:$E$179)))*COS(RADIANS(P108-_xlfn.XLOOKUP('Resale flat dataset'!Q108,'MRT station dataset'!$C$3:$C$179,'MRT station dataset'!$F$3:$F$179))))*6371*1000</f>
        <v>804.10936622350744</v>
      </c>
      <c r="U108" s="39">
        <f>ACOS(COS(RADIANS(90-O108))*COS(RADIANS(90-_xlfn.XLOOKUP(R108,'Mall Dataset'!$B$3:$B$157,'Mall Dataset'!$E$3:$E$157,,0)))+SIN(RADIANS(90-O108))*SIN(RADIANS(90-_xlfn.XLOOKUP(R108,'Mall Dataset'!$B$3:$B$157,'Mall Dataset'!$E$3:$E$157,,0)))*COS(RADIANS(P108-_xlfn.XLOOKUP(R108,'Mall Dataset'!$B$3:$B$157,'Mall Dataset'!$F$3:$F$157,,0))))*6371*1000</f>
        <v>154.5441682032307</v>
      </c>
      <c r="V108" s="39">
        <f>ACOS(COS(RADIANS(90-O108))*COS(RADIANS(90-_xlfn.XLOOKUP(S108,'Schools dataset'!$B$3:$B$187,'Schools dataset'!$J$3:$J$187,,0)))+SIN(RADIANS(90-O108))*SIN(RADIANS(90-_xlfn.XLOOKUP(S108,'Schools dataset'!$B$3:$B$187,'Schools dataset'!$J$3:$J$187,,0)))*COS(RADIANS(P108-_xlfn.XLOOKUP(S108,'Schools dataset'!$B$3:$B$187,'Schools dataset'!$K$3:$K$187,,0))))*6371*1000</f>
        <v>330.09812654001246</v>
      </c>
      <c r="W108" s="20">
        <f>_xlfn.XLOOKUP(T108,'HDB Recommender'!$P$10:$P$39,'HDB Recommender'!$Q$10:$Q$39,"&gt;30mins",1)</f>
        <v>11</v>
      </c>
      <c r="X108" s="20">
        <f>_xlfn.XLOOKUP(U108,'HDB Recommender'!$P$10:$P$39,'HDB Recommender'!$Q$10:$Q$39,"&gt;30mins",1)</f>
        <v>3</v>
      </c>
      <c r="Y108" s="20">
        <f>_xlfn.XLOOKUP(V108,'HDB Recommender'!$P$10:$P$39,'HDB Recommender'!$Q$10:$Q$39,"&gt;30mins",1)</f>
        <v>5</v>
      </c>
      <c r="Z108" s="39">
        <f t="shared" si="3"/>
        <v>6.333333333333333</v>
      </c>
      <c r="AA108" s="20" t="str">
        <f t="shared" si="2"/>
        <v>Within 1km</v>
      </c>
    </row>
    <row r="109" spans="2:27" hidden="1">
      <c r="B109" s="35" t="s">
        <v>317</v>
      </c>
      <c r="C109" s="35" t="s">
        <v>482</v>
      </c>
      <c r="D109" s="35" t="s">
        <v>341</v>
      </c>
      <c r="E109" s="35"/>
      <c r="F109" s="35" t="s">
        <v>496</v>
      </c>
      <c r="G109" s="35" t="s">
        <v>184</v>
      </c>
      <c r="H109" s="35">
        <v>122</v>
      </c>
      <c r="I109" s="35" t="s">
        <v>326</v>
      </c>
      <c r="J109" s="36">
        <v>1999</v>
      </c>
      <c r="K109" s="39">
        <v>74.5833333333333</v>
      </c>
      <c r="L109" s="37">
        <v>591680</v>
      </c>
      <c r="M109" s="35" t="s">
        <v>511</v>
      </c>
      <c r="N109" s="27">
        <v>682485</v>
      </c>
      <c r="O109" s="38">
        <v>1.37429936592367</v>
      </c>
      <c r="P109" s="38">
        <v>103.738807275182</v>
      </c>
      <c r="Q109" s="38" t="str" cm="1">
        <f t="array" ref="Q109">INDEX('MRT station dataset'!$C$3:$C$179, MATCH(MIN(SQRT(('MRT station dataset'!$E$3:$E$179-'Resale flat dataset'!O109)^2+('MRT station dataset'!$F$3:$F$179-'Resale flat dataset'!P109)^2)), SQRT(('MRT station dataset'!$E$3:$E$179-'Resale flat dataset'!O109)^2+('MRT station dataset'!$F$3:$F$179-'Resale flat dataset'!P109)^2), 0))</f>
        <v>SOUTH VIEW LRT STATION</v>
      </c>
      <c r="R109" s="38" t="str" cm="1">
        <f t="array" ref="R109">INDEX('Mall Dataset'!$B$3:$B$157, MATCH(MIN(SQRT(('Mall Dataset'!$E$3:$E$157-'Resale flat dataset'!O109)^2+('Mall Dataset'!$F$3:$F$157-'Resale flat dataset'!P109)^2)), SQRT(('Mall Dataset'!$E$3:$E$157-'Resale flat dataset'!O109)^2+('Mall Dataset'!$F$3:$F$157-'Resale flat dataset'!P109)^2), 0))</f>
        <v>Sunshine Place</v>
      </c>
      <c r="S109" s="38" t="str" cm="1">
        <f t="array" ref="S109">INDEX('Schools dataset'!$B$3:$B$187, MATCH(MIN(SQRT(('Schools dataset'!$J$3:$J$187-'Resale flat dataset'!O109)^2+('Schools dataset'!$K$3:$K$187-'Resale flat dataset'!P109)^2)), SQRT(('Schools dataset'!$J$3:$J$187-'Resale flat dataset'!O109)^2+('Schools dataset'!$K$3:$K$187-'Resale flat dataset'!P109)^2), 0))</f>
        <v>CHUA CHU KANG PRIMARY SCHOOL</v>
      </c>
      <c r="T109" s="39">
        <f>ACOS(COS(RADIANS(90-O109))*COS(RADIANS(90-_xlfn.XLOOKUP(Q109,'MRT station dataset'!$C$3:$C$179,'MRT station dataset'!$E$3:$E$179)))+SIN(RADIANS(90-O109))*SIN(RADIANS(90-_xlfn.XLOOKUP(Q109,'MRT station dataset'!$C$3:$C$179,'MRT station dataset'!$E$3:$E$179)))*COS(RADIANS(P109-_xlfn.XLOOKUP('Resale flat dataset'!Q109,'MRT station dataset'!$C$3:$C$179,'MRT station dataset'!$F$3:$F$179))))*6371*1000</f>
        <v>982.91994738978406</v>
      </c>
      <c r="U109" s="39">
        <f>ACOS(COS(RADIANS(90-O109))*COS(RADIANS(90-_xlfn.XLOOKUP(R109,'Mall Dataset'!$B$3:$B$157,'Mall Dataset'!$E$3:$E$157,,0)))+SIN(RADIANS(90-O109))*SIN(RADIANS(90-_xlfn.XLOOKUP(R109,'Mall Dataset'!$B$3:$B$157,'Mall Dataset'!$E$3:$E$157,,0)))*COS(RADIANS(P109-_xlfn.XLOOKUP(R109,'Mall Dataset'!$B$3:$B$157,'Mall Dataset'!$F$3:$F$157,,0))))*6371*1000</f>
        <v>400.73842346055864</v>
      </c>
      <c r="V109" s="39">
        <f>ACOS(COS(RADIANS(90-O109))*COS(RADIANS(90-_xlfn.XLOOKUP(S109,'Schools dataset'!$B$3:$B$187,'Schools dataset'!$J$3:$J$187,,0)))+SIN(RADIANS(90-O109))*SIN(RADIANS(90-_xlfn.XLOOKUP(S109,'Schools dataset'!$B$3:$B$187,'Schools dataset'!$J$3:$J$187,,0)))*COS(RADIANS(P109-_xlfn.XLOOKUP(S109,'Schools dataset'!$B$3:$B$187,'Schools dataset'!$K$3:$K$187,,0))))*6371*1000</f>
        <v>510.98412425517557</v>
      </c>
      <c r="W109" s="20">
        <f>_xlfn.XLOOKUP(T109,'HDB Recommender'!$P$10:$P$39,'HDB Recommender'!$Q$10:$Q$39,"&gt;30mins",1)</f>
        <v>14</v>
      </c>
      <c r="X109" s="20">
        <f>_xlfn.XLOOKUP(U109,'HDB Recommender'!$P$10:$P$39,'HDB Recommender'!$Q$10:$Q$39,"&gt;30mins",1)</f>
        <v>6</v>
      </c>
      <c r="Y109" s="20">
        <f>_xlfn.XLOOKUP(V109,'HDB Recommender'!$P$10:$P$39,'HDB Recommender'!$Q$10:$Q$39,"&gt;30mins",1)</f>
        <v>7</v>
      </c>
      <c r="Z109" s="39">
        <f t="shared" si="3"/>
        <v>9</v>
      </c>
      <c r="AA109" s="20" t="str">
        <f t="shared" si="2"/>
        <v>Within 1km</v>
      </c>
    </row>
    <row r="110" spans="2:27" hidden="1">
      <c r="B110" s="35" t="s">
        <v>317</v>
      </c>
      <c r="C110" s="35" t="s">
        <v>512</v>
      </c>
      <c r="D110" s="35" t="s">
        <v>318</v>
      </c>
      <c r="E110" s="35">
        <v>307</v>
      </c>
      <c r="F110" s="35" t="s">
        <v>513</v>
      </c>
      <c r="G110" s="35" t="s">
        <v>191</v>
      </c>
      <c r="H110" s="35">
        <v>67</v>
      </c>
      <c r="I110" s="35" t="s">
        <v>320</v>
      </c>
      <c r="J110" s="36">
        <v>1979</v>
      </c>
      <c r="K110" s="39">
        <v>55.1666666666666</v>
      </c>
      <c r="L110" s="37">
        <v>367000</v>
      </c>
      <c r="M110" s="35" t="s">
        <v>514</v>
      </c>
      <c r="N110" s="27">
        <v>120307</v>
      </c>
      <c r="O110" s="38">
        <v>1.321415896635</v>
      </c>
      <c r="P110" s="38">
        <v>103.76710548935</v>
      </c>
      <c r="Q110" s="38" t="str" cm="1">
        <f t="array" ref="Q110">INDEX('MRT station dataset'!$C$3:$C$179, MATCH(MIN(SQRT(('MRT station dataset'!$E$3:$E$179-'Resale flat dataset'!O110)^2+('MRT station dataset'!$F$3:$F$179-'Resale flat dataset'!P110)^2)), SQRT(('MRT station dataset'!$E$3:$E$179-'Resale flat dataset'!O110)^2+('MRT station dataset'!$F$3:$F$179-'Resale flat dataset'!P110)^2), 0))</f>
        <v>CLEMENTI MRT STATION</v>
      </c>
      <c r="R110" s="38" t="str" cm="1">
        <f t="array" ref="R110">INDEX('Mall Dataset'!$B$3:$B$157, MATCH(MIN(SQRT(('Mall Dataset'!$E$3:$E$157-'Resale flat dataset'!O110)^2+('Mall Dataset'!$F$3:$F$157-'Resale flat dataset'!P110)^2)), SQRT(('Mall Dataset'!$E$3:$E$157-'Resale flat dataset'!O110)^2+('Mall Dataset'!$F$3:$F$157-'Resale flat dataset'!P110)^2), 0))</f>
        <v>The Clementi Mall</v>
      </c>
      <c r="S110" s="38" t="str" cm="1">
        <f t="array" ref="S110">INDEX('Schools dataset'!$B$3:$B$187, MATCH(MIN(SQRT(('Schools dataset'!$J$3:$J$187-'Resale flat dataset'!O110)^2+('Schools dataset'!$K$3:$K$187-'Resale flat dataset'!P110)^2)), SQRT(('Schools dataset'!$J$3:$J$187-'Resale flat dataset'!O110)^2+('Schools dataset'!$K$3:$K$187-'Resale flat dataset'!P110)^2), 0))</f>
        <v>PEI TONG PRIMARY SCHOOL</v>
      </c>
      <c r="T110" s="39">
        <f>ACOS(COS(RADIANS(90-O110))*COS(RADIANS(90-_xlfn.XLOOKUP(Q110,'MRT station dataset'!$C$3:$C$179,'MRT station dataset'!$E$3:$E$179)))+SIN(RADIANS(90-O110))*SIN(RADIANS(90-_xlfn.XLOOKUP(Q110,'MRT station dataset'!$C$3:$C$179,'MRT station dataset'!$E$3:$E$179)))*COS(RADIANS(P110-_xlfn.XLOOKUP('Resale flat dataset'!Q110,'MRT station dataset'!$C$3:$C$179,'MRT station dataset'!$F$3:$F$179))))*6371*1000</f>
        <v>741.11060263082516</v>
      </c>
      <c r="U110" s="39">
        <f>ACOS(COS(RADIANS(90-O110))*COS(RADIANS(90-_xlfn.XLOOKUP(R110,'Mall Dataset'!$B$3:$B$157,'Mall Dataset'!$E$3:$E$157,,0)))+SIN(RADIANS(90-O110))*SIN(RADIANS(90-_xlfn.XLOOKUP(R110,'Mall Dataset'!$B$3:$B$157,'Mall Dataset'!$E$3:$E$157,,0)))*COS(RADIANS(P110-_xlfn.XLOOKUP(R110,'Mall Dataset'!$B$3:$B$157,'Mall Dataset'!$F$3:$F$157,,0))))*6371*1000</f>
        <v>783.88985605942435</v>
      </c>
      <c r="V110" s="39">
        <f>ACOS(COS(RADIANS(90-O110))*COS(RADIANS(90-_xlfn.XLOOKUP(S110,'Schools dataset'!$B$3:$B$187,'Schools dataset'!$J$3:$J$187,,0)))+SIN(RADIANS(90-O110))*SIN(RADIANS(90-_xlfn.XLOOKUP(S110,'Schools dataset'!$B$3:$B$187,'Schools dataset'!$J$3:$J$187,,0)))*COS(RADIANS(P110-_xlfn.XLOOKUP(S110,'Schools dataset'!$B$3:$B$187,'Schools dataset'!$K$3:$K$187,,0))))*6371*1000</f>
        <v>547.20974231039054</v>
      </c>
      <c r="W110" s="20">
        <f>_xlfn.XLOOKUP(T110,'HDB Recommender'!$P$10:$P$39,'HDB Recommender'!$Q$10:$Q$39,"&gt;30mins",1)</f>
        <v>10</v>
      </c>
      <c r="X110" s="20">
        <f>_xlfn.XLOOKUP(U110,'HDB Recommender'!$P$10:$P$39,'HDB Recommender'!$Q$10:$Q$39,"&gt;30mins",1)</f>
        <v>11</v>
      </c>
      <c r="Y110" s="20">
        <f>_xlfn.XLOOKUP(V110,'HDB Recommender'!$P$10:$P$39,'HDB Recommender'!$Q$10:$Q$39,"&gt;30mins",1)</f>
        <v>8</v>
      </c>
      <c r="Z110" s="39">
        <f t="shared" si="3"/>
        <v>9.6666666666666661</v>
      </c>
      <c r="AA110" s="20" t="str">
        <f t="shared" si="2"/>
        <v>Within 1km</v>
      </c>
    </row>
    <row r="111" spans="2:27" hidden="1">
      <c r="B111" s="35" t="s">
        <v>317</v>
      </c>
      <c r="C111" s="35" t="s">
        <v>512</v>
      </c>
      <c r="D111" s="35" t="s">
        <v>20</v>
      </c>
      <c r="E111" s="35"/>
      <c r="F111" s="35" t="s">
        <v>515</v>
      </c>
      <c r="G111" s="35" t="s">
        <v>323</v>
      </c>
      <c r="H111" s="35">
        <v>94</v>
      </c>
      <c r="I111" s="35" t="s">
        <v>335</v>
      </c>
      <c r="J111" s="36">
        <v>2018</v>
      </c>
      <c r="K111" s="39">
        <v>93.9166666666666</v>
      </c>
      <c r="L111" s="37">
        <v>980000</v>
      </c>
      <c r="M111" s="35" t="s">
        <v>516</v>
      </c>
      <c r="N111" s="27">
        <v>122440</v>
      </c>
      <c r="O111" s="38">
        <v>1.3162393653820501</v>
      </c>
      <c r="P111" s="38">
        <v>103.76356637580101</v>
      </c>
      <c r="Q111" s="38" t="str" cm="1">
        <f t="array" ref="Q111">INDEX('MRT station dataset'!$C$3:$C$179, MATCH(MIN(SQRT(('MRT station dataset'!$E$3:$E$179-'Resale flat dataset'!O111)^2+('MRT station dataset'!$F$3:$F$179-'Resale flat dataset'!P111)^2)), SQRT(('MRT station dataset'!$E$3:$E$179-'Resale flat dataset'!O111)^2+('MRT station dataset'!$F$3:$F$179-'Resale flat dataset'!P111)^2), 0))</f>
        <v>CLEMENTI MRT STATION</v>
      </c>
      <c r="R111" s="38" t="str" cm="1">
        <f t="array" ref="R111">INDEX('Mall Dataset'!$B$3:$B$157, MATCH(MIN(SQRT(('Mall Dataset'!$E$3:$E$157-'Resale flat dataset'!O111)^2+('Mall Dataset'!$F$3:$F$157-'Resale flat dataset'!P111)^2)), SQRT(('Mall Dataset'!$E$3:$E$157-'Resale flat dataset'!O111)^2+('Mall Dataset'!$F$3:$F$157-'Resale flat dataset'!P111)^2), 0))</f>
        <v>The Clementi Mall</v>
      </c>
      <c r="S111" s="38" t="str" cm="1">
        <f t="array" ref="S111">INDEX('Schools dataset'!$B$3:$B$187, MATCH(MIN(SQRT(('Schools dataset'!$J$3:$J$187-'Resale flat dataset'!O111)^2+('Schools dataset'!$K$3:$K$187-'Resale flat dataset'!P111)^2)), SQRT(('Schools dataset'!$J$3:$J$187-'Resale flat dataset'!O111)^2+('Schools dataset'!$K$3:$K$187-'Resale flat dataset'!P111)^2), 0))</f>
        <v>CLEMENTI PRIMARY SCHOOL</v>
      </c>
      <c r="T111" s="39">
        <f>ACOS(COS(RADIANS(90-O111))*COS(RADIANS(90-_xlfn.XLOOKUP(Q111,'MRT station dataset'!$C$3:$C$179,'MRT station dataset'!$E$3:$E$179)))+SIN(RADIANS(90-O111))*SIN(RADIANS(90-_xlfn.XLOOKUP(Q111,'MRT station dataset'!$C$3:$C$179,'MRT station dataset'!$E$3:$E$179)))*COS(RADIANS(P111-_xlfn.XLOOKUP('Resale flat dataset'!Q111,'MRT station dataset'!$C$3:$C$179,'MRT station dataset'!$F$3:$F$179))))*6371*1000</f>
        <v>236.92333779205654</v>
      </c>
      <c r="U111" s="39">
        <f>ACOS(COS(RADIANS(90-O111))*COS(RADIANS(90-_xlfn.XLOOKUP(R111,'Mall Dataset'!$B$3:$B$157,'Mall Dataset'!$E$3:$E$157,,0)))+SIN(RADIANS(90-O111))*SIN(RADIANS(90-_xlfn.XLOOKUP(R111,'Mall Dataset'!$B$3:$B$157,'Mall Dataset'!$E$3:$E$157,,0)))*COS(RADIANS(P111-_xlfn.XLOOKUP(R111,'Mall Dataset'!$B$3:$B$157,'Mall Dataset'!$F$3:$F$157,,0))))*6371*1000</f>
        <v>177.13227248812925</v>
      </c>
      <c r="V111" s="39">
        <f>ACOS(COS(RADIANS(90-O111))*COS(RADIANS(90-_xlfn.XLOOKUP(S111,'Schools dataset'!$B$3:$B$187,'Schools dataset'!$J$3:$J$187,,0)))+SIN(RADIANS(90-O111))*SIN(RADIANS(90-_xlfn.XLOOKUP(S111,'Schools dataset'!$B$3:$B$187,'Schools dataset'!$J$3:$J$187,,0)))*COS(RADIANS(P111-_xlfn.XLOOKUP(S111,'Schools dataset'!$B$3:$B$187,'Schools dataset'!$K$3:$K$187,,0))))*6371*1000</f>
        <v>147.37835890220373</v>
      </c>
      <c r="W111" s="20">
        <f>_xlfn.XLOOKUP(T111,'HDB Recommender'!$P$10:$P$39,'HDB Recommender'!$Q$10:$Q$39,"&gt;30mins",1)</f>
        <v>4</v>
      </c>
      <c r="X111" s="20">
        <f>_xlfn.XLOOKUP(U111,'HDB Recommender'!$P$10:$P$39,'HDB Recommender'!$Q$10:$Q$39,"&gt;30mins",1)</f>
        <v>3</v>
      </c>
      <c r="Y111" s="20">
        <f>_xlfn.XLOOKUP(V111,'HDB Recommender'!$P$10:$P$39,'HDB Recommender'!$Q$10:$Q$39,"&gt;30mins",1)</f>
        <v>2</v>
      </c>
      <c r="Z111" s="39">
        <f t="shared" si="3"/>
        <v>3</v>
      </c>
      <c r="AA111" s="20" t="str">
        <f t="shared" si="2"/>
        <v>Within 1km</v>
      </c>
    </row>
    <row r="112" spans="2:27" hidden="1">
      <c r="B112" s="35" t="s">
        <v>317</v>
      </c>
      <c r="C112" s="35" t="s">
        <v>512</v>
      </c>
      <c r="D112" s="35" t="s">
        <v>383</v>
      </c>
      <c r="E112" s="35">
        <v>111</v>
      </c>
      <c r="F112" s="35" t="s">
        <v>517</v>
      </c>
      <c r="G112" s="35" t="s">
        <v>191</v>
      </c>
      <c r="H112" s="35">
        <v>147</v>
      </c>
      <c r="I112" s="35" t="s">
        <v>392</v>
      </c>
      <c r="J112" s="36">
        <v>1985</v>
      </c>
      <c r="K112" s="39">
        <v>60.3333333333333</v>
      </c>
      <c r="L112" s="37">
        <v>997800</v>
      </c>
      <c r="M112" s="35" t="s">
        <v>518</v>
      </c>
      <c r="N112" s="27">
        <v>120111</v>
      </c>
      <c r="O112" s="38">
        <v>1.3232160537550599</v>
      </c>
      <c r="P112" s="38">
        <v>103.771126100117</v>
      </c>
      <c r="Q112" s="38" t="str" cm="1">
        <f t="array" ref="Q112">INDEX('MRT station dataset'!$C$3:$C$179, MATCH(MIN(SQRT(('MRT station dataset'!$E$3:$E$179-'Resale flat dataset'!O112)^2+('MRT station dataset'!$F$3:$F$179-'Resale flat dataset'!P112)^2)), SQRT(('MRT station dataset'!$E$3:$E$179-'Resale flat dataset'!O112)^2+('MRT station dataset'!$F$3:$F$179-'Resale flat dataset'!P112)^2), 0))</f>
        <v>CLEMENTI MRT STATION</v>
      </c>
      <c r="R112" s="38" t="str" cm="1">
        <f t="array" ref="R112">INDEX('Mall Dataset'!$B$3:$B$157, MATCH(MIN(SQRT(('Mall Dataset'!$E$3:$E$157-'Resale flat dataset'!O112)^2+('Mall Dataset'!$F$3:$F$157-'Resale flat dataset'!P112)^2)), SQRT(('Mall Dataset'!$E$3:$E$157-'Resale flat dataset'!O112)^2+('Mall Dataset'!$F$3:$F$157-'Resale flat dataset'!P112)^2), 0))</f>
        <v>The Clementi Mall</v>
      </c>
      <c r="S112" s="38" t="str" cm="1">
        <f t="array" ref="S112">INDEX('Schools dataset'!$B$3:$B$187, MATCH(MIN(SQRT(('Schools dataset'!$J$3:$J$187-'Resale flat dataset'!O112)^2+('Schools dataset'!$K$3:$K$187-'Resale flat dataset'!P112)^2)), SQRT(('Schools dataset'!$J$3:$J$187-'Resale flat dataset'!O112)^2+('Schools dataset'!$K$3:$K$187-'Resale flat dataset'!P112)^2), 0))</f>
        <v>PEI TONG PRIMARY SCHOOL</v>
      </c>
      <c r="T112" s="39">
        <f>ACOS(COS(RADIANS(90-O112))*COS(RADIANS(90-_xlfn.XLOOKUP(Q112,'MRT station dataset'!$C$3:$C$179,'MRT station dataset'!$E$3:$E$179)))+SIN(RADIANS(90-O112))*SIN(RADIANS(90-_xlfn.XLOOKUP(Q112,'MRT station dataset'!$C$3:$C$179,'MRT station dataset'!$E$3:$E$179)))*COS(RADIANS(P112-_xlfn.XLOOKUP('Resale flat dataset'!Q112,'MRT station dataset'!$C$3:$C$179,'MRT station dataset'!$F$3:$F$179))))*6371*1000</f>
        <v>1119.8659228682932</v>
      </c>
      <c r="U112" s="39">
        <f>ACOS(COS(RADIANS(90-O112))*COS(RADIANS(90-_xlfn.XLOOKUP(R112,'Mall Dataset'!$B$3:$B$157,'Mall Dataset'!$E$3:$E$157,,0)))+SIN(RADIANS(90-O112))*SIN(RADIANS(90-_xlfn.XLOOKUP(R112,'Mall Dataset'!$B$3:$B$157,'Mall Dataset'!$E$3:$E$157,,0)))*COS(RADIANS(P112-_xlfn.XLOOKUP(R112,'Mall Dataset'!$B$3:$B$157,'Mall Dataset'!$F$3:$F$157,,0))))*6371*1000</f>
        <v>1187.8982767468863</v>
      </c>
      <c r="V112" s="39">
        <f>ACOS(COS(RADIANS(90-O112))*COS(RADIANS(90-_xlfn.XLOOKUP(S112,'Schools dataset'!$B$3:$B$187,'Schools dataset'!$J$3:$J$187,,0)))+SIN(RADIANS(90-O112))*SIN(RADIANS(90-_xlfn.XLOOKUP(S112,'Schools dataset'!$B$3:$B$187,'Schools dataset'!$J$3:$J$187,,0)))*COS(RADIANS(P112-_xlfn.XLOOKUP(S112,'Schools dataset'!$B$3:$B$187,'Schools dataset'!$K$3:$K$187,,0))))*6371*1000</f>
        <v>836.36619324659205</v>
      </c>
      <c r="W112" s="20">
        <f>_xlfn.XLOOKUP(T112,'HDB Recommender'!$P$10:$P$39,'HDB Recommender'!$Q$10:$Q$39,"&gt;30mins",1)</f>
        <v>15</v>
      </c>
      <c r="X112" s="20">
        <f>_xlfn.XLOOKUP(U112,'HDB Recommender'!$P$10:$P$39,'HDB Recommender'!$Q$10:$Q$39,"&gt;30mins",1)</f>
        <v>16</v>
      </c>
      <c r="Y112" s="20">
        <f>_xlfn.XLOOKUP(V112,'HDB Recommender'!$P$10:$P$39,'HDB Recommender'!$Q$10:$Q$39,"&gt;30mins",1)</f>
        <v>12</v>
      </c>
      <c r="Z112" s="39">
        <f t="shared" si="3"/>
        <v>14.333333333333334</v>
      </c>
      <c r="AA112" s="20" t="str">
        <f t="shared" si="2"/>
        <v>Within 1km</v>
      </c>
    </row>
    <row r="113" spans="2:27" hidden="1">
      <c r="B113" s="35" t="s">
        <v>317</v>
      </c>
      <c r="C113" s="35" t="s">
        <v>519</v>
      </c>
      <c r="D113" s="35" t="s">
        <v>318</v>
      </c>
      <c r="E113" s="35">
        <v>34</v>
      </c>
      <c r="F113" s="35" t="s">
        <v>520</v>
      </c>
      <c r="G113" s="35" t="s">
        <v>349</v>
      </c>
      <c r="H113" s="35">
        <v>60</v>
      </c>
      <c r="I113" s="35" t="s">
        <v>342</v>
      </c>
      <c r="J113" s="36">
        <v>1967</v>
      </c>
      <c r="K113" s="39">
        <v>42.3333333333333</v>
      </c>
      <c r="L113" s="37">
        <v>305000</v>
      </c>
      <c r="M113" s="35" t="s">
        <v>521</v>
      </c>
      <c r="N113" s="27">
        <v>370034</v>
      </c>
      <c r="O113" s="38">
        <v>1.3290436176182401</v>
      </c>
      <c r="P113" s="38">
        <v>103.887438053241</v>
      </c>
      <c r="Q113" s="38" t="str" cm="1">
        <f t="array" ref="Q113">INDEX('MRT station dataset'!$C$3:$C$179, MATCH(MIN(SQRT(('MRT station dataset'!$E$3:$E$179-'Resale flat dataset'!O113)^2+('MRT station dataset'!$F$3:$F$179-'Resale flat dataset'!P113)^2)), SQRT(('MRT station dataset'!$E$3:$E$179-'Resale flat dataset'!O113)^2+('MRT station dataset'!$F$3:$F$179-'Resale flat dataset'!P113)^2), 0))</f>
        <v>MACPHERSON MRT STATION</v>
      </c>
      <c r="R113" s="38" t="str" cm="1">
        <f t="array" ref="R113">INDEX('Mall Dataset'!$B$3:$B$157, MATCH(MIN(SQRT(('Mall Dataset'!$E$3:$E$157-'Resale flat dataset'!O113)^2+('Mall Dataset'!$F$3:$F$157-'Resale flat dataset'!P113)^2)), SQRT(('Mall Dataset'!$E$3:$E$157-'Resale flat dataset'!O113)^2+('Mall Dataset'!$F$3:$F$157-'Resale flat dataset'!P113)^2), 0))</f>
        <v>Paya Lebar Square</v>
      </c>
      <c r="S113" s="38" t="str" cm="1">
        <f t="array" ref="S113">INDEX('Schools dataset'!$B$3:$B$187, MATCH(MIN(SQRT(('Schools dataset'!$J$3:$J$187-'Resale flat dataset'!O113)^2+('Schools dataset'!$K$3:$K$187-'Resale flat dataset'!P113)^2)), SQRT(('Schools dataset'!$J$3:$J$187-'Resale flat dataset'!O113)^2+('Schools dataset'!$K$3:$K$187-'Resale flat dataset'!P113)^2), 0))</f>
        <v>CANOSSA CATHOLIC PRIMARY SCHOOL</v>
      </c>
      <c r="T113" s="39">
        <f>ACOS(COS(RADIANS(90-O113))*COS(RADIANS(90-_xlfn.XLOOKUP(Q113,'MRT station dataset'!$C$3:$C$179,'MRT station dataset'!$E$3:$E$179)))+SIN(RADIANS(90-O113))*SIN(RADIANS(90-_xlfn.XLOOKUP(Q113,'MRT station dataset'!$C$3:$C$179,'MRT station dataset'!$E$3:$E$179)))*COS(RADIANS(P113-_xlfn.XLOOKUP('Resale flat dataset'!Q113,'MRT station dataset'!$C$3:$C$179,'MRT station dataset'!$F$3:$F$179))))*6371*1000</f>
        <v>440.78348440544681</v>
      </c>
      <c r="U113" s="39">
        <f>ACOS(COS(RADIANS(90-O113))*COS(RADIANS(90-_xlfn.XLOOKUP(R113,'Mall Dataset'!$B$3:$B$157,'Mall Dataset'!$E$3:$E$157,,0)))+SIN(RADIANS(90-O113))*SIN(RADIANS(90-_xlfn.XLOOKUP(R113,'Mall Dataset'!$B$3:$B$157,'Mall Dataset'!$E$3:$E$157,,0)))*COS(RADIANS(P113-_xlfn.XLOOKUP(R113,'Mall Dataset'!$B$3:$B$157,'Mall Dataset'!$F$3:$F$157,,0))))*6371*1000</f>
        <v>1272.9793342733542</v>
      </c>
      <c r="V113" s="39">
        <f>ACOS(COS(RADIANS(90-O113))*COS(RADIANS(90-_xlfn.XLOOKUP(S113,'Schools dataset'!$B$3:$B$187,'Schools dataset'!$J$3:$J$187,,0)))+SIN(RADIANS(90-O113))*SIN(RADIANS(90-_xlfn.XLOOKUP(S113,'Schools dataset'!$B$3:$B$187,'Schools dataset'!$J$3:$J$187,,0)))*COS(RADIANS(P113-_xlfn.XLOOKUP(S113,'Schools dataset'!$B$3:$B$187,'Schools dataset'!$K$3:$K$187,,0))))*6371*1000</f>
        <v>755.76395166960265</v>
      </c>
      <c r="W113" s="20">
        <f>_xlfn.XLOOKUP(T113,'HDB Recommender'!$P$10:$P$39,'HDB Recommender'!$Q$10:$Q$39,"&gt;30mins",1)</f>
        <v>6</v>
      </c>
      <c r="X113" s="20">
        <f>_xlfn.XLOOKUP(U113,'HDB Recommender'!$P$10:$P$39,'HDB Recommender'!$Q$10:$Q$39,"&gt;30mins",1)</f>
        <v>17</v>
      </c>
      <c r="Y113" s="20">
        <f>_xlfn.XLOOKUP(V113,'HDB Recommender'!$P$10:$P$39,'HDB Recommender'!$Q$10:$Q$39,"&gt;30mins",1)</f>
        <v>11</v>
      </c>
      <c r="Z113" s="39">
        <f t="shared" si="3"/>
        <v>11.333333333333334</v>
      </c>
      <c r="AA113" s="20" t="str">
        <f t="shared" si="2"/>
        <v>Within 1km</v>
      </c>
    </row>
    <row r="114" spans="2:27" hidden="1">
      <c r="B114" s="35" t="s">
        <v>317</v>
      </c>
      <c r="C114" s="35" t="s">
        <v>519</v>
      </c>
      <c r="D114" s="35" t="s">
        <v>318</v>
      </c>
      <c r="E114" s="35">
        <v>99</v>
      </c>
      <c r="F114" s="35" t="s">
        <v>522</v>
      </c>
      <c r="G114" s="35" t="s">
        <v>191</v>
      </c>
      <c r="H114" s="35">
        <v>56</v>
      </c>
      <c r="I114" s="35" t="s">
        <v>342</v>
      </c>
      <c r="J114" s="36">
        <v>1969</v>
      </c>
      <c r="K114" s="39">
        <v>44.3333333333333</v>
      </c>
      <c r="L114" s="37">
        <v>335000</v>
      </c>
      <c r="M114" s="35" t="s">
        <v>523</v>
      </c>
      <c r="N114" s="27">
        <v>390099</v>
      </c>
      <c r="O114" s="38">
        <v>1.3085895382975701</v>
      </c>
      <c r="P114" s="38">
        <v>103.888244872808</v>
      </c>
      <c r="Q114" s="38" t="str" cm="1">
        <f t="array" ref="Q114">INDEX('MRT station dataset'!$C$3:$C$179, MATCH(MIN(SQRT(('MRT station dataset'!$E$3:$E$179-'Resale flat dataset'!O114)^2+('MRT station dataset'!$F$3:$F$179-'Resale flat dataset'!P114)^2)), SQRT(('MRT station dataset'!$E$3:$E$179-'Resale flat dataset'!O114)^2+('MRT station dataset'!$F$3:$F$179-'Resale flat dataset'!P114)^2), 0))</f>
        <v>DAKOTA MRT STATION</v>
      </c>
      <c r="R114" s="38" t="str" cm="1">
        <f t="array" ref="R114">INDEX('Mall Dataset'!$B$3:$B$157, MATCH(MIN(SQRT(('Mall Dataset'!$E$3:$E$157-'Resale flat dataset'!O114)^2+('Mall Dataset'!$F$3:$F$157-'Resale flat dataset'!P114)^2)), SQRT(('Mall Dataset'!$E$3:$E$157-'Resale flat dataset'!O114)^2+('Mall Dataset'!$F$3:$F$157-'Resale flat dataset'!P114)^2), 0))</f>
        <v>City Plaza</v>
      </c>
      <c r="S114" s="38" t="str" cm="1">
        <f t="array" ref="S114">INDEX('Schools dataset'!$B$3:$B$187, MATCH(MIN(SQRT(('Schools dataset'!$J$3:$J$187-'Resale flat dataset'!O114)^2+('Schools dataset'!$K$3:$K$187-'Resale flat dataset'!P114)^2)), SQRT(('Schools dataset'!$J$3:$J$187-'Resale flat dataset'!O114)^2+('Schools dataset'!$K$3:$K$187-'Resale flat dataset'!P114)^2), 0))</f>
        <v>KONG HWA SCHOOL</v>
      </c>
      <c r="T114" s="39">
        <f>ACOS(COS(RADIANS(90-O114))*COS(RADIANS(90-_xlfn.XLOOKUP(Q114,'MRT station dataset'!$C$3:$C$179,'MRT station dataset'!$E$3:$E$179)))+SIN(RADIANS(90-O114))*SIN(RADIANS(90-_xlfn.XLOOKUP(Q114,'MRT station dataset'!$C$3:$C$179,'MRT station dataset'!$E$3:$E$179)))*COS(RADIANS(P114-_xlfn.XLOOKUP('Resale flat dataset'!Q114,'MRT station dataset'!$C$3:$C$179,'MRT station dataset'!$F$3:$F$179))))*6371*1000</f>
        <v>54.808754762153413</v>
      </c>
      <c r="U114" s="39">
        <f>ACOS(COS(RADIANS(90-O114))*COS(RADIANS(90-_xlfn.XLOOKUP(R114,'Mall Dataset'!$B$3:$B$157,'Mall Dataset'!$E$3:$E$157,,0)))+SIN(RADIANS(90-O114))*SIN(RADIANS(90-_xlfn.XLOOKUP(R114,'Mall Dataset'!$B$3:$B$157,'Mall Dataset'!$E$3:$E$157,,0)))*COS(RADIANS(P114-_xlfn.XLOOKUP(R114,'Mall Dataset'!$B$3:$B$157,'Mall Dataset'!$F$3:$F$157,,0))))*6371*1000</f>
        <v>897.41756259219937</v>
      </c>
      <c r="V114" s="39">
        <f>ACOS(COS(RADIANS(90-O114))*COS(RADIANS(90-_xlfn.XLOOKUP(S114,'Schools dataset'!$B$3:$B$187,'Schools dataset'!$J$3:$J$187,,0)))+SIN(RADIANS(90-O114))*SIN(RADIANS(90-_xlfn.XLOOKUP(S114,'Schools dataset'!$B$3:$B$187,'Schools dataset'!$J$3:$J$187,,0)))*COS(RADIANS(P114-_xlfn.XLOOKUP(S114,'Schools dataset'!$B$3:$B$187,'Schools dataset'!$K$3:$K$187,,0))))*6371*1000</f>
        <v>261.57989363518942</v>
      </c>
      <c r="W114" s="20">
        <f>_xlfn.XLOOKUP(T114,'HDB Recommender'!$P$10:$P$39,'HDB Recommender'!$Q$10:$Q$39,"&gt;30mins",1)</f>
        <v>2</v>
      </c>
      <c r="X114" s="20">
        <f>_xlfn.XLOOKUP(U114,'HDB Recommender'!$P$10:$P$39,'HDB Recommender'!$Q$10:$Q$39,"&gt;30mins",1)</f>
        <v>12</v>
      </c>
      <c r="Y114" s="20">
        <f>_xlfn.XLOOKUP(V114,'HDB Recommender'!$P$10:$P$39,'HDB Recommender'!$Q$10:$Q$39,"&gt;30mins",1)</f>
        <v>4</v>
      </c>
      <c r="Z114" s="39">
        <f t="shared" si="3"/>
        <v>6</v>
      </c>
      <c r="AA114" s="20" t="str">
        <f t="shared" si="2"/>
        <v>Within 1km</v>
      </c>
    </row>
    <row r="115" spans="2:27" hidden="1">
      <c r="B115" s="35" t="s">
        <v>317</v>
      </c>
      <c r="C115" s="35" t="s">
        <v>519</v>
      </c>
      <c r="D115" s="35" t="s">
        <v>20</v>
      </c>
      <c r="E115" s="35">
        <v>31</v>
      </c>
      <c r="F115" s="35" t="s">
        <v>524</v>
      </c>
      <c r="G115" s="35" t="s">
        <v>346</v>
      </c>
      <c r="H115" s="35">
        <v>92</v>
      </c>
      <c r="I115" s="35" t="s">
        <v>320</v>
      </c>
      <c r="J115" s="36">
        <v>1985</v>
      </c>
      <c r="K115" s="39">
        <v>60.5833333333333</v>
      </c>
      <c r="L115" s="37">
        <v>615000</v>
      </c>
      <c r="M115" s="35" t="s">
        <v>525</v>
      </c>
      <c r="N115" s="27">
        <v>370031</v>
      </c>
      <c r="O115" s="38">
        <v>1.32968232972727</v>
      </c>
      <c r="P115" s="38">
        <v>103.885407998763</v>
      </c>
      <c r="Q115" s="38" t="str" cm="1">
        <f t="array" ref="Q115">INDEX('MRT station dataset'!$C$3:$C$179, MATCH(MIN(SQRT(('MRT station dataset'!$E$3:$E$179-'Resale flat dataset'!O115)^2+('MRT station dataset'!$F$3:$F$179-'Resale flat dataset'!P115)^2)), SQRT(('MRT station dataset'!$E$3:$E$179-'Resale flat dataset'!O115)^2+('MRT station dataset'!$F$3:$F$179-'Resale flat dataset'!P115)^2), 0))</f>
        <v>MATTAR MRT STATION</v>
      </c>
      <c r="R115" s="38" t="str" cm="1">
        <f t="array" ref="R115">INDEX('Mall Dataset'!$B$3:$B$157, MATCH(MIN(SQRT(('Mall Dataset'!$E$3:$E$157-'Resale flat dataset'!O115)^2+('Mall Dataset'!$F$3:$F$157-'Resale flat dataset'!P115)^2)), SQRT(('Mall Dataset'!$E$3:$E$157-'Resale flat dataset'!O115)^2+('Mall Dataset'!$F$3:$F$157-'Resale flat dataset'!P115)^2), 0))</f>
        <v>Paya Lebar Square</v>
      </c>
      <c r="S115" s="38" t="str" cm="1">
        <f t="array" ref="S115">INDEX('Schools dataset'!$B$3:$B$187, MATCH(MIN(SQRT(('Schools dataset'!$J$3:$J$187-'Resale flat dataset'!O115)^2+('Schools dataset'!$K$3:$K$187-'Resale flat dataset'!P115)^2)), SQRT(('Schools dataset'!$J$3:$J$187-'Resale flat dataset'!O115)^2+('Schools dataset'!$K$3:$K$187-'Resale flat dataset'!P115)^2), 0))</f>
        <v>CANOSSA CATHOLIC PRIMARY SCHOOL</v>
      </c>
      <c r="T115" s="39">
        <f>ACOS(COS(RADIANS(90-O115))*COS(RADIANS(90-_xlfn.XLOOKUP(Q115,'MRT station dataset'!$C$3:$C$179,'MRT station dataset'!$E$3:$E$179)))+SIN(RADIANS(90-O115))*SIN(RADIANS(90-_xlfn.XLOOKUP(Q115,'MRT station dataset'!$C$3:$C$179,'MRT station dataset'!$E$3:$E$179)))*COS(RADIANS(P115-_xlfn.XLOOKUP('Resale flat dataset'!Q115,'MRT station dataset'!$C$3:$C$179,'MRT station dataset'!$F$3:$F$179))))*6371*1000</f>
        <v>394.92201919277625</v>
      </c>
      <c r="U115" s="39">
        <f>ACOS(COS(RADIANS(90-O115))*COS(RADIANS(90-_xlfn.XLOOKUP(R115,'Mall Dataset'!$B$3:$B$157,'Mall Dataset'!$E$3:$E$157,,0)))+SIN(RADIANS(90-O115))*SIN(RADIANS(90-_xlfn.XLOOKUP(R115,'Mall Dataset'!$B$3:$B$157,'Mall Dataset'!$E$3:$E$157,,0)))*COS(RADIANS(P115-_xlfn.XLOOKUP(R115,'Mall Dataset'!$B$3:$B$157,'Mall Dataset'!$F$3:$F$157,,0))))*6371*1000</f>
        <v>1447.7689278382488</v>
      </c>
      <c r="V115" s="39">
        <f>ACOS(COS(RADIANS(90-O115))*COS(RADIANS(90-_xlfn.XLOOKUP(S115,'Schools dataset'!$B$3:$B$187,'Schools dataset'!$J$3:$J$187,,0)))+SIN(RADIANS(90-O115))*SIN(RADIANS(90-_xlfn.XLOOKUP(S115,'Schools dataset'!$B$3:$B$187,'Schools dataset'!$J$3:$J$187,,0)))*COS(RADIANS(P115-_xlfn.XLOOKUP(S115,'Schools dataset'!$B$3:$B$187,'Schools dataset'!$K$3:$K$187,,0))))*6371*1000</f>
        <v>582.08911992698336</v>
      </c>
      <c r="W115" s="20">
        <f>_xlfn.XLOOKUP(T115,'HDB Recommender'!$P$10:$P$39,'HDB Recommender'!$Q$10:$Q$39,"&gt;30mins",1)</f>
        <v>6</v>
      </c>
      <c r="X115" s="20">
        <f>_xlfn.XLOOKUP(U115,'HDB Recommender'!$P$10:$P$39,'HDB Recommender'!$Q$10:$Q$39,"&gt;30mins",1)</f>
        <v>20</v>
      </c>
      <c r="Y115" s="20">
        <f>_xlfn.XLOOKUP(V115,'HDB Recommender'!$P$10:$P$39,'HDB Recommender'!$Q$10:$Q$39,"&gt;30mins",1)</f>
        <v>8</v>
      </c>
      <c r="Z115" s="39">
        <f t="shared" si="3"/>
        <v>11.333333333333334</v>
      </c>
      <c r="AA115" s="20" t="str">
        <f t="shared" si="2"/>
        <v>Within 1km</v>
      </c>
    </row>
    <row r="116" spans="2:27" hidden="1">
      <c r="B116" s="35" t="s">
        <v>317</v>
      </c>
      <c r="C116" s="35" t="s">
        <v>519</v>
      </c>
      <c r="D116" s="35" t="s">
        <v>20</v>
      </c>
      <c r="E116" s="35">
        <v>122</v>
      </c>
      <c r="F116" s="35" t="s">
        <v>526</v>
      </c>
      <c r="G116" s="35" t="s">
        <v>189</v>
      </c>
      <c r="H116" s="35">
        <v>92</v>
      </c>
      <c r="I116" s="35" t="s">
        <v>320</v>
      </c>
      <c r="J116" s="36">
        <v>1980</v>
      </c>
      <c r="K116" s="39">
        <v>56</v>
      </c>
      <c r="L116" s="37">
        <v>538000</v>
      </c>
      <c r="M116" s="35" t="s">
        <v>527</v>
      </c>
      <c r="N116" s="27">
        <v>381122</v>
      </c>
      <c r="O116" s="38">
        <v>1.3226003798252799</v>
      </c>
      <c r="P116" s="38">
        <v>103.882463210918</v>
      </c>
      <c r="Q116" s="38" t="str" cm="1">
        <f t="array" ref="Q116">INDEX('MRT station dataset'!$C$3:$C$179, MATCH(MIN(SQRT(('MRT station dataset'!$E$3:$E$179-'Resale flat dataset'!O116)^2+('MRT station dataset'!$F$3:$F$179-'Resale flat dataset'!P116)^2)), SQRT(('MRT station dataset'!$E$3:$E$179-'Resale flat dataset'!O116)^2+('MRT station dataset'!$F$3:$F$179-'Resale flat dataset'!P116)^2), 0))</f>
        <v>MATTAR MRT STATION</v>
      </c>
      <c r="R116" s="38" t="str" cm="1">
        <f t="array" ref="R116">INDEX('Mall Dataset'!$B$3:$B$157, MATCH(MIN(SQRT(('Mall Dataset'!$E$3:$E$157-'Resale flat dataset'!O116)^2+('Mall Dataset'!$F$3:$F$157-'Resale flat dataset'!P116)^2)), SQRT(('Mall Dataset'!$E$3:$E$157-'Resale flat dataset'!O116)^2+('Mall Dataset'!$F$3:$F$157-'Resale flat dataset'!P116)^2), 0))</f>
        <v>Paya Lebar Square</v>
      </c>
      <c r="S116" s="38" t="str" cm="1">
        <f t="array" ref="S116">INDEX('Schools dataset'!$B$3:$B$187, MATCH(MIN(SQRT(('Schools dataset'!$J$3:$J$187-'Resale flat dataset'!O116)^2+('Schools dataset'!$K$3:$K$187-'Resale flat dataset'!P116)^2)), SQRT(('Schools dataset'!$J$3:$J$187-'Resale flat dataset'!O116)^2+('Schools dataset'!$K$3:$K$187-'Resale flat dataset'!P116)^2), 0))</f>
        <v>ST. MARGARET'S PRIMARY SCHOOL</v>
      </c>
      <c r="T116" s="39">
        <f>ACOS(COS(RADIANS(90-O116))*COS(RADIANS(90-_xlfn.XLOOKUP(Q116,'MRT station dataset'!$C$3:$C$179,'MRT station dataset'!$E$3:$E$179)))+SIN(RADIANS(90-O116))*SIN(RADIANS(90-_xlfn.XLOOKUP(Q116,'MRT station dataset'!$C$3:$C$179,'MRT station dataset'!$E$3:$E$179)))*COS(RADIANS(P116-_xlfn.XLOOKUP('Resale flat dataset'!Q116,'MRT station dataset'!$C$3:$C$179,'MRT station dataset'!$F$3:$F$179))))*6371*1000</f>
        <v>485.06104253012847</v>
      </c>
      <c r="U116" s="39">
        <f>ACOS(COS(RADIANS(90-O116))*COS(RADIANS(90-_xlfn.XLOOKUP(R116,'Mall Dataset'!$B$3:$B$157,'Mall Dataset'!$E$3:$E$157,,0)))+SIN(RADIANS(90-O116))*SIN(RADIANS(90-_xlfn.XLOOKUP(R116,'Mall Dataset'!$B$3:$B$157,'Mall Dataset'!$E$3:$E$157,,0)))*COS(RADIANS(P116-_xlfn.XLOOKUP(R116,'Mall Dataset'!$B$3:$B$157,'Mall Dataset'!$F$3:$F$157,,0))))*6371*1000</f>
        <v>1200.9097082452686</v>
      </c>
      <c r="V116" s="39">
        <f>ACOS(COS(RADIANS(90-O116))*COS(RADIANS(90-_xlfn.XLOOKUP(S116,'Schools dataset'!$B$3:$B$187,'Schools dataset'!$J$3:$J$187,,0)))+SIN(RADIANS(90-O116))*SIN(RADIANS(90-_xlfn.XLOOKUP(S116,'Schools dataset'!$B$3:$B$187,'Schools dataset'!$J$3:$J$187,,0)))*COS(RADIANS(P116-_xlfn.XLOOKUP(S116,'Schools dataset'!$B$3:$B$187,'Schools dataset'!$K$3:$K$187,,0))))*6371*1000</f>
        <v>215.22809856999524</v>
      </c>
      <c r="W116" s="20">
        <f>_xlfn.XLOOKUP(T116,'HDB Recommender'!$P$10:$P$39,'HDB Recommender'!$Q$10:$Q$39,"&gt;30mins",1)</f>
        <v>7</v>
      </c>
      <c r="X116" s="20">
        <f>_xlfn.XLOOKUP(U116,'HDB Recommender'!$P$10:$P$39,'HDB Recommender'!$Q$10:$Q$39,"&gt;30mins",1)</f>
        <v>17</v>
      </c>
      <c r="Y116" s="20">
        <f>_xlfn.XLOOKUP(V116,'HDB Recommender'!$P$10:$P$39,'HDB Recommender'!$Q$10:$Q$39,"&gt;30mins",1)</f>
        <v>3</v>
      </c>
      <c r="Z116" s="39">
        <f t="shared" si="3"/>
        <v>9</v>
      </c>
      <c r="AA116" s="20" t="str">
        <f t="shared" si="2"/>
        <v>Within 1km</v>
      </c>
    </row>
    <row r="117" spans="2:27" hidden="1">
      <c r="B117" s="35" t="s">
        <v>317</v>
      </c>
      <c r="C117" s="35" t="s">
        <v>519</v>
      </c>
      <c r="D117" s="35" t="s">
        <v>20</v>
      </c>
      <c r="E117" s="35">
        <v>301</v>
      </c>
      <c r="F117" s="35" t="s">
        <v>528</v>
      </c>
      <c r="G117" s="35" t="s">
        <v>349</v>
      </c>
      <c r="H117" s="35">
        <v>83</v>
      </c>
      <c r="I117" s="35" t="s">
        <v>369</v>
      </c>
      <c r="J117" s="36">
        <v>2000</v>
      </c>
      <c r="K117" s="39">
        <v>75.6666666666666</v>
      </c>
      <c r="L117" s="37">
        <v>500000</v>
      </c>
      <c r="M117" s="35" t="s">
        <v>529</v>
      </c>
      <c r="N117" s="27">
        <v>400301</v>
      </c>
      <c r="O117" s="38">
        <v>1.3311850961913301</v>
      </c>
      <c r="P117" s="38">
        <v>103.90209862614699</v>
      </c>
      <c r="Q117" s="38" t="str" cm="1">
        <f t="array" ref="Q117">INDEX('MRT station dataset'!$C$3:$C$179, MATCH(MIN(SQRT(('MRT station dataset'!$E$3:$E$179-'Resale flat dataset'!O117)^2+('MRT station dataset'!$F$3:$F$179-'Resale flat dataset'!P117)^2)), SQRT(('MRT station dataset'!$E$3:$E$179-'Resale flat dataset'!O117)^2+('MRT station dataset'!$F$3:$F$179-'Resale flat dataset'!P117)^2), 0))</f>
        <v>UBI MRT STATION</v>
      </c>
      <c r="R117" s="38" t="str" cm="1">
        <f t="array" ref="R117">INDEX('Mall Dataset'!$B$3:$B$157, MATCH(MIN(SQRT(('Mall Dataset'!$E$3:$E$157-'Resale flat dataset'!O117)^2+('Mall Dataset'!$F$3:$F$157-'Resale flat dataset'!P117)^2)), SQRT(('Mall Dataset'!$E$3:$E$157-'Resale flat dataset'!O117)^2+('Mall Dataset'!$F$3:$F$157-'Resale flat dataset'!P117)^2), 0))</f>
        <v>Singpost Centre</v>
      </c>
      <c r="S117" s="38" t="str" cm="1">
        <f t="array" ref="S117">INDEX('Schools dataset'!$B$3:$B$187, MATCH(MIN(SQRT(('Schools dataset'!$J$3:$J$187-'Resale flat dataset'!O117)^2+('Schools dataset'!$K$3:$K$187-'Resale flat dataset'!P117)^2)), SQRT(('Schools dataset'!$J$3:$J$187-'Resale flat dataset'!O117)^2+('Schools dataset'!$K$3:$K$187-'Resale flat dataset'!P117)^2), 0))</f>
        <v>MAHA BODHI SCHOOL</v>
      </c>
      <c r="T117" s="39">
        <f>ACOS(COS(RADIANS(90-O117))*COS(RADIANS(90-_xlfn.XLOOKUP(Q117,'MRT station dataset'!$C$3:$C$179,'MRT station dataset'!$E$3:$E$179)))+SIN(RADIANS(90-O117))*SIN(RADIANS(90-_xlfn.XLOOKUP(Q117,'MRT station dataset'!$C$3:$C$179,'MRT station dataset'!$E$3:$E$179)))*COS(RADIANS(P117-_xlfn.XLOOKUP('Resale flat dataset'!Q117,'MRT station dataset'!$C$3:$C$179,'MRT station dataset'!$F$3:$F$179))))*6371*1000</f>
        <v>337.86680301801562</v>
      </c>
      <c r="U117" s="39">
        <f>ACOS(COS(RADIANS(90-O117))*COS(RADIANS(90-_xlfn.XLOOKUP(R117,'Mall Dataset'!$B$3:$B$157,'Mall Dataset'!$E$3:$E$157,,0)))+SIN(RADIANS(90-O117))*SIN(RADIANS(90-_xlfn.XLOOKUP(R117,'Mall Dataset'!$B$3:$B$157,'Mall Dataset'!$E$3:$E$157,,0)))*COS(RADIANS(P117-_xlfn.XLOOKUP(R117,'Mall Dataset'!$B$3:$B$157,'Mall Dataset'!$F$3:$F$157,,0))))*6371*1000</f>
        <v>1574.1975574658684</v>
      </c>
      <c r="V117" s="39">
        <f>ACOS(COS(RADIANS(90-O117))*COS(RADIANS(90-_xlfn.XLOOKUP(S117,'Schools dataset'!$B$3:$B$187,'Schools dataset'!$J$3:$J$187,,0)))+SIN(RADIANS(90-O117))*SIN(RADIANS(90-_xlfn.XLOOKUP(S117,'Schools dataset'!$B$3:$B$187,'Schools dataset'!$J$3:$J$187,,0)))*COS(RADIANS(P117-_xlfn.XLOOKUP(S117,'Schools dataset'!$B$3:$B$187,'Schools dataset'!$K$3:$K$187,,0))))*6371*1000</f>
        <v>314.63487047888685</v>
      </c>
      <c r="W117" s="20">
        <f>_xlfn.XLOOKUP(T117,'HDB Recommender'!$P$10:$P$39,'HDB Recommender'!$Q$10:$Q$39,"&gt;30mins",1)</f>
        <v>5</v>
      </c>
      <c r="X117" s="20">
        <f>_xlfn.XLOOKUP(U117,'HDB Recommender'!$P$10:$P$39,'HDB Recommender'!$Q$10:$Q$39,"&gt;30mins",1)</f>
        <v>21</v>
      </c>
      <c r="Y117" s="20">
        <f>_xlfn.XLOOKUP(V117,'HDB Recommender'!$P$10:$P$39,'HDB Recommender'!$Q$10:$Q$39,"&gt;30mins",1)</f>
        <v>5</v>
      </c>
      <c r="Z117" s="39">
        <f t="shared" si="3"/>
        <v>10.333333333333334</v>
      </c>
      <c r="AA117" s="20" t="str">
        <f t="shared" si="2"/>
        <v>Within 1km</v>
      </c>
    </row>
    <row r="118" spans="2:27" hidden="1">
      <c r="B118" s="35" t="s">
        <v>317</v>
      </c>
      <c r="C118" s="35" t="s">
        <v>519</v>
      </c>
      <c r="D118" s="35" t="s">
        <v>341</v>
      </c>
      <c r="E118" s="35">
        <v>322</v>
      </c>
      <c r="F118" s="35" t="s">
        <v>528</v>
      </c>
      <c r="G118" s="35" t="s">
        <v>191</v>
      </c>
      <c r="H118" s="35">
        <v>122</v>
      </c>
      <c r="I118" s="35" t="s">
        <v>326</v>
      </c>
      <c r="J118" s="36">
        <v>1985</v>
      </c>
      <c r="K118" s="39">
        <v>61.0833333333333</v>
      </c>
      <c r="L118" s="37">
        <v>610000</v>
      </c>
      <c r="M118" s="35" t="s">
        <v>530</v>
      </c>
      <c r="N118" s="27">
        <v>400322</v>
      </c>
      <c r="O118" s="38">
        <v>1.3279128882412601</v>
      </c>
      <c r="P118" s="38">
        <v>103.904833849402</v>
      </c>
      <c r="Q118" s="38" t="str" cm="1">
        <f t="array" ref="Q118">INDEX('MRT station dataset'!$C$3:$C$179, MATCH(MIN(SQRT(('MRT station dataset'!$E$3:$E$179-'Resale flat dataset'!O118)^2+('MRT station dataset'!$F$3:$F$179-'Resale flat dataset'!P118)^2)), SQRT(('MRT station dataset'!$E$3:$E$179-'Resale flat dataset'!O118)^2+('MRT station dataset'!$F$3:$F$179-'Resale flat dataset'!P118)^2), 0))</f>
        <v>UBI MRT STATION</v>
      </c>
      <c r="R118" s="38" t="str" cm="1">
        <f t="array" ref="R118">INDEX('Mall Dataset'!$B$3:$B$157, MATCH(MIN(SQRT(('Mall Dataset'!$E$3:$E$157-'Resale flat dataset'!O118)^2+('Mall Dataset'!$F$3:$F$157-'Resale flat dataset'!P118)^2)), SQRT(('Mall Dataset'!$E$3:$E$157-'Resale flat dataset'!O118)^2+('Mall Dataset'!$F$3:$F$157-'Resale flat dataset'!P118)^2), 0))</f>
        <v>Singpost Centre</v>
      </c>
      <c r="S118" s="38" t="str" cm="1">
        <f t="array" ref="S118">INDEX('Schools dataset'!$B$3:$B$187, MATCH(MIN(SQRT(('Schools dataset'!$J$3:$J$187-'Resale flat dataset'!O118)^2+('Schools dataset'!$K$3:$K$187-'Resale flat dataset'!P118)^2)), SQRT(('Schools dataset'!$J$3:$J$187-'Resale flat dataset'!O118)^2+('Schools dataset'!$K$3:$K$187-'Resale flat dataset'!P118)^2), 0))</f>
        <v>EUNOS PRIMARY SCHOOL</v>
      </c>
      <c r="T118" s="39">
        <f>ACOS(COS(RADIANS(90-O118))*COS(RADIANS(90-_xlfn.XLOOKUP(Q118,'MRT station dataset'!$C$3:$C$179,'MRT station dataset'!$E$3:$E$179)))+SIN(RADIANS(90-O118))*SIN(RADIANS(90-_xlfn.XLOOKUP(Q118,'MRT station dataset'!$C$3:$C$179,'MRT station dataset'!$E$3:$E$179)))*COS(RADIANS(P118-_xlfn.XLOOKUP('Resale flat dataset'!Q118,'MRT station dataset'!$C$3:$C$179,'MRT station dataset'!$F$3:$F$179))))*6371*1000</f>
        <v>657.49075132262271</v>
      </c>
      <c r="U118" s="39">
        <f>ACOS(COS(RADIANS(90-O118))*COS(RADIANS(90-_xlfn.XLOOKUP(R118,'Mall Dataset'!$B$3:$B$157,'Mall Dataset'!$E$3:$E$157,,0)))+SIN(RADIANS(90-O118))*SIN(RADIANS(90-_xlfn.XLOOKUP(R118,'Mall Dataset'!$B$3:$B$157,'Mall Dataset'!$E$3:$E$157,,0)))*COS(RADIANS(P118-_xlfn.XLOOKUP(R118,'Mall Dataset'!$B$3:$B$157,'Mall Dataset'!$F$3:$F$157,,0))))*6371*1000</f>
        <v>1484.4779526896918</v>
      </c>
      <c r="V118" s="39">
        <f>ACOS(COS(RADIANS(90-O118))*COS(RADIANS(90-_xlfn.XLOOKUP(S118,'Schools dataset'!$B$3:$B$187,'Schools dataset'!$J$3:$J$187,,0)))+SIN(RADIANS(90-O118))*SIN(RADIANS(90-_xlfn.XLOOKUP(S118,'Schools dataset'!$B$3:$B$187,'Schools dataset'!$J$3:$J$187,,0)))*COS(RADIANS(P118-_xlfn.XLOOKUP(S118,'Schools dataset'!$B$3:$B$187,'Schools dataset'!$K$3:$K$187,,0))))*6371*1000</f>
        <v>383.51311850594902</v>
      </c>
      <c r="W118" s="20">
        <f>_xlfn.XLOOKUP(T118,'HDB Recommender'!$P$10:$P$39,'HDB Recommender'!$Q$10:$Q$39,"&gt;30mins",1)</f>
        <v>9</v>
      </c>
      <c r="X118" s="20">
        <f>_xlfn.XLOOKUP(U118,'HDB Recommender'!$P$10:$P$39,'HDB Recommender'!$Q$10:$Q$39,"&gt;30mins",1)</f>
        <v>20</v>
      </c>
      <c r="Y118" s="20">
        <f>_xlfn.XLOOKUP(V118,'HDB Recommender'!$P$10:$P$39,'HDB Recommender'!$Q$10:$Q$39,"&gt;30mins",1)</f>
        <v>6</v>
      </c>
      <c r="Z118" s="39">
        <f t="shared" si="3"/>
        <v>11.666666666666666</v>
      </c>
      <c r="AA118" s="20" t="str">
        <f t="shared" si="2"/>
        <v>Within 1km</v>
      </c>
    </row>
    <row r="119" spans="2:27" hidden="1">
      <c r="B119" s="35" t="s">
        <v>317</v>
      </c>
      <c r="C119" s="35" t="s">
        <v>531</v>
      </c>
      <c r="D119" s="35" t="s">
        <v>395</v>
      </c>
      <c r="E119" s="35"/>
      <c r="F119" s="35" t="s">
        <v>532</v>
      </c>
      <c r="G119" s="35" t="s">
        <v>323</v>
      </c>
      <c r="H119" s="35">
        <v>38</v>
      </c>
      <c r="I119" s="35" t="s">
        <v>335</v>
      </c>
      <c r="J119" s="36">
        <v>2019</v>
      </c>
      <c r="K119" s="39">
        <v>94.75</v>
      </c>
      <c r="L119" s="37">
        <v>345000</v>
      </c>
      <c r="M119" s="35" t="s">
        <v>533</v>
      </c>
      <c r="N119" s="27">
        <v>532992</v>
      </c>
      <c r="O119" s="38">
        <v>1.3838267304931</v>
      </c>
      <c r="P119" s="38">
        <v>103.881672473881</v>
      </c>
      <c r="Q119" s="38" t="str" cm="1">
        <f t="array" ref="Q119">INDEX('MRT station dataset'!$C$3:$C$179, MATCH(MIN(SQRT(('MRT station dataset'!$E$3:$E$179-'Resale flat dataset'!O119)^2+('MRT station dataset'!$F$3:$F$179-'Resale flat dataset'!P119)^2)), SQRT(('MRT station dataset'!$E$3:$E$179-'Resale flat dataset'!O119)^2+('MRT station dataset'!$F$3:$F$179-'Resale flat dataset'!P119)^2), 0))</f>
        <v>TONGKANG LRT STATION</v>
      </c>
      <c r="R119" s="38" t="str" cm="1">
        <f t="array" ref="R119">INDEX('Mall Dataset'!$B$3:$B$157, MATCH(MIN(SQRT(('Mall Dataset'!$E$3:$E$157-'Resale flat dataset'!O119)^2+('Mall Dataset'!$F$3:$F$157-'Resale flat dataset'!P119)^2)), SQRT(('Mall Dataset'!$E$3:$E$157-'Resale flat dataset'!O119)^2+('Mall Dataset'!$F$3:$F$157-'Resale flat dataset'!P119)^2), 0))</f>
        <v>Buangkok Square</v>
      </c>
      <c r="S119" s="38" t="str" cm="1">
        <f t="array" ref="S119">INDEX('Schools dataset'!$B$3:$B$187, MATCH(MIN(SQRT(('Schools dataset'!$J$3:$J$187-'Resale flat dataset'!O119)^2+('Schools dataset'!$K$3:$K$187-'Resale flat dataset'!P119)^2)), SQRT(('Schools dataset'!$J$3:$J$187-'Resale flat dataset'!O119)^2+('Schools dataset'!$K$3:$K$187-'Resale flat dataset'!P119)^2), 0))</f>
        <v>HOUGANG PRIMARY SCHOOL</v>
      </c>
      <c r="T119" s="39">
        <f>ACOS(COS(RADIANS(90-O119))*COS(RADIANS(90-_xlfn.XLOOKUP(Q119,'MRT station dataset'!$C$3:$C$179,'MRT station dataset'!$E$3:$E$179)))+SIN(RADIANS(90-O119))*SIN(RADIANS(90-_xlfn.XLOOKUP(Q119,'MRT station dataset'!$C$3:$C$179,'MRT station dataset'!$E$3:$E$179)))*COS(RADIANS(P119-_xlfn.XLOOKUP('Resale flat dataset'!Q119,'MRT station dataset'!$C$3:$C$179,'MRT station dataset'!$F$3:$F$179))))*6371*1000</f>
        <v>762.17755595123492</v>
      </c>
      <c r="U119" s="39">
        <f>ACOS(COS(RADIANS(90-O119))*COS(RADIANS(90-_xlfn.XLOOKUP(R119,'Mall Dataset'!$B$3:$B$157,'Mall Dataset'!$E$3:$E$157,,0)))+SIN(RADIANS(90-O119))*SIN(RADIANS(90-_xlfn.XLOOKUP(R119,'Mall Dataset'!$B$3:$B$157,'Mall Dataset'!$E$3:$E$157,,0)))*COS(RADIANS(P119-_xlfn.XLOOKUP(R119,'Mall Dataset'!$B$3:$B$157,'Mall Dataset'!$F$3:$F$157,,0))))*6371*1000</f>
        <v>56.70196942150141</v>
      </c>
      <c r="V119" s="39">
        <f>ACOS(COS(RADIANS(90-O119))*COS(RADIANS(90-_xlfn.XLOOKUP(S119,'Schools dataset'!$B$3:$B$187,'Schools dataset'!$J$3:$J$187,,0)))+SIN(RADIANS(90-O119))*SIN(RADIANS(90-_xlfn.XLOOKUP(S119,'Schools dataset'!$B$3:$B$187,'Schools dataset'!$J$3:$J$187,,0)))*COS(RADIANS(P119-_xlfn.XLOOKUP(S119,'Schools dataset'!$B$3:$B$187,'Schools dataset'!$K$3:$K$187,,0))))*6371*1000</f>
        <v>722.486172783906</v>
      </c>
      <c r="W119" s="20">
        <f>_xlfn.XLOOKUP(T119,'HDB Recommender'!$P$10:$P$39,'HDB Recommender'!$Q$10:$Q$39,"&gt;30mins",1)</f>
        <v>11</v>
      </c>
      <c r="X119" s="20">
        <f>_xlfn.XLOOKUP(U119,'HDB Recommender'!$P$10:$P$39,'HDB Recommender'!$Q$10:$Q$39,"&gt;30mins",1)</f>
        <v>2</v>
      </c>
      <c r="Y119" s="20">
        <f>_xlfn.XLOOKUP(V119,'HDB Recommender'!$P$10:$P$39,'HDB Recommender'!$Q$10:$Q$39,"&gt;30mins",1)</f>
        <v>10</v>
      </c>
      <c r="Z119" s="39">
        <f t="shared" si="3"/>
        <v>7.666666666666667</v>
      </c>
      <c r="AA119" s="20" t="str">
        <f t="shared" si="2"/>
        <v>Within 1km</v>
      </c>
    </row>
    <row r="120" spans="2:27" hidden="1">
      <c r="B120" s="35" t="s">
        <v>317</v>
      </c>
      <c r="C120" s="35" t="s">
        <v>531</v>
      </c>
      <c r="D120" s="35" t="s">
        <v>318</v>
      </c>
      <c r="E120" s="35"/>
      <c r="F120" s="35" t="s">
        <v>532</v>
      </c>
      <c r="G120" s="35" t="s">
        <v>184</v>
      </c>
      <c r="H120" s="35">
        <v>68</v>
      </c>
      <c r="I120" s="35" t="s">
        <v>335</v>
      </c>
      <c r="J120" s="36">
        <v>2019</v>
      </c>
      <c r="K120" s="39">
        <v>94.75</v>
      </c>
      <c r="L120" s="37">
        <v>480000</v>
      </c>
      <c r="M120" s="35" t="s">
        <v>534</v>
      </c>
      <c r="N120" s="27">
        <v>532991</v>
      </c>
      <c r="O120" s="38">
        <v>1.38398477376889</v>
      </c>
      <c r="P120" s="38">
        <v>103.882486324738</v>
      </c>
      <c r="Q120" s="38" t="str" cm="1">
        <f t="array" ref="Q120">INDEX('MRT station dataset'!$C$3:$C$179, MATCH(MIN(SQRT(('MRT station dataset'!$E$3:$E$179-'Resale flat dataset'!O120)^2+('MRT station dataset'!$F$3:$F$179-'Resale flat dataset'!P120)^2)), SQRT(('MRT station dataset'!$E$3:$E$179-'Resale flat dataset'!O120)^2+('MRT station dataset'!$F$3:$F$179-'Resale flat dataset'!P120)^2), 0))</f>
        <v>TONGKANG LRT STATION</v>
      </c>
      <c r="R120" s="38" t="str" cm="1">
        <f t="array" ref="R120">INDEX('Mall Dataset'!$B$3:$B$157, MATCH(MIN(SQRT(('Mall Dataset'!$E$3:$E$157-'Resale flat dataset'!O120)^2+('Mall Dataset'!$F$3:$F$157-'Resale flat dataset'!P120)^2)), SQRT(('Mall Dataset'!$E$3:$E$157-'Resale flat dataset'!O120)^2+('Mall Dataset'!$F$3:$F$157-'Resale flat dataset'!P120)^2), 0))</f>
        <v>Buangkok Square</v>
      </c>
      <c r="S120" s="38" t="str" cm="1">
        <f t="array" ref="S120">INDEX('Schools dataset'!$B$3:$B$187, MATCH(MIN(SQRT(('Schools dataset'!$J$3:$J$187-'Resale flat dataset'!O120)^2+('Schools dataset'!$K$3:$K$187-'Resale flat dataset'!P120)^2)), SQRT(('Schools dataset'!$J$3:$J$187-'Resale flat dataset'!O120)^2+('Schools dataset'!$K$3:$K$187-'Resale flat dataset'!P120)^2), 0))</f>
        <v>HOUGANG PRIMARY SCHOOL</v>
      </c>
      <c r="T120" s="39">
        <f>ACOS(COS(RADIANS(90-O120))*COS(RADIANS(90-_xlfn.XLOOKUP(Q120,'MRT station dataset'!$C$3:$C$179,'MRT station dataset'!$E$3:$E$179)))+SIN(RADIANS(90-O120))*SIN(RADIANS(90-_xlfn.XLOOKUP(Q120,'MRT station dataset'!$C$3:$C$179,'MRT station dataset'!$E$3:$E$179)))*COS(RADIANS(P120-_xlfn.XLOOKUP('Resale flat dataset'!Q120,'MRT station dataset'!$C$3:$C$179,'MRT station dataset'!$F$3:$F$179))))*6371*1000</f>
        <v>696.41804014465708</v>
      </c>
      <c r="U120" s="39">
        <f>ACOS(COS(RADIANS(90-O120))*COS(RADIANS(90-_xlfn.XLOOKUP(R120,'Mall Dataset'!$B$3:$B$157,'Mall Dataset'!$E$3:$E$157,,0)))+SIN(RADIANS(90-O120))*SIN(RADIANS(90-_xlfn.XLOOKUP(R120,'Mall Dataset'!$B$3:$B$157,'Mall Dataset'!$E$3:$E$157,,0)))*COS(RADIANS(P120-_xlfn.XLOOKUP(R120,'Mall Dataset'!$B$3:$B$157,'Mall Dataset'!$F$3:$F$157,,0))))*6371*1000</f>
        <v>103.53185013659383</v>
      </c>
      <c r="V120" s="39">
        <f>ACOS(COS(RADIANS(90-O120))*COS(RADIANS(90-_xlfn.XLOOKUP(S120,'Schools dataset'!$B$3:$B$187,'Schools dataset'!$J$3:$J$187,,0)))+SIN(RADIANS(90-O120))*SIN(RADIANS(90-_xlfn.XLOOKUP(S120,'Schools dataset'!$B$3:$B$187,'Schools dataset'!$J$3:$J$187,,0)))*COS(RADIANS(P120-_xlfn.XLOOKUP(S120,'Schools dataset'!$B$3:$B$187,'Schools dataset'!$K$3:$K$187,,0))))*6371*1000</f>
        <v>755.79772932210278</v>
      </c>
      <c r="W120" s="20">
        <f>_xlfn.XLOOKUP(T120,'HDB Recommender'!$P$10:$P$39,'HDB Recommender'!$Q$10:$Q$39,"&gt;30mins",1)</f>
        <v>10</v>
      </c>
      <c r="X120" s="20">
        <f>_xlfn.XLOOKUP(U120,'HDB Recommender'!$P$10:$P$39,'HDB Recommender'!$Q$10:$Q$39,"&gt;30mins",1)</f>
        <v>2</v>
      </c>
      <c r="Y120" s="20">
        <f>_xlfn.XLOOKUP(V120,'HDB Recommender'!$P$10:$P$39,'HDB Recommender'!$Q$10:$Q$39,"&gt;30mins",1)</f>
        <v>11</v>
      </c>
      <c r="Z120" s="39">
        <f t="shared" si="3"/>
        <v>7.666666666666667</v>
      </c>
      <c r="AA120" s="20" t="str">
        <f t="shared" si="2"/>
        <v>Within 1km</v>
      </c>
    </row>
    <row r="121" spans="2:27" hidden="1">
      <c r="B121" s="35" t="s">
        <v>317</v>
      </c>
      <c r="C121" s="35" t="s">
        <v>531</v>
      </c>
      <c r="D121" s="35" t="s">
        <v>318</v>
      </c>
      <c r="E121" s="35"/>
      <c r="F121" s="35" t="s">
        <v>532</v>
      </c>
      <c r="G121" s="35" t="s">
        <v>349</v>
      </c>
      <c r="H121" s="35">
        <v>68</v>
      </c>
      <c r="I121" s="35" t="s">
        <v>335</v>
      </c>
      <c r="J121" s="36">
        <v>2019</v>
      </c>
      <c r="K121" s="39">
        <v>94.75</v>
      </c>
      <c r="L121" s="37">
        <v>452500</v>
      </c>
      <c r="M121" s="35" t="s">
        <v>534</v>
      </c>
      <c r="N121" s="27">
        <v>532991</v>
      </c>
      <c r="O121" s="38">
        <v>1.38398477376889</v>
      </c>
      <c r="P121" s="38">
        <v>103.882486324738</v>
      </c>
      <c r="Q121" s="38" t="str" cm="1">
        <f t="array" ref="Q121">INDEX('MRT station dataset'!$C$3:$C$179, MATCH(MIN(SQRT(('MRT station dataset'!$E$3:$E$179-'Resale flat dataset'!O121)^2+('MRT station dataset'!$F$3:$F$179-'Resale flat dataset'!P121)^2)), SQRT(('MRT station dataset'!$E$3:$E$179-'Resale flat dataset'!O121)^2+('MRT station dataset'!$F$3:$F$179-'Resale flat dataset'!P121)^2), 0))</f>
        <v>TONGKANG LRT STATION</v>
      </c>
      <c r="R121" s="38" t="str" cm="1">
        <f t="array" ref="R121">INDEX('Mall Dataset'!$B$3:$B$157, MATCH(MIN(SQRT(('Mall Dataset'!$E$3:$E$157-'Resale flat dataset'!O121)^2+('Mall Dataset'!$F$3:$F$157-'Resale flat dataset'!P121)^2)), SQRT(('Mall Dataset'!$E$3:$E$157-'Resale flat dataset'!O121)^2+('Mall Dataset'!$F$3:$F$157-'Resale flat dataset'!P121)^2), 0))</f>
        <v>Buangkok Square</v>
      </c>
      <c r="S121" s="38" t="str" cm="1">
        <f t="array" ref="S121">INDEX('Schools dataset'!$B$3:$B$187, MATCH(MIN(SQRT(('Schools dataset'!$J$3:$J$187-'Resale flat dataset'!O121)^2+('Schools dataset'!$K$3:$K$187-'Resale flat dataset'!P121)^2)), SQRT(('Schools dataset'!$J$3:$J$187-'Resale flat dataset'!O121)^2+('Schools dataset'!$K$3:$K$187-'Resale flat dataset'!P121)^2), 0))</f>
        <v>HOUGANG PRIMARY SCHOOL</v>
      </c>
      <c r="T121" s="39">
        <f>ACOS(COS(RADIANS(90-O121))*COS(RADIANS(90-_xlfn.XLOOKUP(Q121,'MRT station dataset'!$C$3:$C$179,'MRT station dataset'!$E$3:$E$179)))+SIN(RADIANS(90-O121))*SIN(RADIANS(90-_xlfn.XLOOKUP(Q121,'MRT station dataset'!$C$3:$C$179,'MRT station dataset'!$E$3:$E$179)))*COS(RADIANS(P121-_xlfn.XLOOKUP('Resale flat dataset'!Q121,'MRT station dataset'!$C$3:$C$179,'MRT station dataset'!$F$3:$F$179))))*6371*1000</f>
        <v>696.41804014465708</v>
      </c>
      <c r="U121" s="39">
        <f>ACOS(COS(RADIANS(90-O121))*COS(RADIANS(90-_xlfn.XLOOKUP(R121,'Mall Dataset'!$B$3:$B$157,'Mall Dataset'!$E$3:$E$157,,0)))+SIN(RADIANS(90-O121))*SIN(RADIANS(90-_xlfn.XLOOKUP(R121,'Mall Dataset'!$B$3:$B$157,'Mall Dataset'!$E$3:$E$157,,0)))*COS(RADIANS(P121-_xlfn.XLOOKUP(R121,'Mall Dataset'!$B$3:$B$157,'Mall Dataset'!$F$3:$F$157,,0))))*6371*1000</f>
        <v>103.53185013659383</v>
      </c>
      <c r="V121" s="39">
        <f>ACOS(COS(RADIANS(90-O121))*COS(RADIANS(90-_xlfn.XLOOKUP(S121,'Schools dataset'!$B$3:$B$187,'Schools dataset'!$J$3:$J$187,,0)))+SIN(RADIANS(90-O121))*SIN(RADIANS(90-_xlfn.XLOOKUP(S121,'Schools dataset'!$B$3:$B$187,'Schools dataset'!$J$3:$J$187,,0)))*COS(RADIANS(P121-_xlfn.XLOOKUP(S121,'Schools dataset'!$B$3:$B$187,'Schools dataset'!$K$3:$K$187,,0))))*6371*1000</f>
        <v>755.79772932210278</v>
      </c>
      <c r="W121" s="20">
        <f>_xlfn.XLOOKUP(T121,'HDB Recommender'!$P$10:$P$39,'HDB Recommender'!$Q$10:$Q$39,"&gt;30mins",1)</f>
        <v>10</v>
      </c>
      <c r="X121" s="20">
        <f>_xlfn.XLOOKUP(U121,'HDB Recommender'!$P$10:$P$39,'HDB Recommender'!$Q$10:$Q$39,"&gt;30mins",1)</f>
        <v>2</v>
      </c>
      <c r="Y121" s="20">
        <f>_xlfn.XLOOKUP(V121,'HDB Recommender'!$P$10:$P$39,'HDB Recommender'!$Q$10:$Q$39,"&gt;30mins",1)</f>
        <v>11</v>
      </c>
      <c r="Z121" s="39">
        <f t="shared" si="3"/>
        <v>7.666666666666667</v>
      </c>
      <c r="AA121" s="20" t="str">
        <f t="shared" si="2"/>
        <v>Within 1km</v>
      </c>
    </row>
    <row r="122" spans="2:27" hidden="1">
      <c r="B122" s="35" t="s">
        <v>317</v>
      </c>
      <c r="C122" s="35" t="s">
        <v>531</v>
      </c>
      <c r="D122" s="35" t="s">
        <v>318</v>
      </c>
      <c r="E122" s="35">
        <v>316</v>
      </c>
      <c r="F122" s="35" t="s">
        <v>535</v>
      </c>
      <c r="G122" s="35" t="s">
        <v>184</v>
      </c>
      <c r="H122" s="35">
        <v>59</v>
      </c>
      <c r="I122" s="35" t="s">
        <v>326</v>
      </c>
      <c r="J122" s="36">
        <v>1993</v>
      </c>
      <c r="K122" s="39">
        <v>68.5833333333333</v>
      </c>
      <c r="L122" s="37">
        <v>370000</v>
      </c>
      <c r="M122" s="35" t="s">
        <v>536</v>
      </c>
      <c r="N122" s="27">
        <v>530316</v>
      </c>
      <c r="O122" s="38">
        <v>1.3649758474204301</v>
      </c>
      <c r="P122" s="38">
        <v>103.896809883055</v>
      </c>
      <c r="Q122" s="38" t="str" cm="1">
        <f t="array" ref="Q122">INDEX('MRT station dataset'!$C$3:$C$179, MATCH(MIN(SQRT(('MRT station dataset'!$E$3:$E$179-'Resale flat dataset'!O122)^2+('MRT station dataset'!$F$3:$F$179-'Resale flat dataset'!P122)^2)), SQRT(('MRT station dataset'!$E$3:$E$179-'Resale flat dataset'!O122)^2+('MRT station dataset'!$F$3:$F$179-'Resale flat dataset'!P122)^2), 0))</f>
        <v>HOUGANG MRT STATION</v>
      </c>
      <c r="R122" s="38" t="str" cm="1">
        <f t="array" ref="R122">INDEX('Mall Dataset'!$B$3:$B$157, MATCH(MIN(SQRT(('Mall Dataset'!$E$3:$E$157-'Resale flat dataset'!O122)^2+('Mall Dataset'!$F$3:$F$157-'Resale flat dataset'!P122)^2)), SQRT(('Mall Dataset'!$E$3:$E$157-'Resale flat dataset'!O122)^2+('Mall Dataset'!$F$3:$F$157-'Resale flat dataset'!P122)^2), 0))</f>
        <v>Hougang Rivercourt</v>
      </c>
      <c r="S122" s="38" t="str" cm="1">
        <f t="array" ref="S122">INDEX('Schools dataset'!$B$3:$B$187, MATCH(MIN(SQRT(('Schools dataset'!$J$3:$J$187-'Resale flat dataset'!O122)^2+('Schools dataset'!$K$3:$K$187-'Resale flat dataset'!P122)^2)), SQRT(('Schools dataset'!$J$3:$J$187-'Resale flat dataset'!O122)^2+('Schools dataset'!$K$3:$K$187-'Resale flat dataset'!P122)^2), 0))</f>
        <v>HOLY INNOCENTS' PRIMARY SCHOOL</v>
      </c>
      <c r="T122" s="39">
        <f>ACOS(COS(RADIANS(90-O122))*COS(RADIANS(90-_xlfn.XLOOKUP(Q122,'MRT station dataset'!$C$3:$C$179,'MRT station dataset'!$E$3:$E$179)))+SIN(RADIANS(90-O122))*SIN(RADIANS(90-_xlfn.XLOOKUP(Q122,'MRT station dataset'!$C$3:$C$179,'MRT station dataset'!$E$3:$E$179)))*COS(RADIANS(P122-_xlfn.XLOOKUP('Resale flat dataset'!Q122,'MRT station dataset'!$C$3:$C$179,'MRT station dataset'!$F$3:$F$179))))*6371*1000</f>
        <v>857.2176046825391</v>
      </c>
      <c r="U122" s="39">
        <f>ACOS(COS(RADIANS(90-O122))*COS(RADIANS(90-_xlfn.XLOOKUP(R122,'Mall Dataset'!$B$3:$B$157,'Mall Dataset'!$E$3:$E$157,,0)))+SIN(RADIANS(90-O122))*SIN(RADIANS(90-_xlfn.XLOOKUP(R122,'Mall Dataset'!$B$3:$B$157,'Mall Dataset'!$E$3:$E$157,,0)))*COS(RADIANS(P122-_xlfn.XLOOKUP(R122,'Mall Dataset'!$B$3:$B$157,'Mall Dataset'!$F$3:$F$157,,0))))*6371*1000</f>
        <v>384.31871205283039</v>
      </c>
      <c r="V122" s="39">
        <f>ACOS(COS(RADIANS(90-O122))*COS(RADIANS(90-_xlfn.XLOOKUP(S122,'Schools dataset'!$B$3:$B$187,'Schools dataset'!$J$3:$J$187,,0)))+SIN(RADIANS(90-O122))*SIN(RADIANS(90-_xlfn.XLOOKUP(S122,'Schools dataset'!$B$3:$B$187,'Schools dataset'!$J$3:$J$187,,0)))*COS(RADIANS(P122-_xlfn.XLOOKUP(S122,'Schools dataset'!$B$3:$B$187,'Schools dataset'!$K$3:$K$187,,0))))*6371*1000</f>
        <v>370.63226676756858</v>
      </c>
      <c r="W122" s="20">
        <f>_xlfn.XLOOKUP(T122,'HDB Recommender'!$P$10:$P$39,'HDB Recommender'!$Q$10:$Q$39,"&gt;30mins",1)</f>
        <v>12</v>
      </c>
      <c r="X122" s="20">
        <f>_xlfn.XLOOKUP(U122,'HDB Recommender'!$P$10:$P$39,'HDB Recommender'!$Q$10:$Q$39,"&gt;30mins",1)</f>
        <v>6</v>
      </c>
      <c r="Y122" s="20">
        <f>_xlfn.XLOOKUP(V122,'HDB Recommender'!$P$10:$P$39,'HDB Recommender'!$Q$10:$Q$39,"&gt;30mins",1)</f>
        <v>5</v>
      </c>
      <c r="Z122" s="39">
        <f t="shared" si="3"/>
        <v>7.666666666666667</v>
      </c>
      <c r="AA122" s="20" t="str">
        <f t="shared" si="2"/>
        <v>Within 1km</v>
      </c>
    </row>
    <row r="123" spans="2:27" hidden="1">
      <c r="B123" s="35" t="s">
        <v>317</v>
      </c>
      <c r="C123" s="35" t="s">
        <v>531</v>
      </c>
      <c r="D123" s="35" t="s">
        <v>318</v>
      </c>
      <c r="E123" s="35">
        <v>652</v>
      </c>
      <c r="F123" s="35" t="s">
        <v>537</v>
      </c>
      <c r="G123" s="35" t="s">
        <v>189</v>
      </c>
      <c r="H123" s="35">
        <v>60</v>
      </c>
      <c r="I123" s="35" t="s">
        <v>326</v>
      </c>
      <c r="J123" s="36">
        <v>1988</v>
      </c>
      <c r="K123" s="39">
        <v>63.6666666666666</v>
      </c>
      <c r="L123" s="37">
        <v>338000</v>
      </c>
      <c r="M123" s="35" t="s">
        <v>538</v>
      </c>
      <c r="N123" s="27">
        <v>530652</v>
      </c>
      <c r="O123" s="38">
        <v>1.3724080431072201</v>
      </c>
      <c r="P123" s="38">
        <v>103.88159824870399</v>
      </c>
      <c r="Q123" s="38" t="str" cm="1">
        <f t="array" ref="Q123">INDEX('MRT station dataset'!$C$3:$C$179, MATCH(MIN(SQRT(('MRT station dataset'!$E$3:$E$179-'Resale flat dataset'!O123)^2+('MRT station dataset'!$F$3:$F$179-'Resale flat dataset'!P123)^2)), SQRT(('MRT station dataset'!$E$3:$E$179-'Resale flat dataset'!O123)^2+('MRT station dataset'!$F$3:$F$179-'Resale flat dataset'!P123)^2), 0))</f>
        <v>HOUGANG MRT STATION</v>
      </c>
      <c r="R123" s="38" t="str" cm="1">
        <f t="array" ref="R123">INDEX('Mall Dataset'!$B$3:$B$157, MATCH(MIN(SQRT(('Mall Dataset'!$E$3:$E$157-'Resale flat dataset'!O123)^2+('Mall Dataset'!$F$3:$F$157-'Resale flat dataset'!P123)^2)), SQRT(('Mall Dataset'!$E$3:$E$157-'Resale flat dataset'!O123)^2+('Mall Dataset'!$F$3:$F$157-'Resale flat dataset'!P123)^2), 0))</f>
        <v>Hougang Green Shopping Mall</v>
      </c>
      <c r="S123" s="38" t="str" cm="1">
        <f t="array" ref="S123">INDEX('Schools dataset'!$B$3:$B$187, MATCH(MIN(SQRT(('Schools dataset'!$J$3:$J$187-'Resale flat dataset'!O123)^2+('Schools dataset'!$K$3:$K$187-'Resale flat dataset'!P123)^2)), SQRT(('Schools dataset'!$J$3:$J$187-'Resale flat dataset'!O123)^2+('Schools dataset'!$K$3:$K$187-'Resale flat dataset'!P123)^2), 0))</f>
        <v>XINMIN PRIMARY SCHOOL</v>
      </c>
      <c r="T123" s="39">
        <f>ACOS(COS(RADIANS(90-O123))*COS(RADIANS(90-_xlfn.XLOOKUP(Q123,'MRT station dataset'!$C$3:$C$179,'MRT station dataset'!$E$3:$E$179)))+SIN(RADIANS(90-O123))*SIN(RADIANS(90-_xlfn.XLOOKUP(Q123,'MRT station dataset'!$C$3:$C$179,'MRT station dataset'!$E$3:$E$179)))*COS(RADIANS(P123-_xlfn.XLOOKUP('Resale flat dataset'!Q123,'MRT station dataset'!$C$3:$C$179,'MRT station dataset'!$F$3:$F$179))))*6371*1000</f>
        <v>1207.0603050022528</v>
      </c>
      <c r="U123" s="39">
        <f>ACOS(COS(RADIANS(90-O123))*COS(RADIANS(90-_xlfn.XLOOKUP(R123,'Mall Dataset'!$B$3:$B$157,'Mall Dataset'!$E$3:$E$157,,0)))+SIN(RADIANS(90-O123))*SIN(RADIANS(90-_xlfn.XLOOKUP(R123,'Mall Dataset'!$B$3:$B$157,'Mall Dataset'!$E$3:$E$157,,0)))*COS(RADIANS(P123-_xlfn.XLOOKUP(R123,'Mall Dataset'!$B$3:$B$157,'Mall Dataset'!$F$3:$F$157,,0))))*6371*1000</f>
        <v>1035.7896759812043</v>
      </c>
      <c r="V123" s="39">
        <f>ACOS(COS(RADIANS(90-O123))*COS(RADIANS(90-_xlfn.XLOOKUP(S123,'Schools dataset'!$B$3:$B$187,'Schools dataset'!$J$3:$J$187,,0)))+SIN(RADIANS(90-O123))*SIN(RADIANS(90-_xlfn.XLOOKUP(S123,'Schools dataset'!$B$3:$B$187,'Schools dataset'!$J$3:$J$187,,0)))*COS(RADIANS(P123-_xlfn.XLOOKUP(S123,'Schools dataset'!$B$3:$B$187,'Schools dataset'!$K$3:$K$187,,0))))*6371*1000</f>
        <v>199.59001158797273</v>
      </c>
      <c r="W123" s="20">
        <f>_xlfn.XLOOKUP(T123,'HDB Recommender'!$P$10:$P$39,'HDB Recommender'!$Q$10:$Q$39,"&gt;30mins",1)</f>
        <v>17</v>
      </c>
      <c r="X123" s="20">
        <f>_xlfn.XLOOKUP(U123,'HDB Recommender'!$P$10:$P$39,'HDB Recommender'!$Q$10:$Q$39,"&gt;30mins",1)</f>
        <v>14</v>
      </c>
      <c r="Y123" s="20">
        <f>_xlfn.XLOOKUP(V123,'HDB Recommender'!$P$10:$P$39,'HDB Recommender'!$Q$10:$Q$39,"&gt;30mins",1)</f>
        <v>3</v>
      </c>
      <c r="Z123" s="39">
        <f t="shared" si="3"/>
        <v>11.333333333333334</v>
      </c>
      <c r="AA123" s="20" t="str">
        <f t="shared" si="2"/>
        <v>Within 1km</v>
      </c>
    </row>
    <row r="124" spans="2:27" hidden="1">
      <c r="B124" s="35" t="s">
        <v>317</v>
      </c>
      <c r="C124" s="35" t="s">
        <v>531</v>
      </c>
      <c r="D124" s="35" t="s">
        <v>318</v>
      </c>
      <c r="E124" s="35">
        <v>644</v>
      </c>
      <c r="F124" s="35" t="s">
        <v>537</v>
      </c>
      <c r="G124" s="35" t="s">
        <v>189</v>
      </c>
      <c r="H124" s="35">
        <v>69</v>
      </c>
      <c r="I124" s="35" t="s">
        <v>326</v>
      </c>
      <c r="J124" s="36">
        <v>1987</v>
      </c>
      <c r="K124" s="39">
        <v>62.3333333333333</v>
      </c>
      <c r="L124" s="37">
        <v>395000</v>
      </c>
      <c r="M124" s="35" t="s">
        <v>539</v>
      </c>
      <c r="N124" s="27">
        <v>530644</v>
      </c>
      <c r="O124" s="38">
        <v>1.3714373646390301</v>
      </c>
      <c r="P124" s="38">
        <v>103.88126107892001</v>
      </c>
      <c r="Q124" s="38" t="str" cm="1">
        <f t="array" ref="Q124">INDEX('MRT station dataset'!$C$3:$C$179, MATCH(MIN(SQRT(('MRT station dataset'!$E$3:$E$179-'Resale flat dataset'!O124)^2+('MRT station dataset'!$F$3:$F$179-'Resale flat dataset'!P124)^2)), SQRT(('MRT station dataset'!$E$3:$E$179-'Resale flat dataset'!O124)^2+('MRT station dataset'!$F$3:$F$179-'Resale flat dataset'!P124)^2), 0))</f>
        <v>HOUGANG MRT STATION</v>
      </c>
      <c r="R124" s="38" t="str" cm="1">
        <f t="array" ref="R124">INDEX('Mall Dataset'!$B$3:$B$157, MATCH(MIN(SQRT(('Mall Dataset'!$E$3:$E$157-'Resale flat dataset'!O124)^2+('Mall Dataset'!$F$3:$F$157-'Resale flat dataset'!P124)^2)), SQRT(('Mall Dataset'!$E$3:$E$157-'Resale flat dataset'!O124)^2+('Mall Dataset'!$F$3:$F$157-'Resale flat dataset'!P124)^2), 0))</f>
        <v>Hougang Green Shopping Mall</v>
      </c>
      <c r="S124" s="38" t="str" cm="1">
        <f t="array" ref="S124">INDEX('Schools dataset'!$B$3:$B$187, MATCH(MIN(SQRT(('Schools dataset'!$J$3:$J$187-'Resale flat dataset'!O124)^2+('Schools dataset'!$K$3:$K$187-'Resale flat dataset'!P124)^2)), SQRT(('Schools dataset'!$J$3:$J$187-'Resale flat dataset'!O124)^2+('Schools dataset'!$K$3:$K$187-'Resale flat dataset'!P124)^2), 0))</f>
        <v>XINMIN PRIMARY SCHOOL</v>
      </c>
      <c r="T124" s="39">
        <f>ACOS(COS(RADIANS(90-O124))*COS(RADIANS(90-_xlfn.XLOOKUP(Q124,'MRT station dataset'!$C$3:$C$179,'MRT station dataset'!$E$3:$E$179)))+SIN(RADIANS(90-O124))*SIN(RADIANS(90-_xlfn.XLOOKUP(Q124,'MRT station dataset'!$C$3:$C$179,'MRT station dataset'!$E$3:$E$179)))*COS(RADIANS(P124-_xlfn.XLOOKUP('Resale flat dataset'!Q124,'MRT station dataset'!$C$3:$C$179,'MRT station dataset'!$F$3:$F$179))))*6371*1000</f>
        <v>1238.3309521445603</v>
      </c>
      <c r="U124" s="39">
        <f>ACOS(COS(RADIANS(90-O124))*COS(RADIANS(90-_xlfn.XLOOKUP(R124,'Mall Dataset'!$B$3:$B$157,'Mall Dataset'!$E$3:$E$157,,0)))+SIN(RADIANS(90-O124))*SIN(RADIANS(90-_xlfn.XLOOKUP(R124,'Mall Dataset'!$B$3:$B$157,'Mall Dataset'!$E$3:$E$157,,0)))*COS(RADIANS(P124-_xlfn.XLOOKUP(R124,'Mall Dataset'!$B$3:$B$157,'Mall Dataset'!$F$3:$F$157,,0))))*6371*1000</f>
        <v>1141.8606834436034</v>
      </c>
      <c r="V124" s="39">
        <f>ACOS(COS(RADIANS(90-O124))*COS(RADIANS(90-_xlfn.XLOOKUP(S124,'Schools dataset'!$B$3:$B$187,'Schools dataset'!$J$3:$J$187,,0)))+SIN(RADIANS(90-O124))*SIN(RADIANS(90-_xlfn.XLOOKUP(S124,'Schools dataset'!$B$3:$B$187,'Schools dataset'!$J$3:$J$187,,0)))*COS(RADIANS(P124-_xlfn.XLOOKUP(S124,'Schools dataset'!$B$3:$B$187,'Schools dataset'!$K$3:$K$187,,0))))*6371*1000</f>
        <v>202.3357856413075</v>
      </c>
      <c r="W124" s="20">
        <f>_xlfn.XLOOKUP(T124,'HDB Recommender'!$P$10:$P$39,'HDB Recommender'!$Q$10:$Q$39,"&gt;30mins",1)</f>
        <v>17</v>
      </c>
      <c r="X124" s="20">
        <f>_xlfn.XLOOKUP(U124,'HDB Recommender'!$P$10:$P$39,'HDB Recommender'!$Q$10:$Q$39,"&gt;30mins",1)</f>
        <v>16</v>
      </c>
      <c r="Y124" s="20">
        <f>_xlfn.XLOOKUP(V124,'HDB Recommender'!$P$10:$P$39,'HDB Recommender'!$Q$10:$Q$39,"&gt;30mins",1)</f>
        <v>3</v>
      </c>
      <c r="Z124" s="39">
        <f t="shared" si="3"/>
        <v>12</v>
      </c>
      <c r="AA124" s="20" t="str">
        <f t="shared" si="2"/>
        <v>Within 1km</v>
      </c>
    </row>
    <row r="125" spans="2:27" hidden="1">
      <c r="B125" s="35" t="s">
        <v>317</v>
      </c>
      <c r="C125" s="35" t="s">
        <v>531</v>
      </c>
      <c r="D125" s="35" t="s">
        <v>318</v>
      </c>
      <c r="E125" s="35">
        <v>696</v>
      </c>
      <c r="F125" s="35" t="s">
        <v>540</v>
      </c>
      <c r="G125" s="35" t="s">
        <v>349</v>
      </c>
      <c r="H125" s="35">
        <v>74</v>
      </c>
      <c r="I125" s="35" t="s">
        <v>335</v>
      </c>
      <c r="J125" s="36">
        <v>1987</v>
      </c>
      <c r="K125" s="39">
        <v>63.0833333333333</v>
      </c>
      <c r="L125" s="37">
        <v>390000</v>
      </c>
      <c r="M125" s="35" t="s">
        <v>541</v>
      </c>
      <c r="N125" s="27">
        <v>530696</v>
      </c>
      <c r="O125" s="38">
        <v>1.37596449465842</v>
      </c>
      <c r="P125" s="38">
        <v>103.88742358325899</v>
      </c>
      <c r="Q125" s="38" t="str" cm="1">
        <f t="array" ref="Q125">INDEX('MRT station dataset'!$C$3:$C$179, MATCH(MIN(SQRT(('MRT station dataset'!$E$3:$E$179-'Resale flat dataset'!O125)^2+('MRT station dataset'!$F$3:$F$179-'Resale flat dataset'!P125)^2)), SQRT(('MRT station dataset'!$E$3:$E$179-'Resale flat dataset'!O125)^2+('MRT station dataset'!$F$3:$F$179-'Resale flat dataset'!P125)^2), 0))</f>
        <v>HOUGANG MRT STATION</v>
      </c>
      <c r="R125" s="38" t="str" cm="1">
        <f t="array" ref="R125">INDEX('Mall Dataset'!$B$3:$B$157, MATCH(MIN(SQRT(('Mall Dataset'!$E$3:$E$157-'Resale flat dataset'!O125)^2+('Mall Dataset'!$F$3:$F$157-'Resale flat dataset'!P125)^2)), SQRT(('Mall Dataset'!$E$3:$E$157-'Resale flat dataset'!O125)^2+('Mall Dataset'!$F$3:$F$157-'Resale flat dataset'!P125)^2), 0))</f>
        <v>Hougang Green Shopping Mall</v>
      </c>
      <c r="S125" s="38" t="str" cm="1">
        <f t="array" ref="S125">INDEX('Schools dataset'!$B$3:$B$187, MATCH(MIN(SQRT(('Schools dataset'!$J$3:$J$187-'Resale flat dataset'!O125)^2+('Schools dataset'!$K$3:$K$187-'Resale flat dataset'!P125)^2)), SQRT(('Schools dataset'!$J$3:$J$187-'Resale flat dataset'!O125)^2+('Schools dataset'!$K$3:$K$187-'Resale flat dataset'!P125)^2), 0))</f>
        <v>YIO CHU KANG PRIMARY SCHOOL</v>
      </c>
      <c r="T125" s="39">
        <f>ACOS(COS(RADIANS(90-O125))*COS(RADIANS(90-_xlfn.XLOOKUP(Q125,'MRT station dataset'!$C$3:$C$179,'MRT station dataset'!$E$3:$E$179)))+SIN(RADIANS(90-O125))*SIN(RADIANS(90-_xlfn.XLOOKUP(Q125,'MRT station dataset'!$C$3:$C$179,'MRT station dataset'!$E$3:$E$179)))*COS(RADIANS(P125-_xlfn.XLOOKUP('Resale flat dataset'!Q125,'MRT station dataset'!$C$3:$C$179,'MRT station dataset'!$F$3:$F$179))))*6371*1000</f>
        <v>758.31354919312923</v>
      </c>
      <c r="U125" s="39">
        <f>ACOS(COS(RADIANS(90-O125))*COS(RADIANS(90-_xlfn.XLOOKUP(R125,'Mall Dataset'!$B$3:$B$157,'Mall Dataset'!$E$3:$E$157,,0)))+SIN(RADIANS(90-O125))*SIN(RADIANS(90-_xlfn.XLOOKUP(R125,'Mall Dataset'!$B$3:$B$157,'Mall Dataset'!$E$3:$E$157,,0)))*COS(RADIANS(P125-_xlfn.XLOOKUP(R125,'Mall Dataset'!$B$3:$B$157,'Mall Dataset'!$F$3:$F$157,,0))))*6371*1000</f>
        <v>375.83466049096569</v>
      </c>
      <c r="V125" s="39">
        <f>ACOS(COS(RADIANS(90-O125))*COS(RADIANS(90-_xlfn.XLOOKUP(S125,'Schools dataset'!$B$3:$B$187,'Schools dataset'!$J$3:$J$187,,0)))+SIN(RADIANS(90-O125))*SIN(RADIANS(90-_xlfn.XLOOKUP(S125,'Schools dataset'!$B$3:$B$187,'Schools dataset'!$J$3:$J$187,,0)))*COS(RADIANS(P125-_xlfn.XLOOKUP(S125,'Schools dataset'!$B$3:$B$187,'Schools dataset'!$K$3:$K$187,,0))))*6371*1000</f>
        <v>291.90507756979753</v>
      </c>
      <c r="W125" s="20">
        <f>_xlfn.XLOOKUP(T125,'HDB Recommender'!$P$10:$P$39,'HDB Recommender'!$Q$10:$Q$39,"&gt;30mins",1)</f>
        <v>11</v>
      </c>
      <c r="X125" s="20">
        <f>_xlfn.XLOOKUP(U125,'HDB Recommender'!$P$10:$P$39,'HDB Recommender'!$Q$10:$Q$39,"&gt;30mins",1)</f>
        <v>6</v>
      </c>
      <c r="Y125" s="20">
        <f>_xlfn.XLOOKUP(V125,'HDB Recommender'!$P$10:$P$39,'HDB Recommender'!$Q$10:$Q$39,"&gt;30mins",1)</f>
        <v>4</v>
      </c>
      <c r="Z125" s="39">
        <f t="shared" si="3"/>
        <v>7</v>
      </c>
      <c r="AA125" s="20" t="str">
        <f t="shared" si="2"/>
        <v>Within 1km</v>
      </c>
    </row>
    <row r="126" spans="2:27" hidden="1">
      <c r="B126" s="35" t="s">
        <v>317</v>
      </c>
      <c r="C126" s="35" t="s">
        <v>531</v>
      </c>
      <c r="D126" s="35" t="s">
        <v>20</v>
      </c>
      <c r="E126" s="35">
        <v>678</v>
      </c>
      <c r="F126" s="35" t="s">
        <v>537</v>
      </c>
      <c r="G126" s="35" t="s">
        <v>349</v>
      </c>
      <c r="H126" s="35">
        <v>89</v>
      </c>
      <c r="I126" s="35" t="s">
        <v>369</v>
      </c>
      <c r="J126" s="36">
        <v>1988</v>
      </c>
      <c r="K126" s="39">
        <v>64.4166666666666</v>
      </c>
      <c r="L126" s="37">
        <v>458000</v>
      </c>
      <c r="M126" s="35" t="s">
        <v>542</v>
      </c>
      <c r="N126" s="27">
        <v>530678</v>
      </c>
      <c r="O126" s="38">
        <v>1.3708407639457301</v>
      </c>
      <c r="P126" s="38">
        <v>103.88423638207701</v>
      </c>
      <c r="Q126" s="38" t="str" cm="1">
        <f t="array" ref="Q126">INDEX('MRT station dataset'!$C$3:$C$179, MATCH(MIN(SQRT(('MRT station dataset'!$E$3:$E$179-'Resale flat dataset'!O126)^2+('MRT station dataset'!$F$3:$F$179-'Resale flat dataset'!P126)^2)), SQRT(('MRT station dataset'!$E$3:$E$179-'Resale flat dataset'!O126)^2+('MRT station dataset'!$F$3:$F$179-'Resale flat dataset'!P126)^2), 0))</f>
        <v>HOUGANG MRT STATION</v>
      </c>
      <c r="R126" s="38" t="str" cm="1">
        <f t="array" ref="R126">INDEX('Mall Dataset'!$B$3:$B$157, MATCH(MIN(SQRT(('Mall Dataset'!$E$3:$E$157-'Resale flat dataset'!O126)^2+('Mall Dataset'!$F$3:$F$157-'Resale flat dataset'!P126)^2)), SQRT(('Mall Dataset'!$E$3:$E$157-'Resale flat dataset'!O126)^2+('Mall Dataset'!$F$3:$F$157-'Resale flat dataset'!P126)^2), 0))</f>
        <v>Hougang 1</v>
      </c>
      <c r="S126" s="38" t="str" cm="1">
        <f t="array" ref="S126">INDEX('Schools dataset'!$B$3:$B$187, MATCH(MIN(SQRT(('Schools dataset'!$J$3:$J$187-'Resale flat dataset'!O126)^2+('Schools dataset'!$K$3:$K$187-'Resale flat dataset'!P126)^2)), SQRT(('Schools dataset'!$J$3:$J$187-'Resale flat dataset'!O126)^2+('Schools dataset'!$K$3:$K$187-'Resale flat dataset'!P126)^2), 0))</f>
        <v>XINMIN PRIMARY SCHOOL</v>
      </c>
      <c r="T126" s="39">
        <f>ACOS(COS(RADIANS(90-O126))*COS(RADIANS(90-_xlfn.XLOOKUP(Q126,'MRT station dataset'!$C$3:$C$179,'MRT station dataset'!$E$3:$E$179)))+SIN(RADIANS(90-O126))*SIN(RADIANS(90-_xlfn.XLOOKUP(Q126,'MRT station dataset'!$C$3:$C$179,'MRT station dataset'!$E$3:$E$179)))*COS(RADIANS(P126-_xlfn.XLOOKUP('Resale flat dataset'!Q126,'MRT station dataset'!$C$3:$C$179,'MRT station dataset'!$F$3:$F$179))))*6371*1000</f>
        <v>908.9285754717398</v>
      </c>
      <c r="U126" s="39">
        <f>ACOS(COS(RADIANS(90-O126))*COS(RADIANS(90-_xlfn.XLOOKUP(R126,'Mall Dataset'!$B$3:$B$157,'Mall Dataset'!$E$3:$E$157,,0)))+SIN(RADIANS(90-O126))*SIN(RADIANS(90-_xlfn.XLOOKUP(R126,'Mall Dataset'!$B$3:$B$157,'Mall Dataset'!$E$3:$E$157,,0)))*COS(RADIANS(P126-_xlfn.XLOOKUP(R126,'Mall Dataset'!$B$3:$B$157,'Mall Dataset'!$F$3:$F$157,,0))))*6371*1000</f>
        <v>986.27090915900203</v>
      </c>
      <c r="V126" s="39">
        <f>ACOS(COS(RADIANS(90-O126))*COS(RADIANS(90-_xlfn.XLOOKUP(S126,'Schools dataset'!$B$3:$B$187,'Schools dataset'!$J$3:$J$187,,0)))+SIN(RADIANS(90-O126))*SIN(RADIANS(90-_xlfn.XLOOKUP(S126,'Schools dataset'!$B$3:$B$187,'Schools dataset'!$J$3:$J$187,,0)))*COS(RADIANS(P126-_xlfn.XLOOKUP(S126,'Schools dataset'!$B$3:$B$187,'Schools dataset'!$K$3:$K$187,,0))))*6371*1000</f>
        <v>142.50319498464404</v>
      </c>
      <c r="W126" s="20">
        <f>_xlfn.XLOOKUP(T126,'HDB Recommender'!$P$10:$P$39,'HDB Recommender'!$Q$10:$Q$39,"&gt;30mins",1)</f>
        <v>13</v>
      </c>
      <c r="X126" s="20">
        <f>_xlfn.XLOOKUP(U126,'HDB Recommender'!$P$10:$P$39,'HDB Recommender'!$Q$10:$Q$39,"&gt;30mins",1)</f>
        <v>14</v>
      </c>
      <c r="Y126" s="20">
        <f>_xlfn.XLOOKUP(V126,'HDB Recommender'!$P$10:$P$39,'HDB Recommender'!$Q$10:$Q$39,"&gt;30mins",1)</f>
        <v>2</v>
      </c>
      <c r="Z126" s="39">
        <f t="shared" si="3"/>
        <v>9.6666666666666661</v>
      </c>
      <c r="AA126" s="20" t="str">
        <f t="shared" si="2"/>
        <v>Within 1km</v>
      </c>
    </row>
    <row r="127" spans="2:27" hidden="1">
      <c r="B127" s="35" t="s">
        <v>317</v>
      </c>
      <c r="C127" s="35" t="s">
        <v>531</v>
      </c>
      <c r="D127" s="35" t="s">
        <v>20</v>
      </c>
      <c r="E127" s="35">
        <v>929</v>
      </c>
      <c r="F127" s="35" t="s">
        <v>543</v>
      </c>
      <c r="G127" s="35" t="s">
        <v>349</v>
      </c>
      <c r="H127" s="35">
        <v>100</v>
      </c>
      <c r="I127" s="35" t="s">
        <v>335</v>
      </c>
      <c r="J127" s="36">
        <v>1998</v>
      </c>
      <c r="K127" s="39">
        <v>73.8333333333333</v>
      </c>
      <c r="L127" s="37">
        <v>520000</v>
      </c>
      <c r="M127" s="35" t="s">
        <v>544</v>
      </c>
      <c r="N127" s="27">
        <v>530929</v>
      </c>
      <c r="O127" s="38">
        <v>1.3760320430939801</v>
      </c>
      <c r="P127" s="38">
        <v>103.88149788857901</v>
      </c>
      <c r="Q127" s="38" t="str" cm="1">
        <f t="array" ref="Q127">INDEX('MRT station dataset'!$C$3:$C$179, MATCH(MIN(SQRT(('MRT station dataset'!$E$3:$E$179-'Resale flat dataset'!O127)^2+('MRT station dataset'!$F$3:$F$179-'Resale flat dataset'!P127)^2)), SQRT(('MRT station dataset'!$E$3:$E$179-'Resale flat dataset'!O127)^2+('MRT station dataset'!$F$3:$F$179-'Resale flat dataset'!P127)^2), 0))</f>
        <v>HOUGANG MRT STATION</v>
      </c>
      <c r="R127" s="38" t="str" cm="1">
        <f t="array" ref="R127">INDEX('Mall Dataset'!$B$3:$B$157, MATCH(MIN(SQRT(('Mall Dataset'!$E$3:$E$157-'Resale flat dataset'!O127)^2+('Mall Dataset'!$F$3:$F$157-'Resale flat dataset'!P127)^2)), SQRT(('Mall Dataset'!$E$3:$E$157-'Resale flat dataset'!O127)^2+('Mall Dataset'!$F$3:$F$157-'Resale flat dataset'!P127)^2), 0))</f>
        <v>Hougang Green Shopping Mall</v>
      </c>
      <c r="S127" s="38" t="str" cm="1">
        <f t="array" ref="S127">INDEX('Schools dataset'!$B$3:$B$187, MATCH(MIN(SQRT(('Schools dataset'!$J$3:$J$187-'Resale flat dataset'!O127)^2+('Schools dataset'!$K$3:$K$187-'Resale flat dataset'!P127)^2)), SQRT(('Schools dataset'!$J$3:$J$187-'Resale flat dataset'!O127)^2+('Schools dataset'!$K$3:$K$187-'Resale flat dataset'!P127)^2), 0))</f>
        <v>HOUGANG PRIMARY SCHOOL</v>
      </c>
      <c r="T127" s="39">
        <f>ACOS(COS(RADIANS(90-O127))*COS(RADIANS(90-_xlfn.XLOOKUP(Q127,'MRT station dataset'!$C$3:$C$179,'MRT station dataset'!$E$3:$E$179)))+SIN(RADIANS(90-O127))*SIN(RADIANS(90-_xlfn.XLOOKUP(Q127,'MRT station dataset'!$C$3:$C$179,'MRT station dataset'!$E$3:$E$179)))*COS(RADIANS(P127-_xlfn.XLOOKUP('Resale flat dataset'!Q127,'MRT station dataset'!$C$3:$C$179,'MRT station dataset'!$F$3:$F$179))))*6371*1000</f>
        <v>1321.2089266137464</v>
      </c>
      <c r="U127" s="39">
        <f>ACOS(COS(RADIANS(90-O127))*COS(RADIANS(90-_xlfn.XLOOKUP(R127,'Mall Dataset'!$B$3:$B$157,'Mall Dataset'!$E$3:$E$157,,0)))+SIN(RADIANS(90-O127))*SIN(RADIANS(90-_xlfn.XLOOKUP(R127,'Mall Dataset'!$B$3:$B$157,'Mall Dataset'!$E$3:$E$157,,0)))*COS(RADIANS(P127-_xlfn.XLOOKUP(R127,'Mall Dataset'!$B$3:$B$157,'Mall Dataset'!$F$3:$F$157,,0))))*6371*1000</f>
        <v>794.75579037375894</v>
      </c>
      <c r="V127" s="39">
        <f>ACOS(COS(RADIANS(90-O127))*COS(RADIANS(90-_xlfn.XLOOKUP(S127,'Schools dataset'!$B$3:$B$187,'Schools dataset'!$J$3:$J$187,,0)))+SIN(RADIANS(90-O127))*SIN(RADIANS(90-_xlfn.XLOOKUP(S127,'Schools dataset'!$B$3:$B$187,'Schools dataset'!$J$3:$J$187,,0)))*COS(RADIANS(P127-_xlfn.XLOOKUP(S127,'Schools dataset'!$B$3:$B$187,'Schools dataset'!$K$3:$K$187,,0))))*6371*1000</f>
        <v>163.48324159098104</v>
      </c>
      <c r="W127" s="20">
        <f>_xlfn.XLOOKUP(T127,'HDB Recommender'!$P$10:$P$39,'HDB Recommender'!$Q$10:$Q$39,"&gt;30mins",1)</f>
        <v>18</v>
      </c>
      <c r="X127" s="20">
        <f>_xlfn.XLOOKUP(U127,'HDB Recommender'!$P$10:$P$39,'HDB Recommender'!$Q$10:$Q$39,"&gt;30mins",1)</f>
        <v>11</v>
      </c>
      <c r="Y127" s="20">
        <f>_xlfn.XLOOKUP(V127,'HDB Recommender'!$P$10:$P$39,'HDB Recommender'!$Q$10:$Q$39,"&gt;30mins",1)</f>
        <v>3</v>
      </c>
      <c r="Z127" s="39">
        <f t="shared" si="3"/>
        <v>10.666666666666666</v>
      </c>
      <c r="AA127" s="20" t="str">
        <f t="shared" si="2"/>
        <v>Within 1km</v>
      </c>
    </row>
    <row r="128" spans="2:27" hidden="1">
      <c r="B128" s="35" t="s">
        <v>317</v>
      </c>
      <c r="C128" s="35" t="s">
        <v>531</v>
      </c>
      <c r="D128" s="35" t="s">
        <v>20</v>
      </c>
      <c r="E128" s="35">
        <v>137</v>
      </c>
      <c r="F128" s="35" t="s">
        <v>545</v>
      </c>
      <c r="G128" s="35" t="s">
        <v>349</v>
      </c>
      <c r="H128" s="35">
        <v>106</v>
      </c>
      <c r="I128" s="35" t="s">
        <v>335</v>
      </c>
      <c r="J128" s="36">
        <v>1985</v>
      </c>
      <c r="K128" s="39">
        <v>60.5833333333333</v>
      </c>
      <c r="L128" s="37">
        <v>600000</v>
      </c>
      <c r="M128" s="35" t="s">
        <v>546</v>
      </c>
      <c r="N128" s="27">
        <v>530137</v>
      </c>
      <c r="O128" s="38">
        <v>1.3490532162175699</v>
      </c>
      <c r="P128" s="38">
        <v>103.88664017294001</v>
      </c>
      <c r="Q128" s="38" t="str" cm="1">
        <f t="array" ref="Q128">INDEX('MRT station dataset'!$C$3:$C$179, MATCH(MIN(SQRT(('MRT station dataset'!$E$3:$E$179-'Resale flat dataset'!O128)^2+('MRT station dataset'!$F$3:$F$179-'Resale flat dataset'!P128)^2)), SQRT(('MRT station dataset'!$E$3:$E$179-'Resale flat dataset'!O128)^2+('MRT station dataset'!$F$3:$F$179-'Resale flat dataset'!P128)^2), 0))</f>
        <v>BARTLEY MRT STATION</v>
      </c>
      <c r="R128" s="38" t="str" cm="1">
        <f t="array" ref="R128">INDEX('Mall Dataset'!$B$3:$B$157, MATCH(MIN(SQRT(('Mall Dataset'!$E$3:$E$157-'Resale flat dataset'!O128)^2+('Mall Dataset'!$F$3:$F$157-'Resale flat dataset'!P128)^2)), SQRT(('Mall Dataset'!$E$3:$E$157-'Resale flat dataset'!O128)^2+('Mall Dataset'!$F$3:$F$157-'Resale flat dataset'!P128)^2), 0))</f>
        <v>Upper Serangoon Shopping Centre</v>
      </c>
      <c r="S128" s="38" t="str" cm="1">
        <f t="array" ref="S128">INDEX('Schools dataset'!$B$3:$B$187, MATCH(MIN(SQRT(('Schools dataset'!$J$3:$J$187-'Resale flat dataset'!O128)^2+('Schools dataset'!$K$3:$K$187-'Resale flat dataset'!P128)^2)), SQRT(('Schools dataset'!$J$3:$J$187-'Resale flat dataset'!O128)^2+('Schools dataset'!$K$3:$K$187-'Resale flat dataset'!P128)^2), 0))</f>
        <v>PAYA LEBAR METHODIST GIRLS' SCHOOL (PRIMARY)</v>
      </c>
      <c r="T128" s="39">
        <f>ACOS(COS(RADIANS(90-O128))*COS(RADIANS(90-_xlfn.XLOOKUP(Q128,'MRT station dataset'!$C$3:$C$179,'MRT station dataset'!$E$3:$E$179)))+SIN(RADIANS(90-O128))*SIN(RADIANS(90-_xlfn.XLOOKUP(Q128,'MRT station dataset'!$C$3:$C$179,'MRT station dataset'!$E$3:$E$179)))*COS(RADIANS(P128-_xlfn.XLOOKUP('Resale flat dataset'!Q128,'MRT station dataset'!$C$3:$C$179,'MRT station dataset'!$F$3:$F$179))))*6371*1000</f>
        <v>1030.3688460100934</v>
      </c>
      <c r="U128" s="39">
        <f>ACOS(COS(RADIANS(90-O128))*COS(RADIANS(90-_xlfn.XLOOKUP(R128,'Mall Dataset'!$B$3:$B$157,'Mall Dataset'!$E$3:$E$157,,0)))+SIN(RADIANS(90-O128))*SIN(RADIANS(90-_xlfn.XLOOKUP(R128,'Mall Dataset'!$B$3:$B$157,'Mall Dataset'!$E$3:$E$157,,0)))*COS(RADIANS(P128-_xlfn.XLOOKUP(R128,'Mall Dataset'!$B$3:$B$157,'Mall Dataset'!$F$3:$F$157,,0))))*6371*1000</f>
        <v>998.26604304577177</v>
      </c>
      <c r="V128" s="39">
        <f>ACOS(COS(RADIANS(90-O128))*COS(RADIANS(90-_xlfn.XLOOKUP(S128,'Schools dataset'!$B$3:$B$187,'Schools dataset'!$J$3:$J$187,,0)))+SIN(RADIANS(90-O128))*SIN(RADIANS(90-_xlfn.XLOOKUP(S128,'Schools dataset'!$B$3:$B$187,'Schools dataset'!$J$3:$J$187,,0)))*COS(RADIANS(P128-_xlfn.XLOOKUP(S128,'Schools dataset'!$B$3:$B$187,'Schools dataset'!$K$3:$K$187,,0))))*6371*1000</f>
        <v>239.96875473230796</v>
      </c>
      <c r="W128" s="20">
        <f>_xlfn.XLOOKUP(T128,'HDB Recommender'!$P$10:$P$39,'HDB Recommender'!$Q$10:$Q$39,"&gt;30mins",1)</f>
        <v>14</v>
      </c>
      <c r="X128" s="20">
        <f>_xlfn.XLOOKUP(U128,'HDB Recommender'!$P$10:$P$39,'HDB Recommender'!$Q$10:$Q$39,"&gt;30mins",1)</f>
        <v>14</v>
      </c>
      <c r="Y128" s="20">
        <f>_xlfn.XLOOKUP(V128,'HDB Recommender'!$P$10:$P$39,'HDB Recommender'!$Q$10:$Q$39,"&gt;30mins",1)</f>
        <v>4</v>
      </c>
      <c r="Z128" s="39">
        <f t="shared" si="3"/>
        <v>10.666666666666666</v>
      </c>
      <c r="AA128" s="20" t="str">
        <f t="shared" si="2"/>
        <v>Within 1km</v>
      </c>
    </row>
    <row r="129" spans="2:27" hidden="1">
      <c r="B129" s="35" t="s">
        <v>317</v>
      </c>
      <c r="C129" s="35" t="s">
        <v>531</v>
      </c>
      <c r="D129" s="35" t="s">
        <v>341</v>
      </c>
      <c r="E129" s="35"/>
      <c r="F129" s="35" t="s">
        <v>547</v>
      </c>
      <c r="G129" s="35" t="s">
        <v>349</v>
      </c>
      <c r="H129" s="35">
        <v>110</v>
      </c>
      <c r="I129" s="35" t="s">
        <v>326</v>
      </c>
      <c r="J129" s="36">
        <v>2003</v>
      </c>
      <c r="K129" s="39">
        <v>78.6666666666666</v>
      </c>
      <c r="L129" s="37">
        <v>535000</v>
      </c>
      <c r="M129" s="35" t="s">
        <v>548</v>
      </c>
      <c r="N129" s="27">
        <v>531981</v>
      </c>
      <c r="O129" s="38">
        <v>1.3804866172177199</v>
      </c>
      <c r="P129" s="38">
        <v>103.88070970616801</v>
      </c>
      <c r="Q129" s="38" t="str" cm="1">
        <f t="array" ref="Q129">INDEX('MRT station dataset'!$C$3:$C$179, MATCH(MIN(SQRT(('MRT station dataset'!$E$3:$E$179-'Resale flat dataset'!O129)^2+('MRT station dataset'!$F$3:$F$179-'Resale flat dataset'!P129)^2)), SQRT(('MRT station dataset'!$E$3:$E$179-'Resale flat dataset'!O129)^2+('MRT station dataset'!$F$3:$F$179-'Resale flat dataset'!P129)^2), 0))</f>
        <v>TONGKANG LRT STATION</v>
      </c>
      <c r="R129" s="38" t="str" cm="1">
        <f t="array" ref="R129">INDEX('Mall Dataset'!$B$3:$B$157, MATCH(MIN(SQRT(('Mall Dataset'!$E$3:$E$157-'Resale flat dataset'!O129)^2+('Mall Dataset'!$F$3:$F$157-'Resale flat dataset'!P129)^2)), SQRT(('Mall Dataset'!$E$3:$E$157-'Resale flat dataset'!O129)^2+('Mall Dataset'!$F$3:$F$157-'Resale flat dataset'!P129)^2), 0))</f>
        <v>Buangkok Square</v>
      </c>
      <c r="S129" s="38" t="str" cm="1">
        <f t="array" ref="S129">INDEX('Schools dataset'!$B$3:$B$187, MATCH(MIN(SQRT(('Schools dataset'!$J$3:$J$187-'Resale flat dataset'!O129)^2+('Schools dataset'!$K$3:$K$187-'Resale flat dataset'!P129)^2)), SQRT(('Schools dataset'!$J$3:$J$187-'Resale flat dataset'!O129)^2+('Schools dataset'!$K$3:$K$187-'Resale flat dataset'!P129)^2), 0))</f>
        <v>HOUGANG PRIMARY SCHOOL</v>
      </c>
      <c r="T129" s="39">
        <f>ACOS(COS(RADIANS(90-O129))*COS(RADIANS(90-_xlfn.XLOOKUP(Q129,'MRT station dataset'!$C$3:$C$179,'MRT station dataset'!$E$3:$E$179)))+SIN(RADIANS(90-O129))*SIN(RADIANS(90-_xlfn.XLOOKUP(Q129,'MRT station dataset'!$C$3:$C$179,'MRT station dataset'!$E$3:$E$179)))*COS(RADIANS(P129-_xlfn.XLOOKUP('Resale flat dataset'!Q129,'MRT station dataset'!$C$3:$C$179,'MRT station dataset'!$F$3:$F$179))))*6371*1000</f>
        <v>1131.6326438297656</v>
      </c>
      <c r="U129" s="39">
        <f>ACOS(COS(RADIANS(90-O129))*COS(RADIANS(90-_xlfn.XLOOKUP(R129,'Mall Dataset'!$B$3:$B$157,'Mall Dataset'!$E$3:$E$157,,0)))+SIN(RADIANS(90-O129))*SIN(RADIANS(90-_xlfn.XLOOKUP(R129,'Mall Dataset'!$B$3:$B$157,'Mall Dataset'!$E$3:$E$157,,0)))*COS(RADIANS(P129-_xlfn.XLOOKUP(R129,'Mall Dataset'!$B$3:$B$157,'Mall Dataset'!$F$3:$F$157,,0))))*6371*1000</f>
        <v>439.72147471792857</v>
      </c>
      <c r="V129" s="39">
        <f>ACOS(COS(RADIANS(90-O129))*COS(RADIANS(90-_xlfn.XLOOKUP(S129,'Schools dataset'!$B$3:$B$187,'Schools dataset'!$J$3:$J$187,,0)))+SIN(RADIANS(90-O129))*SIN(RADIANS(90-_xlfn.XLOOKUP(S129,'Schools dataset'!$B$3:$B$187,'Schools dataset'!$J$3:$J$187,,0)))*COS(RADIANS(P129-_xlfn.XLOOKUP(S129,'Schools dataset'!$B$3:$B$187,'Schools dataset'!$K$3:$K$187,,0))))*6371*1000</f>
        <v>346.60786282633359</v>
      </c>
      <c r="W129" s="20">
        <f>_xlfn.XLOOKUP(T129,'HDB Recommender'!$P$10:$P$39,'HDB Recommender'!$Q$10:$Q$39,"&gt;30mins",1)</f>
        <v>16</v>
      </c>
      <c r="X129" s="20">
        <f>_xlfn.XLOOKUP(U129,'HDB Recommender'!$P$10:$P$39,'HDB Recommender'!$Q$10:$Q$39,"&gt;30mins",1)</f>
        <v>6</v>
      </c>
      <c r="Y129" s="20">
        <f>_xlfn.XLOOKUP(V129,'HDB Recommender'!$P$10:$P$39,'HDB Recommender'!$Q$10:$Q$39,"&gt;30mins",1)</f>
        <v>5</v>
      </c>
      <c r="Z129" s="39">
        <f t="shared" si="3"/>
        <v>9</v>
      </c>
      <c r="AA129" s="20" t="str">
        <f t="shared" si="2"/>
        <v>Within 1km</v>
      </c>
    </row>
    <row r="130" spans="2:27" hidden="1">
      <c r="B130" s="35" t="s">
        <v>317</v>
      </c>
      <c r="C130" s="35" t="s">
        <v>531</v>
      </c>
      <c r="D130" s="35" t="s">
        <v>341</v>
      </c>
      <c r="E130" s="35"/>
      <c r="F130" s="35" t="s">
        <v>547</v>
      </c>
      <c r="G130" s="35" t="s">
        <v>323</v>
      </c>
      <c r="H130" s="35">
        <v>113</v>
      </c>
      <c r="I130" s="35" t="s">
        <v>326</v>
      </c>
      <c r="J130" s="36">
        <v>2018</v>
      </c>
      <c r="K130" s="39">
        <v>94.1666666666666</v>
      </c>
      <c r="L130" s="37">
        <v>783888</v>
      </c>
      <c r="M130" s="35" t="s">
        <v>549</v>
      </c>
      <c r="N130" s="27">
        <v>532997</v>
      </c>
      <c r="O130" s="38">
        <v>1.3859015678119899</v>
      </c>
      <c r="P130" s="38">
        <v>103.8813870478</v>
      </c>
      <c r="Q130" s="38" t="str" cm="1">
        <f t="array" ref="Q130">INDEX('MRT station dataset'!$C$3:$C$179, MATCH(MIN(SQRT(('MRT station dataset'!$E$3:$E$179-'Resale flat dataset'!O130)^2+('MRT station dataset'!$F$3:$F$179-'Resale flat dataset'!P130)^2)), SQRT(('MRT station dataset'!$E$3:$E$179-'Resale flat dataset'!O130)^2+('MRT station dataset'!$F$3:$F$179-'Resale flat dataset'!P130)^2), 0))</f>
        <v>TONGKANG LRT STATION</v>
      </c>
      <c r="R130" s="38" t="str" cm="1">
        <f t="array" ref="R130">INDEX('Mall Dataset'!$B$3:$B$157, MATCH(MIN(SQRT(('Mall Dataset'!$E$3:$E$157-'Resale flat dataset'!O130)^2+('Mall Dataset'!$F$3:$F$157-'Resale flat dataset'!P130)^2)), SQRT(('Mall Dataset'!$E$3:$E$157-'Resale flat dataset'!O130)^2+('Mall Dataset'!$F$3:$F$157-'Resale flat dataset'!P130)^2), 0))</f>
        <v>Buangkok Square</v>
      </c>
      <c r="S130" s="38" t="str" cm="1">
        <f t="array" ref="S130">INDEX('Schools dataset'!$B$3:$B$187, MATCH(MIN(SQRT(('Schools dataset'!$J$3:$J$187-'Resale flat dataset'!O130)^2+('Schools dataset'!$K$3:$K$187-'Resale flat dataset'!P130)^2)), SQRT(('Schools dataset'!$J$3:$J$187-'Resale flat dataset'!O130)^2+('Schools dataset'!$K$3:$K$187-'Resale flat dataset'!P130)^2), 0))</f>
        <v>ANCHOR GREEN PRIMARY SCHOOL</v>
      </c>
      <c r="T130" s="39">
        <f>ACOS(COS(RADIANS(90-O130))*COS(RADIANS(90-_xlfn.XLOOKUP(Q130,'MRT station dataset'!$C$3:$C$179,'MRT station dataset'!$E$3:$E$179)))+SIN(RADIANS(90-O130))*SIN(RADIANS(90-_xlfn.XLOOKUP(Q130,'MRT station dataset'!$C$3:$C$179,'MRT station dataset'!$E$3:$E$179)))*COS(RADIANS(P130-_xlfn.XLOOKUP('Resale flat dataset'!Q130,'MRT station dataset'!$C$3:$C$179,'MRT station dataset'!$F$3:$F$179))))*6371*1000</f>
        <v>619.22764730819586</v>
      </c>
      <c r="U130" s="39">
        <f>ACOS(COS(RADIANS(90-O130))*COS(RADIANS(90-_xlfn.XLOOKUP(R130,'Mall Dataset'!$B$3:$B$157,'Mall Dataset'!$E$3:$E$157,,0)))+SIN(RADIANS(90-O130))*SIN(RADIANS(90-_xlfn.XLOOKUP(R130,'Mall Dataset'!$B$3:$B$157,'Mall Dataset'!$E$3:$E$157,,0)))*COS(RADIANS(P130-_xlfn.XLOOKUP(R130,'Mall Dataset'!$B$3:$B$157,'Mall Dataset'!$F$3:$F$157,,0))))*6371*1000</f>
        <v>176.23985703096957</v>
      </c>
      <c r="V130" s="39">
        <f>ACOS(COS(RADIANS(90-O130))*COS(RADIANS(90-_xlfn.XLOOKUP(S130,'Schools dataset'!$B$3:$B$187,'Schools dataset'!$J$3:$J$187,,0)))+SIN(RADIANS(90-O130))*SIN(RADIANS(90-_xlfn.XLOOKUP(S130,'Schools dataset'!$B$3:$B$187,'Schools dataset'!$J$3:$J$187,,0)))*COS(RADIANS(P130-_xlfn.XLOOKUP(S130,'Schools dataset'!$B$3:$B$187,'Schools dataset'!$K$3:$K$187,,0))))*6371*1000</f>
        <v>819.36102194535204</v>
      </c>
      <c r="W130" s="20">
        <f>_xlfn.XLOOKUP(T130,'HDB Recommender'!$P$10:$P$39,'HDB Recommender'!$Q$10:$Q$39,"&gt;30mins",1)</f>
        <v>9</v>
      </c>
      <c r="X130" s="20">
        <f>_xlfn.XLOOKUP(U130,'HDB Recommender'!$P$10:$P$39,'HDB Recommender'!$Q$10:$Q$39,"&gt;30mins",1)</f>
        <v>3</v>
      </c>
      <c r="Y130" s="20">
        <f>_xlfn.XLOOKUP(V130,'HDB Recommender'!$P$10:$P$39,'HDB Recommender'!$Q$10:$Q$39,"&gt;30mins",1)</f>
        <v>11</v>
      </c>
      <c r="Z130" s="39">
        <f t="shared" si="3"/>
        <v>7.666666666666667</v>
      </c>
      <c r="AA130" s="20" t="str">
        <f t="shared" si="2"/>
        <v>Within 1km</v>
      </c>
    </row>
    <row r="131" spans="2:27" hidden="1">
      <c r="B131" s="35" t="s">
        <v>317</v>
      </c>
      <c r="C131" s="35" t="s">
        <v>531</v>
      </c>
      <c r="D131" s="35" t="s">
        <v>341</v>
      </c>
      <c r="E131" s="35"/>
      <c r="F131" s="35" t="s">
        <v>547</v>
      </c>
      <c r="G131" s="35" t="s">
        <v>323</v>
      </c>
      <c r="H131" s="35">
        <v>110</v>
      </c>
      <c r="I131" s="35" t="s">
        <v>326</v>
      </c>
      <c r="J131" s="36">
        <v>2004</v>
      </c>
      <c r="K131" s="39">
        <v>79.5833333333333</v>
      </c>
      <c r="L131" s="37">
        <v>582000</v>
      </c>
      <c r="M131" s="35" t="s">
        <v>550</v>
      </c>
      <c r="N131" s="27">
        <v>532985</v>
      </c>
      <c r="O131" s="38">
        <v>1.38118357442086</v>
      </c>
      <c r="P131" s="38">
        <v>103.879840037584</v>
      </c>
      <c r="Q131" s="38" t="str" cm="1">
        <f t="array" ref="Q131">INDEX('MRT station dataset'!$C$3:$C$179, MATCH(MIN(SQRT(('MRT station dataset'!$E$3:$E$179-'Resale flat dataset'!O131)^2+('MRT station dataset'!$F$3:$F$179-'Resale flat dataset'!P131)^2)), SQRT(('MRT station dataset'!$E$3:$E$179-'Resale flat dataset'!O131)^2+('MRT station dataset'!$F$3:$F$179-'Resale flat dataset'!P131)^2), 0))</f>
        <v>TONGKANG LRT STATION</v>
      </c>
      <c r="R131" s="38" t="str" cm="1">
        <f t="array" ref="R131">INDEX('Mall Dataset'!$B$3:$B$157, MATCH(MIN(SQRT(('Mall Dataset'!$E$3:$E$157-'Resale flat dataset'!O131)^2+('Mall Dataset'!$F$3:$F$157-'Resale flat dataset'!P131)^2)), SQRT(('Mall Dataset'!$E$3:$E$157-'Resale flat dataset'!O131)^2+('Mall Dataset'!$F$3:$F$157-'Resale flat dataset'!P131)^2), 0))</f>
        <v>Buangkok Square</v>
      </c>
      <c r="S131" s="38" t="str" cm="1">
        <f t="array" ref="S131">INDEX('Schools dataset'!$B$3:$B$187, MATCH(MIN(SQRT(('Schools dataset'!$J$3:$J$187-'Resale flat dataset'!O131)^2+('Schools dataset'!$K$3:$K$187-'Resale flat dataset'!P131)^2)), SQRT(('Schools dataset'!$J$3:$J$187-'Resale flat dataset'!O131)^2+('Schools dataset'!$K$3:$K$187-'Resale flat dataset'!P131)^2), 0))</f>
        <v>HOUGANG PRIMARY SCHOOL</v>
      </c>
      <c r="T131" s="39">
        <f>ACOS(COS(RADIANS(90-O131))*COS(RADIANS(90-_xlfn.XLOOKUP(Q131,'MRT station dataset'!$C$3:$C$179,'MRT station dataset'!$E$3:$E$179)))+SIN(RADIANS(90-O131))*SIN(RADIANS(90-_xlfn.XLOOKUP(Q131,'MRT station dataset'!$C$3:$C$179,'MRT station dataset'!$E$3:$E$179)))*COS(RADIANS(P131-_xlfn.XLOOKUP('Resale flat dataset'!Q131,'MRT station dataset'!$C$3:$C$179,'MRT station dataset'!$F$3:$F$179))))*6371*1000</f>
        <v>1119.577520911274</v>
      </c>
      <c r="U131" s="39">
        <f>ACOS(COS(RADIANS(90-O131))*COS(RADIANS(90-_xlfn.XLOOKUP(R131,'Mall Dataset'!$B$3:$B$157,'Mall Dataset'!$E$3:$E$157,,0)))+SIN(RADIANS(90-O131))*SIN(RADIANS(90-_xlfn.XLOOKUP(R131,'Mall Dataset'!$B$3:$B$157,'Mall Dataset'!$E$3:$E$157,,0)))*COS(RADIANS(P131-_xlfn.XLOOKUP(R131,'Mall Dataset'!$B$3:$B$157,'Mall Dataset'!$F$3:$F$157,,0))))*6371*1000</f>
        <v>402.52275268051352</v>
      </c>
      <c r="V131" s="39">
        <f>ACOS(COS(RADIANS(90-O131))*COS(RADIANS(90-_xlfn.XLOOKUP(S131,'Schools dataset'!$B$3:$B$187,'Schools dataset'!$J$3:$J$187,,0)))+SIN(RADIANS(90-O131))*SIN(RADIANS(90-_xlfn.XLOOKUP(S131,'Schools dataset'!$B$3:$B$187,'Schools dataset'!$J$3:$J$187,,0)))*COS(RADIANS(P131-_xlfn.XLOOKUP(S131,'Schools dataset'!$B$3:$B$187,'Schools dataset'!$K$3:$K$187,,0))))*6371*1000</f>
        <v>439.54769232570555</v>
      </c>
      <c r="W131" s="20">
        <f>_xlfn.XLOOKUP(T131,'HDB Recommender'!$P$10:$P$39,'HDB Recommender'!$Q$10:$Q$39,"&gt;30mins",1)</f>
        <v>15</v>
      </c>
      <c r="X131" s="20">
        <f>_xlfn.XLOOKUP(U131,'HDB Recommender'!$P$10:$P$39,'HDB Recommender'!$Q$10:$Q$39,"&gt;30mins",1)</f>
        <v>6</v>
      </c>
      <c r="Y131" s="20">
        <f>_xlfn.XLOOKUP(V131,'HDB Recommender'!$P$10:$P$39,'HDB Recommender'!$Q$10:$Q$39,"&gt;30mins",1)</f>
        <v>6</v>
      </c>
      <c r="Z131" s="39">
        <f t="shared" si="3"/>
        <v>9</v>
      </c>
      <c r="AA131" s="20" t="str">
        <f t="shared" ref="AA131:AA194" si="4">IF(V131&lt;1000, "Within 1km", IF(V131&lt;=2000, "between 1km and 2km", "more than 2km"))</f>
        <v>Within 1km</v>
      </c>
    </row>
    <row r="132" spans="2:27" hidden="1">
      <c r="B132" s="35" t="s">
        <v>317</v>
      </c>
      <c r="C132" s="35" t="s">
        <v>531</v>
      </c>
      <c r="D132" s="35" t="s">
        <v>341</v>
      </c>
      <c r="E132" s="35">
        <v>440</v>
      </c>
      <c r="F132" s="35" t="s">
        <v>537</v>
      </c>
      <c r="G132" s="35" t="s">
        <v>191</v>
      </c>
      <c r="H132" s="35">
        <v>131</v>
      </c>
      <c r="I132" s="35" t="s">
        <v>326</v>
      </c>
      <c r="J132" s="36">
        <v>1990</v>
      </c>
      <c r="K132" s="39">
        <v>66.0833333333333</v>
      </c>
      <c r="L132" s="37">
        <v>720000</v>
      </c>
      <c r="M132" s="35" t="s">
        <v>551</v>
      </c>
      <c r="N132" s="27">
        <v>530440</v>
      </c>
      <c r="O132" s="38">
        <v>1.37913196653041</v>
      </c>
      <c r="P132" s="38">
        <v>103.89353076946099</v>
      </c>
      <c r="Q132" s="38" t="str" cm="1">
        <f t="array" ref="Q132">INDEX('MRT station dataset'!$C$3:$C$179, MATCH(MIN(SQRT(('MRT station dataset'!$E$3:$E$179-'Resale flat dataset'!O132)^2+('MRT station dataset'!$F$3:$F$179-'Resale flat dataset'!P132)^2)), SQRT(('MRT station dataset'!$E$3:$E$179-'Resale flat dataset'!O132)^2+('MRT station dataset'!$F$3:$F$179-'Resale flat dataset'!P132)^2), 0))</f>
        <v>BUANGKOK MRT STATION</v>
      </c>
      <c r="R132" s="38" t="str" cm="1">
        <f t="array" ref="R132">INDEX('Mall Dataset'!$B$3:$B$157, MATCH(MIN(SQRT(('Mall Dataset'!$E$3:$E$157-'Resale flat dataset'!O132)^2+('Mall Dataset'!$F$3:$F$157-'Resale flat dataset'!P132)^2)), SQRT(('Mall Dataset'!$E$3:$E$157-'Resale flat dataset'!O132)^2+('Mall Dataset'!$F$3:$F$157-'Resale flat dataset'!P132)^2), 0))</f>
        <v>Hougang Green Shopping Mall</v>
      </c>
      <c r="S132" s="38" t="str" cm="1">
        <f t="array" ref="S132">INDEX('Schools dataset'!$B$3:$B$187, MATCH(MIN(SQRT(('Schools dataset'!$J$3:$J$187-'Resale flat dataset'!O132)^2+('Schools dataset'!$K$3:$K$187-'Resale flat dataset'!P132)^2)), SQRT(('Schools dataset'!$J$3:$J$187-'Resale flat dataset'!O132)^2+('Schools dataset'!$K$3:$K$187-'Resale flat dataset'!P132)^2), 0))</f>
        <v>PUNGGOL PRIMARY SCHOOL</v>
      </c>
      <c r="T132" s="39">
        <f>ACOS(COS(RADIANS(90-O132))*COS(RADIANS(90-_xlfn.XLOOKUP(Q132,'MRT station dataset'!$C$3:$C$179,'MRT station dataset'!$E$3:$E$179)))+SIN(RADIANS(90-O132))*SIN(RADIANS(90-_xlfn.XLOOKUP(Q132,'MRT station dataset'!$C$3:$C$179,'MRT station dataset'!$E$3:$E$179)))*COS(RADIANS(P132-_xlfn.XLOOKUP('Resale flat dataset'!Q132,'MRT station dataset'!$C$3:$C$179,'MRT station dataset'!$F$3:$F$179))))*6371*1000</f>
        <v>421.71370703809316</v>
      </c>
      <c r="U132" s="39">
        <f>ACOS(COS(RADIANS(90-O132))*COS(RADIANS(90-_xlfn.XLOOKUP(R132,'Mall Dataset'!$B$3:$B$157,'Mall Dataset'!$E$3:$E$157,,0)))+SIN(RADIANS(90-O132))*SIN(RADIANS(90-_xlfn.XLOOKUP(R132,'Mall Dataset'!$B$3:$B$157,'Mall Dataset'!$E$3:$E$157,,0)))*COS(RADIANS(P132-_xlfn.XLOOKUP(R132,'Mall Dataset'!$B$3:$B$157,'Mall Dataset'!$F$3:$F$157,,0))))*6371*1000</f>
        <v>632.15123136977297</v>
      </c>
      <c r="V132" s="39">
        <f>ACOS(COS(RADIANS(90-O132))*COS(RADIANS(90-_xlfn.XLOOKUP(S132,'Schools dataset'!$B$3:$B$187,'Schools dataset'!$J$3:$J$187,,0)))+SIN(RADIANS(90-O132))*SIN(RADIANS(90-_xlfn.XLOOKUP(S132,'Schools dataset'!$B$3:$B$187,'Schools dataset'!$J$3:$J$187,,0)))*COS(RADIANS(P132-_xlfn.XLOOKUP(S132,'Schools dataset'!$B$3:$B$187,'Schools dataset'!$K$3:$K$187,,0))))*6371*1000</f>
        <v>163.34798111619375</v>
      </c>
      <c r="W132" s="20">
        <f>_xlfn.XLOOKUP(T132,'HDB Recommender'!$P$10:$P$39,'HDB Recommender'!$Q$10:$Q$39,"&gt;30mins",1)</f>
        <v>6</v>
      </c>
      <c r="X132" s="20">
        <f>_xlfn.XLOOKUP(U132,'HDB Recommender'!$P$10:$P$39,'HDB Recommender'!$Q$10:$Q$39,"&gt;30mins",1)</f>
        <v>9</v>
      </c>
      <c r="Y132" s="20">
        <f>_xlfn.XLOOKUP(V132,'HDB Recommender'!$P$10:$P$39,'HDB Recommender'!$Q$10:$Q$39,"&gt;30mins",1)</f>
        <v>3</v>
      </c>
      <c r="Z132" s="39">
        <f t="shared" ref="Z132:Z195" si="5">AVERAGE(W132:Y132)</f>
        <v>6</v>
      </c>
      <c r="AA132" s="20" t="str">
        <f t="shared" si="4"/>
        <v>Within 1km</v>
      </c>
    </row>
    <row r="133" spans="2:27" hidden="1">
      <c r="B133" s="35" t="s">
        <v>317</v>
      </c>
      <c r="C133" s="35" t="s">
        <v>531</v>
      </c>
      <c r="D133" s="35" t="s">
        <v>341</v>
      </c>
      <c r="E133" s="35">
        <v>570</v>
      </c>
      <c r="F133" s="35" t="s">
        <v>552</v>
      </c>
      <c r="G133" s="35" t="s">
        <v>346</v>
      </c>
      <c r="H133" s="35">
        <v>117</v>
      </c>
      <c r="I133" s="35" t="s">
        <v>326</v>
      </c>
      <c r="J133" s="36">
        <v>1997</v>
      </c>
      <c r="K133" s="39">
        <v>72.6666666666666</v>
      </c>
      <c r="L133" s="37">
        <v>708000</v>
      </c>
      <c r="M133" s="35" t="s">
        <v>553</v>
      </c>
      <c r="N133" s="27">
        <v>530570</v>
      </c>
      <c r="O133" s="38">
        <v>1.37796504160946</v>
      </c>
      <c r="P133" s="38">
        <v>103.88821998313099</v>
      </c>
      <c r="Q133" s="38" t="str" cm="1">
        <f t="array" ref="Q133">INDEX('MRT station dataset'!$C$3:$C$179, MATCH(MIN(SQRT(('MRT station dataset'!$E$3:$E$179-'Resale flat dataset'!O133)^2+('MRT station dataset'!$F$3:$F$179-'Resale flat dataset'!P133)^2)), SQRT(('MRT station dataset'!$E$3:$E$179-'Resale flat dataset'!O133)^2+('MRT station dataset'!$F$3:$F$179-'Resale flat dataset'!P133)^2), 0))</f>
        <v>BUANGKOK MRT STATION</v>
      </c>
      <c r="R133" s="38" t="str" cm="1">
        <f t="array" ref="R133">INDEX('Mall Dataset'!$B$3:$B$157, MATCH(MIN(SQRT(('Mall Dataset'!$E$3:$E$157-'Resale flat dataset'!O133)^2+('Mall Dataset'!$F$3:$F$157-'Resale flat dataset'!P133)^2)), SQRT(('Mall Dataset'!$E$3:$E$157-'Resale flat dataset'!O133)^2+('Mall Dataset'!$F$3:$F$157-'Resale flat dataset'!P133)^2), 0))</f>
        <v>Hougang Green Shopping Mall</v>
      </c>
      <c r="S133" s="38" t="str" cm="1">
        <f t="array" ref="S133">INDEX('Schools dataset'!$B$3:$B$187, MATCH(MIN(SQRT(('Schools dataset'!$J$3:$J$187-'Resale flat dataset'!O133)^2+('Schools dataset'!$K$3:$K$187-'Resale flat dataset'!P133)^2)), SQRT(('Schools dataset'!$J$3:$J$187-'Resale flat dataset'!O133)^2+('Schools dataset'!$K$3:$K$187-'Resale flat dataset'!P133)^2), 0))</f>
        <v>YIO CHU KANG PRIMARY SCHOOL</v>
      </c>
      <c r="T133" s="39">
        <f>ACOS(COS(RADIANS(90-O133))*COS(RADIANS(90-_xlfn.XLOOKUP(Q133,'MRT station dataset'!$C$3:$C$179,'MRT station dataset'!$E$3:$E$179)))+SIN(RADIANS(90-O133))*SIN(RADIANS(90-_xlfn.XLOOKUP(Q133,'MRT station dataset'!$C$3:$C$179,'MRT station dataset'!$E$3:$E$179)))*COS(RADIANS(P133-_xlfn.XLOOKUP('Resale flat dataset'!Q133,'MRT station dataset'!$C$3:$C$179,'MRT station dataset'!$F$3:$F$179))))*6371*1000</f>
        <v>771.62034897885314</v>
      </c>
      <c r="U133" s="39">
        <f>ACOS(COS(RADIANS(90-O133))*COS(RADIANS(90-_xlfn.XLOOKUP(R133,'Mall Dataset'!$B$3:$B$157,'Mall Dataset'!$E$3:$E$157,,0)))+SIN(RADIANS(90-O133))*SIN(RADIANS(90-_xlfn.XLOOKUP(R133,'Mall Dataset'!$B$3:$B$157,'Mall Dataset'!$E$3:$E$157,,0)))*COS(RADIANS(P133-_xlfn.XLOOKUP(R133,'Mall Dataset'!$B$3:$B$157,'Mall Dataset'!$F$3:$F$157,,0))))*6371*1000</f>
        <v>156.03066052450697</v>
      </c>
      <c r="V133" s="39">
        <f>ACOS(COS(RADIANS(90-O133))*COS(RADIANS(90-_xlfn.XLOOKUP(S133,'Schools dataset'!$B$3:$B$187,'Schools dataset'!$J$3:$J$187,,0)))+SIN(RADIANS(90-O133))*SIN(RADIANS(90-_xlfn.XLOOKUP(S133,'Schools dataset'!$B$3:$B$187,'Schools dataset'!$J$3:$J$187,,0)))*COS(RADIANS(P133-_xlfn.XLOOKUP(S133,'Schools dataset'!$B$3:$B$187,'Schools dataset'!$K$3:$K$187,,0))))*6371*1000</f>
        <v>295.14646695309699</v>
      </c>
      <c r="W133" s="20">
        <f>_xlfn.XLOOKUP(T133,'HDB Recommender'!$P$10:$P$39,'HDB Recommender'!$Q$10:$Q$39,"&gt;30mins",1)</f>
        <v>11</v>
      </c>
      <c r="X133" s="20">
        <f>_xlfn.XLOOKUP(U133,'HDB Recommender'!$P$10:$P$39,'HDB Recommender'!$Q$10:$Q$39,"&gt;30mins",1)</f>
        <v>3</v>
      </c>
      <c r="Y133" s="20">
        <f>_xlfn.XLOOKUP(V133,'HDB Recommender'!$P$10:$P$39,'HDB Recommender'!$Q$10:$Q$39,"&gt;30mins",1)</f>
        <v>4</v>
      </c>
      <c r="Z133" s="39">
        <f t="shared" si="5"/>
        <v>6</v>
      </c>
      <c r="AA133" s="20" t="str">
        <f t="shared" si="4"/>
        <v>Within 1km</v>
      </c>
    </row>
    <row r="134" spans="2:27" hidden="1">
      <c r="B134" s="35" t="s">
        <v>317</v>
      </c>
      <c r="C134" s="35" t="s">
        <v>531</v>
      </c>
      <c r="D134" s="35" t="s">
        <v>341</v>
      </c>
      <c r="E134" s="35">
        <v>956</v>
      </c>
      <c r="F134" s="35" t="s">
        <v>543</v>
      </c>
      <c r="G134" s="35" t="s">
        <v>191</v>
      </c>
      <c r="H134" s="35">
        <v>115</v>
      </c>
      <c r="I134" s="35" t="s">
        <v>326</v>
      </c>
      <c r="J134" s="36">
        <v>1999</v>
      </c>
      <c r="K134" s="39">
        <v>74.6666666666666</v>
      </c>
      <c r="L134" s="37">
        <v>615000</v>
      </c>
      <c r="M134" s="35" t="s">
        <v>554</v>
      </c>
      <c r="N134" s="27">
        <v>530956</v>
      </c>
      <c r="O134" s="38">
        <v>1.3766282446793201</v>
      </c>
      <c r="P134" s="38">
        <v>103.878798899667</v>
      </c>
      <c r="Q134" s="38" t="str" cm="1">
        <f t="array" ref="Q134">INDEX('MRT station dataset'!$C$3:$C$179, MATCH(MIN(SQRT(('MRT station dataset'!$E$3:$E$179-'Resale flat dataset'!O134)^2+('MRT station dataset'!$F$3:$F$179-'Resale flat dataset'!P134)^2)), SQRT(('MRT station dataset'!$E$3:$E$179-'Resale flat dataset'!O134)^2+('MRT station dataset'!$F$3:$F$179-'Resale flat dataset'!P134)^2), 0))</f>
        <v>TONGKANG LRT STATION</v>
      </c>
      <c r="R134" s="38" t="str" cm="1">
        <f t="array" ref="R134">INDEX('Mall Dataset'!$B$3:$B$157, MATCH(MIN(SQRT(('Mall Dataset'!$E$3:$E$157-'Resale flat dataset'!O134)^2+('Mall Dataset'!$F$3:$F$157-'Resale flat dataset'!P134)^2)), SQRT(('Mall Dataset'!$E$3:$E$157-'Resale flat dataset'!O134)^2+('Mall Dataset'!$F$3:$F$157-'Resale flat dataset'!P134)^2), 0))</f>
        <v>Buangkok Square</v>
      </c>
      <c r="S134" s="38" t="str" cm="1">
        <f t="array" ref="S134">INDEX('Schools dataset'!$B$3:$B$187, MATCH(MIN(SQRT(('Schools dataset'!$J$3:$J$187-'Resale flat dataset'!O134)^2+('Schools dataset'!$K$3:$K$187-'Resale flat dataset'!P134)^2)), SQRT(('Schools dataset'!$J$3:$J$187-'Resale flat dataset'!O134)^2+('Schools dataset'!$K$3:$K$187-'Resale flat dataset'!P134)^2), 0))</f>
        <v>HOUGANG PRIMARY SCHOOL</v>
      </c>
      <c r="T134" s="39">
        <f>ACOS(COS(RADIANS(90-O134))*COS(RADIANS(90-_xlfn.XLOOKUP(Q134,'MRT station dataset'!$C$3:$C$179,'MRT station dataset'!$E$3:$E$179)))+SIN(RADIANS(90-O134))*SIN(RADIANS(90-_xlfn.XLOOKUP(Q134,'MRT station dataset'!$C$3:$C$179,'MRT station dataset'!$E$3:$E$179)))*COS(RADIANS(P134-_xlfn.XLOOKUP('Resale flat dataset'!Q134,'MRT station dataset'!$C$3:$C$179,'MRT station dataset'!$F$3:$F$179))))*6371*1000</f>
        <v>1609.6795019767371</v>
      </c>
      <c r="U134" s="39">
        <f>ACOS(COS(RADIANS(90-O134))*COS(RADIANS(90-_xlfn.XLOOKUP(R134,'Mall Dataset'!$B$3:$B$157,'Mall Dataset'!$E$3:$E$157,,0)))+SIN(RADIANS(90-O134))*SIN(RADIANS(90-_xlfn.XLOOKUP(R134,'Mall Dataset'!$B$3:$B$157,'Mall Dataset'!$E$3:$E$157,,0)))*COS(RADIANS(P134-_xlfn.XLOOKUP(R134,'Mall Dataset'!$B$3:$B$157,'Mall Dataset'!$F$3:$F$157,,0))))*6371*1000</f>
        <v>912.57152634599811</v>
      </c>
      <c r="V134" s="39">
        <f>ACOS(COS(RADIANS(90-O134))*COS(RADIANS(90-_xlfn.XLOOKUP(S134,'Schools dataset'!$B$3:$B$187,'Schools dataset'!$J$3:$J$187,,0)))+SIN(RADIANS(90-O134))*SIN(RADIANS(90-_xlfn.XLOOKUP(S134,'Schools dataset'!$B$3:$B$187,'Schools dataset'!$J$3:$J$187,,0)))*COS(RADIANS(P134-_xlfn.XLOOKUP(S134,'Schools dataset'!$B$3:$B$187,'Schools dataset'!$K$3:$K$187,,0))))*6371*1000</f>
        <v>247.89891405187703</v>
      </c>
      <c r="W134" s="20">
        <f>_xlfn.XLOOKUP(T134,'HDB Recommender'!$P$10:$P$39,'HDB Recommender'!$Q$10:$Q$39,"&gt;30mins",1)</f>
        <v>22</v>
      </c>
      <c r="X134" s="20">
        <f>_xlfn.XLOOKUP(U134,'HDB Recommender'!$P$10:$P$39,'HDB Recommender'!$Q$10:$Q$39,"&gt;30mins",1)</f>
        <v>13</v>
      </c>
      <c r="Y134" s="20">
        <f>_xlfn.XLOOKUP(V134,'HDB Recommender'!$P$10:$P$39,'HDB Recommender'!$Q$10:$Q$39,"&gt;30mins",1)</f>
        <v>4</v>
      </c>
      <c r="Z134" s="39">
        <f t="shared" si="5"/>
        <v>13</v>
      </c>
      <c r="AA134" s="20" t="str">
        <f t="shared" si="4"/>
        <v>Within 1km</v>
      </c>
    </row>
    <row r="135" spans="2:27" hidden="1">
      <c r="B135" s="35" t="s">
        <v>317</v>
      </c>
      <c r="C135" s="35" t="s">
        <v>531</v>
      </c>
      <c r="D135" s="35" t="s">
        <v>341</v>
      </c>
      <c r="E135" s="35"/>
      <c r="F135" s="35" t="s">
        <v>555</v>
      </c>
      <c r="G135" s="35" t="s">
        <v>184</v>
      </c>
      <c r="H135" s="35">
        <v>113</v>
      </c>
      <c r="I135" s="35" t="s">
        <v>326</v>
      </c>
      <c r="J135" s="36">
        <v>2017</v>
      </c>
      <c r="K135" s="39">
        <v>92.8333333333333</v>
      </c>
      <c r="L135" s="37">
        <v>750000</v>
      </c>
      <c r="M135" s="35" t="s">
        <v>556</v>
      </c>
      <c r="N135" s="27">
        <v>538473</v>
      </c>
      <c r="O135" s="38">
        <v>1.3766737176041199</v>
      </c>
      <c r="P135" s="38">
        <v>103.901954069082</v>
      </c>
      <c r="Q135" s="38" t="str" cm="1">
        <f t="array" ref="Q135">INDEX('MRT station dataset'!$C$3:$C$179, MATCH(MIN(SQRT(('MRT station dataset'!$E$3:$E$179-'Resale flat dataset'!O135)^2+('MRT station dataset'!$F$3:$F$179-'Resale flat dataset'!P135)^2)), SQRT(('MRT station dataset'!$E$3:$E$179-'Resale flat dataset'!O135)^2+('MRT station dataset'!$F$3:$F$179-'Resale flat dataset'!P135)^2), 0))</f>
        <v>KANGKAR LRT STATION</v>
      </c>
      <c r="R135" s="38" t="str" cm="1">
        <f t="array" ref="R135">INDEX('Mall Dataset'!$B$3:$B$157, MATCH(MIN(SQRT(('Mall Dataset'!$E$3:$E$157-'Resale flat dataset'!O135)^2+('Mall Dataset'!$F$3:$F$157-'Resale flat dataset'!P135)^2)), SQRT(('Mall Dataset'!$E$3:$E$157-'Resale flat dataset'!O135)^2+('Mall Dataset'!$F$3:$F$157-'Resale flat dataset'!P135)^2), 0))</f>
        <v>Rivervale Plaza</v>
      </c>
      <c r="S135" s="38" t="str" cm="1">
        <f t="array" ref="S135">INDEX('Schools dataset'!$B$3:$B$187, MATCH(MIN(SQRT(('Schools dataset'!$J$3:$J$187-'Resale flat dataset'!O135)^2+('Schools dataset'!$K$3:$K$187-'Resale flat dataset'!P135)^2)), SQRT(('Schools dataset'!$J$3:$J$187-'Resale flat dataset'!O135)^2+('Schools dataset'!$K$3:$K$187-'Resale flat dataset'!P135)^2), 0))</f>
        <v>CHIJ OUR LADY OF THE NATIVITY</v>
      </c>
      <c r="T135" s="39">
        <f>ACOS(COS(RADIANS(90-O135))*COS(RADIANS(90-_xlfn.XLOOKUP(Q135,'MRT station dataset'!$C$3:$C$179,'MRT station dataset'!$E$3:$E$179)))+SIN(RADIANS(90-O135))*SIN(RADIANS(90-_xlfn.XLOOKUP(Q135,'MRT station dataset'!$C$3:$C$179,'MRT station dataset'!$E$3:$E$179)))*COS(RADIANS(P135-_xlfn.XLOOKUP('Resale flat dataset'!Q135,'MRT station dataset'!$C$3:$C$179,'MRT station dataset'!$F$3:$F$179))))*6371*1000</f>
        <v>815.10402550006904</v>
      </c>
      <c r="U135" s="39">
        <f>ACOS(COS(RADIANS(90-O135))*COS(RADIANS(90-_xlfn.XLOOKUP(R135,'Mall Dataset'!$B$3:$B$157,'Mall Dataset'!$E$3:$E$157,,0)))+SIN(RADIANS(90-O135))*SIN(RADIANS(90-_xlfn.XLOOKUP(R135,'Mall Dataset'!$B$3:$B$157,'Mall Dataset'!$E$3:$E$157,,0)))*COS(RADIANS(P135-_xlfn.XLOOKUP(R135,'Mall Dataset'!$B$3:$B$157,'Mall Dataset'!$F$3:$F$157,,0))))*6371*1000</f>
        <v>981.91313059680613</v>
      </c>
      <c r="V135" s="39">
        <f>ACOS(COS(RADIANS(90-O135))*COS(RADIANS(90-_xlfn.XLOOKUP(S135,'Schools dataset'!$B$3:$B$187,'Schools dataset'!$J$3:$J$187,,0)))+SIN(RADIANS(90-O135))*SIN(RADIANS(90-_xlfn.XLOOKUP(S135,'Schools dataset'!$B$3:$B$187,'Schools dataset'!$J$3:$J$187,,0)))*COS(RADIANS(P135-_xlfn.XLOOKUP(S135,'Schools dataset'!$B$3:$B$187,'Schools dataset'!$K$3:$K$187,,0))))*6371*1000</f>
        <v>578.99055143228509</v>
      </c>
      <c r="W135" s="20">
        <f>_xlfn.XLOOKUP(T135,'HDB Recommender'!$P$10:$P$39,'HDB Recommender'!$Q$10:$Q$39,"&gt;30mins",1)</f>
        <v>11</v>
      </c>
      <c r="X135" s="20">
        <f>_xlfn.XLOOKUP(U135,'HDB Recommender'!$P$10:$P$39,'HDB Recommender'!$Q$10:$Q$39,"&gt;30mins",1)</f>
        <v>14</v>
      </c>
      <c r="Y135" s="20">
        <f>_xlfn.XLOOKUP(V135,'HDB Recommender'!$P$10:$P$39,'HDB Recommender'!$Q$10:$Q$39,"&gt;30mins",1)</f>
        <v>8</v>
      </c>
      <c r="Z135" s="39">
        <f t="shared" si="5"/>
        <v>11</v>
      </c>
      <c r="AA135" s="20" t="str">
        <f t="shared" si="4"/>
        <v>Within 1km</v>
      </c>
    </row>
    <row r="136" spans="2:27" hidden="1">
      <c r="B136" s="35" t="s">
        <v>317</v>
      </c>
      <c r="C136" s="35" t="s">
        <v>557</v>
      </c>
      <c r="D136" s="35" t="s">
        <v>318</v>
      </c>
      <c r="E136" s="35">
        <v>110</v>
      </c>
      <c r="F136" s="35" t="s">
        <v>558</v>
      </c>
      <c r="G136" s="35" t="s">
        <v>184</v>
      </c>
      <c r="H136" s="35">
        <v>68</v>
      </c>
      <c r="I136" s="35" t="s">
        <v>320</v>
      </c>
      <c r="J136" s="36">
        <v>1982</v>
      </c>
      <c r="K136" s="39">
        <v>57.5</v>
      </c>
      <c r="L136" s="37">
        <v>373000</v>
      </c>
      <c r="M136" s="35" t="s">
        <v>559</v>
      </c>
      <c r="N136" s="27">
        <v>600110</v>
      </c>
      <c r="O136" s="38">
        <v>1.3388708824640301</v>
      </c>
      <c r="P136" s="38">
        <v>103.736218506114</v>
      </c>
      <c r="Q136" s="38" t="str" cm="1">
        <f t="array" ref="Q136">INDEX('MRT station dataset'!$C$3:$C$179, MATCH(MIN(SQRT(('MRT station dataset'!$E$3:$E$179-'Resale flat dataset'!O136)^2+('MRT station dataset'!$F$3:$F$179-'Resale flat dataset'!P136)^2)), SQRT(('MRT station dataset'!$E$3:$E$179-'Resale flat dataset'!O136)^2+('MRT station dataset'!$F$3:$F$179-'Resale flat dataset'!P136)^2), 0))</f>
        <v>CHINESE GARDEN MRT STATION</v>
      </c>
      <c r="R136" s="38" t="str" cm="1">
        <f t="array" ref="R136">INDEX('Mall Dataset'!$B$3:$B$157, MATCH(MIN(SQRT(('Mall Dataset'!$E$3:$E$157-'Resale flat dataset'!O136)^2+('Mall Dataset'!$F$3:$F$157-'Resale flat dataset'!P136)^2)), SQRT(('Mall Dataset'!$E$3:$E$157-'Resale flat dataset'!O136)^2+('Mall Dataset'!$F$3:$F$157-'Resale flat dataset'!P136)^2), 0))</f>
        <v>Westgate</v>
      </c>
      <c r="S136" s="38" t="str" cm="1">
        <f t="array" ref="S136">INDEX('Schools dataset'!$B$3:$B$187, MATCH(MIN(SQRT(('Schools dataset'!$J$3:$J$187-'Resale flat dataset'!O136)^2+('Schools dataset'!$K$3:$K$187-'Resale flat dataset'!P136)^2)), SQRT(('Schools dataset'!$J$3:$J$187-'Resale flat dataset'!O136)^2+('Schools dataset'!$K$3:$K$187-'Resale flat dataset'!P136)^2), 0))</f>
        <v>FUHUA PRIMARY SCHOOL</v>
      </c>
      <c r="T136" s="39">
        <f>ACOS(COS(RADIANS(90-O136))*COS(RADIANS(90-_xlfn.XLOOKUP(Q136,'MRT station dataset'!$C$3:$C$179,'MRT station dataset'!$E$3:$E$179)))+SIN(RADIANS(90-O136))*SIN(RADIANS(90-_xlfn.XLOOKUP(Q136,'MRT station dataset'!$C$3:$C$179,'MRT station dataset'!$E$3:$E$179)))*COS(RADIANS(P136-_xlfn.XLOOKUP('Resale flat dataset'!Q136,'MRT station dataset'!$C$3:$C$179,'MRT station dataset'!$F$3:$F$179))))*6371*1000</f>
        <v>561.95906987088472</v>
      </c>
      <c r="U136" s="39">
        <f>ACOS(COS(RADIANS(90-O136))*COS(RADIANS(90-_xlfn.XLOOKUP(R136,'Mall Dataset'!$B$3:$B$157,'Mall Dataset'!$E$3:$E$157,,0)))+SIN(RADIANS(90-O136))*SIN(RADIANS(90-_xlfn.XLOOKUP(R136,'Mall Dataset'!$B$3:$B$157,'Mall Dataset'!$E$3:$E$157,,0)))*COS(RADIANS(P136-_xlfn.XLOOKUP(R136,'Mall Dataset'!$B$3:$B$157,'Mall Dataset'!$F$3:$F$157,,0))))*6371*1000</f>
        <v>896.94415915378215</v>
      </c>
      <c r="V136" s="39">
        <f>ACOS(COS(RADIANS(90-O136))*COS(RADIANS(90-_xlfn.XLOOKUP(S136,'Schools dataset'!$B$3:$B$187,'Schools dataset'!$J$3:$J$187,,0)))+SIN(RADIANS(90-O136))*SIN(RADIANS(90-_xlfn.XLOOKUP(S136,'Schools dataset'!$B$3:$B$187,'Schools dataset'!$J$3:$J$187,,0)))*COS(RADIANS(P136-_xlfn.XLOOKUP(S136,'Schools dataset'!$B$3:$B$187,'Schools dataset'!$K$3:$K$187,,0))))*6371*1000</f>
        <v>263.50011524954999</v>
      </c>
      <c r="W136" s="20">
        <f>_xlfn.XLOOKUP(T136,'HDB Recommender'!$P$10:$P$39,'HDB Recommender'!$Q$10:$Q$39,"&gt;30mins",1)</f>
        <v>8</v>
      </c>
      <c r="X136" s="20">
        <f>_xlfn.XLOOKUP(U136,'HDB Recommender'!$P$10:$P$39,'HDB Recommender'!$Q$10:$Q$39,"&gt;30mins",1)</f>
        <v>12</v>
      </c>
      <c r="Y136" s="20">
        <f>_xlfn.XLOOKUP(V136,'HDB Recommender'!$P$10:$P$39,'HDB Recommender'!$Q$10:$Q$39,"&gt;30mins",1)</f>
        <v>4</v>
      </c>
      <c r="Z136" s="39">
        <f t="shared" si="5"/>
        <v>8</v>
      </c>
      <c r="AA136" s="20" t="str">
        <f t="shared" si="4"/>
        <v>Within 1km</v>
      </c>
    </row>
    <row r="137" spans="2:27" hidden="1">
      <c r="B137" s="35" t="s">
        <v>317</v>
      </c>
      <c r="C137" s="35" t="s">
        <v>557</v>
      </c>
      <c r="D137" s="35" t="s">
        <v>318</v>
      </c>
      <c r="E137" s="35">
        <v>306</v>
      </c>
      <c r="F137" s="35" t="s">
        <v>560</v>
      </c>
      <c r="G137" s="35" t="s">
        <v>189</v>
      </c>
      <c r="H137" s="35">
        <v>68</v>
      </c>
      <c r="I137" s="35" t="s">
        <v>320</v>
      </c>
      <c r="J137" s="36">
        <v>1983</v>
      </c>
      <c r="K137" s="39">
        <v>59</v>
      </c>
      <c r="L137" s="37">
        <v>365000</v>
      </c>
      <c r="M137" s="35" t="s">
        <v>561</v>
      </c>
      <c r="N137" s="27">
        <v>600306</v>
      </c>
      <c r="O137" s="38">
        <v>1.3460704657740299</v>
      </c>
      <c r="P137" s="38">
        <v>103.73525269146801</v>
      </c>
      <c r="Q137" s="38" t="str" cm="1">
        <f t="array" ref="Q137">INDEX('MRT station dataset'!$C$3:$C$179, MATCH(MIN(SQRT(('MRT station dataset'!$E$3:$E$179-'Resale flat dataset'!O137)^2+('MRT station dataset'!$F$3:$F$179-'Resale flat dataset'!P137)^2)), SQRT(('MRT station dataset'!$E$3:$E$179-'Resale flat dataset'!O137)^2+('MRT station dataset'!$F$3:$F$179-'Resale flat dataset'!P137)^2), 0))</f>
        <v>CHINESE GARDEN MRT STATION</v>
      </c>
      <c r="R137" s="38" t="str" cm="1">
        <f t="array" ref="R137">INDEX('Mall Dataset'!$B$3:$B$157, MATCH(MIN(SQRT(('Mall Dataset'!$E$3:$E$157-'Resale flat dataset'!O137)^2+('Mall Dataset'!$F$3:$F$157-'Resale flat dataset'!P137)^2)), SQRT(('Mall Dataset'!$E$3:$E$157-'Resale flat dataset'!O137)^2+('Mall Dataset'!$F$3:$F$157-'Resale flat dataset'!P137)^2), 0))</f>
        <v>Westgate</v>
      </c>
      <c r="S137" s="38" t="str" cm="1">
        <f t="array" ref="S137">INDEX('Schools dataset'!$B$3:$B$187, MATCH(MIN(SQRT(('Schools dataset'!$J$3:$J$187-'Resale flat dataset'!O137)^2+('Schools dataset'!$K$3:$K$187-'Resale flat dataset'!P137)^2)), SQRT(('Schools dataset'!$J$3:$J$187-'Resale flat dataset'!O137)^2+('Schools dataset'!$K$3:$K$187-'Resale flat dataset'!P137)^2), 0))</f>
        <v>JURONG PRIMARY SCHOOL</v>
      </c>
      <c r="T137" s="39">
        <f>ACOS(COS(RADIANS(90-O137))*COS(RADIANS(90-_xlfn.XLOOKUP(Q137,'MRT station dataset'!$C$3:$C$179,'MRT station dataset'!$E$3:$E$179)))+SIN(RADIANS(90-O137))*SIN(RADIANS(90-_xlfn.XLOOKUP(Q137,'MRT station dataset'!$C$3:$C$179,'MRT station dataset'!$E$3:$E$179)))*COS(RADIANS(P137-_xlfn.XLOOKUP('Resale flat dataset'!Q137,'MRT station dataset'!$C$3:$C$179,'MRT station dataset'!$F$3:$F$179))))*6371*1000</f>
        <v>503.52051446138944</v>
      </c>
      <c r="U137" s="39">
        <f>ACOS(COS(RADIANS(90-O137))*COS(RADIANS(90-_xlfn.XLOOKUP(R137,'Mall Dataset'!$B$3:$B$157,'Mall Dataset'!$E$3:$E$157,,0)))+SIN(RADIANS(90-O137))*SIN(RADIANS(90-_xlfn.XLOOKUP(R137,'Mall Dataset'!$B$3:$B$157,'Mall Dataset'!$E$3:$E$157,,0)))*COS(RADIANS(P137-_xlfn.XLOOKUP(R137,'Mall Dataset'!$B$3:$B$157,'Mall Dataset'!$F$3:$F$157,,0))))*6371*1000</f>
        <v>1565.9971793849534</v>
      </c>
      <c r="V137" s="39">
        <f>ACOS(COS(RADIANS(90-O137))*COS(RADIANS(90-_xlfn.XLOOKUP(S137,'Schools dataset'!$B$3:$B$187,'Schools dataset'!$J$3:$J$187,,0)))+SIN(RADIANS(90-O137))*SIN(RADIANS(90-_xlfn.XLOOKUP(S137,'Schools dataset'!$B$3:$B$187,'Schools dataset'!$J$3:$J$187,,0)))*COS(RADIANS(P137-_xlfn.XLOOKUP(S137,'Schools dataset'!$B$3:$B$187,'Schools dataset'!$K$3:$K$187,,0))))*6371*1000</f>
        <v>381.10716811351432</v>
      </c>
      <c r="W137" s="20">
        <f>_xlfn.XLOOKUP(T137,'HDB Recommender'!$P$10:$P$39,'HDB Recommender'!$Q$10:$Q$39,"&gt;30mins",1)</f>
        <v>7</v>
      </c>
      <c r="X137" s="20">
        <f>_xlfn.XLOOKUP(U137,'HDB Recommender'!$P$10:$P$39,'HDB Recommender'!$Q$10:$Q$39,"&gt;30mins",1)</f>
        <v>21</v>
      </c>
      <c r="Y137" s="20">
        <f>_xlfn.XLOOKUP(V137,'HDB Recommender'!$P$10:$P$39,'HDB Recommender'!$Q$10:$Q$39,"&gt;30mins",1)</f>
        <v>6</v>
      </c>
      <c r="Z137" s="39">
        <f t="shared" si="5"/>
        <v>11.333333333333334</v>
      </c>
      <c r="AA137" s="20" t="str">
        <f t="shared" si="4"/>
        <v>Within 1km</v>
      </c>
    </row>
    <row r="138" spans="2:27" hidden="1">
      <c r="B138" s="35" t="s">
        <v>317</v>
      </c>
      <c r="C138" s="35" t="s">
        <v>557</v>
      </c>
      <c r="D138" s="35" t="s">
        <v>318</v>
      </c>
      <c r="E138" s="35">
        <v>47</v>
      </c>
      <c r="F138" s="35" t="s">
        <v>562</v>
      </c>
      <c r="G138" s="35" t="s">
        <v>184</v>
      </c>
      <c r="H138" s="35">
        <v>68</v>
      </c>
      <c r="I138" s="35" t="s">
        <v>320</v>
      </c>
      <c r="J138" s="36">
        <v>1985</v>
      </c>
      <c r="K138" s="39">
        <v>60.9166666666666</v>
      </c>
      <c r="L138" s="37">
        <v>348000</v>
      </c>
      <c r="M138" s="35" t="s">
        <v>563</v>
      </c>
      <c r="N138" s="27">
        <v>600047</v>
      </c>
      <c r="O138" s="38">
        <v>1.3201262784916801</v>
      </c>
      <c r="P138" s="38">
        <v>103.739888486506</v>
      </c>
      <c r="Q138" s="38" t="str" cm="1">
        <f t="array" ref="Q138">INDEX('MRT station dataset'!$C$3:$C$179, MATCH(MIN(SQRT(('MRT station dataset'!$E$3:$E$179-'Resale flat dataset'!O138)^2+('MRT station dataset'!$F$3:$F$179-'Resale flat dataset'!P138)^2)), SQRT(('MRT station dataset'!$E$3:$E$179-'Resale flat dataset'!O138)^2+('MRT station dataset'!$F$3:$F$179-'Resale flat dataset'!P138)^2), 0))</f>
        <v>JURONG EAST MRT STATION</v>
      </c>
      <c r="R138" s="38" t="str" cm="1">
        <f t="array" ref="R138">INDEX('Mall Dataset'!$B$3:$B$157, MATCH(MIN(SQRT(('Mall Dataset'!$E$3:$E$157-'Resale flat dataset'!O138)^2+('Mall Dataset'!$F$3:$F$157-'Resale flat dataset'!P138)^2)), SQRT(('Mall Dataset'!$E$3:$E$157-'Resale flat dataset'!O138)^2+('Mall Dataset'!$F$3:$F$157-'Resale flat dataset'!P138)^2), 0))</f>
        <v>Jem</v>
      </c>
      <c r="S138" s="38" t="str" cm="1">
        <f t="array" ref="S138">INDEX('Schools dataset'!$B$3:$B$187, MATCH(MIN(SQRT(('Schools dataset'!$J$3:$J$187-'Resale flat dataset'!O138)^2+('Schools dataset'!$K$3:$K$187-'Resale flat dataset'!P138)^2)), SQRT(('Schools dataset'!$J$3:$J$187-'Resale flat dataset'!O138)^2+('Schools dataset'!$K$3:$K$187-'Resale flat dataset'!P138)^2), 0))</f>
        <v>FUHUA PRIMARY SCHOOL</v>
      </c>
      <c r="T138" s="39">
        <f>ACOS(COS(RADIANS(90-O138))*COS(RADIANS(90-_xlfn.XLOOKUP(Q138,'MRT station dataset'!$C$3:$C$179,'MRT station dataset'!$E$3:$E$179)))+SIN(RADIANS(90-O138))*SIN(RADIANS(90-_xlfn.XLOOKUP(Q138,'MRT station dataset'!$C$3:$C$179,'MRT station dataset'!$E$3:$E$179)))*COS(RADIANS(P138-_xlfn.XLOOKUP('Resale flat dataset'!Q138,'MRT station dataset'!$C$3:$C$179,'MRT station dataset'!$F$3:$F$179))))*6371*1000</f>
        <v>1478.2422439123379</v>
      </c>
      <c r="U138" s="39">
        <f>ACOS(COS(RADIANS(90-O138))*COS(RADIANS(90-_xlfn.XLOOKUP(R138,'Mall Dataset'!$B$3:$B$157,'Mall Dataset'!$E$3:$E$157,,0)))+SIN(RADIANS(90-O138))*SIN(RADIANS(90-_xlfn.XLOOKUP(R138,'Mall Dataset'!$B$3:$B$157,'Mall Dataset'!$E$3:$E$157,,0)))*COS(RADIANS(P138-_xlfn.XLOOKUP(R138,'Mall Dataset'!$B$3:$B$157,'Mall Dataset'!$F$3:$F$157,,0))))*6371*1000</f>
        <v>1493.2604548180886</v>
      </c>
      <c r="V138" s="39">
        <f>ACOS(COS(RADIANS(90-O138))*COS(RADIANS(90-_xlfn.XLOOKUP(S138,'Schools dataset'!$B$3:$B$187,'Schools dataset'!$J$3:$J$187,,0)))+SIN(RADIANS(90-O138))*SIN(RADIANS(90-_xlfn.XLOOKUP(S138,'Schools dataset'!$B$3:$B$187,'Schools dataset'!$J$3:$J$187,,0)))*COS(RADIANS(P138-_xlfn.XLOOKUP(S138,'Schools dataset'!$B$3:$B$187,'Schools dataset'!$K$3:$K$187,,0))))*6371*1000</f>
        <v>1869.0825992482144</v>
      </c>
      <c r="W138" s="20">
        <f>_xlfn.XLOOKUP(T138,'HDB Recommender'!$P$10:$P$39,'HDB Recommender'!$Q$10:$Q$39,"&gt;30mins",1)</f>
        <v>20</v>
      </c>
      <c r="X138" s="20">
        <f>_xlfn.XLOOKUP(U138,'HDB Recommender'!$P$10:$P$39,'HDB Recommender'!$Q$10:$Q$39,"&gt;30mins",1)</f>
        <v>20</v>
      </c>
      <c r="Y138" s="20">
        <f>_xlfn.XLOOKUP(V138,'HDB Recommender'!$P$10:$P$39,'HDB Recommender'!$Q$10:$Q$39,"&gt;30mins",1)</f>
        <v>25</v>
      </c>
      <c r="Z138" s="39">
        <f t="shared" si="5"/>
        <v>21.666666666666668</v>
      </c>
      <c r="AA138" s="20" t="str">
        <f t="shared" si="4"/>
        <v>between 1km and 2km</v>
      </c>
    </row>
    <row r="139" spans="2:27" hidden="1">
      <c r="B139" s="35" t="s">
        <v>317</v>
      </c>
      <c r="C139" s="35" t="s">
        <v>557</v>
      </c>
      <c r="D139" s="35" t="s">
        <v>20</v>
      </c>
      <c r="E139" s="35">
        <v>57</v>
      </c>
      <c r="F139" s="35" t="s">
        <v>562</v>
      </c>
      <c r="G139" s="35" t="s">
        <v>411</v>
      </c>
      <c r="H139" s="35">
        <v>92</v>
      </c>
      <c r="I139" s="35" t="s">
        <v>335</v>
      </c>
      <c r="J139" s="36">
        <v>2016</v>
      </c>
      <c r="K139" s="39">
        <v>92.1666666666666</v>
      </c>
      <c r="L139" s="37">
        <v>585000</v>
      </c>
      <c r="M139" s="35" t="s">
        <v>564</v>
      </c>
      <c r="N139" s="27">
        <v>600057</v>
      </c>
      <c r="O139" s="38">
        <v>1.3225422654425401</v>
      </c>
      <c r="P139" s="38">
        <v>103.737560699176</v>
      </c>
      <c r="Q139" s="38" t="str" cm="1">
        <f t="array" ref="Q139">INDEX('MRT station dataset'!$C$3:$C$179, MATCH(MIN(SQRT(('MRT station dataset'!$E$3:$E$179-'Resale flat dataset'!O139)^2+('MRT station dataset'!$F$3:$F$179-'Resale flat dataset'!P139)^2)), SQRT(('MRT station dataset'!$E$3:$E$179-'Resale flat dataset'!O139)^2+('MRT station dataset'!$F$3:$F$179-'Resale flat dataset'!P139)^2), 0))</f>
        <v>JURONG EAST MRT STATION</v>
      </c>
      <c r="R139" s="38" t="str" cm="1">
        <f t="array" ref="R139">INDEX('Mall Dataset'!$B$3:$B$157, MATCH(MIN(SQRT(('Mall Dataset'!$E$3:$E$157-'Resale flat dataset'!O139)^2+('Mall Dataset'!$F$3:$F$157-'Resale flat dataset'!P139)^2)), SQRT(('Mall Dataset'!$E$3:$E$157-'Resale flat dataset'!O139)^2+('Mall Dataset'!$F$3:$F$157-'Resale flat dataset'!P139)^2), 0))</f>
        <v>Jem</v>
      </c>
      <c r="S139" s="38" t="str" cm="1">
        <f t="array" ref="S139">INDEX('Schools dataset'!$B$3:$B$187, MATCH(MIN(SQRT(('Schools dataset'!$J$3:$J$187-'Resale flat dataset'!O139)^2+('Schools dataset'!$K$3:$K$187-'Resale flat dataset'!P139)^2)), SQRT(('Schools dataset'!$J$3:$J$187-'Resale flat dataset'!O139)^2+('Schools dataset'!$K$3:$K$187-'Resale flat dataset'!P139)^2), 0))</f>
        <v>FUHUA PRIMARY SCHOOL</v>
      </c>
      <c r="T139" s="39">
        <f>ACOS(COS(RADIANS(90-O139))*COS(RADIANS(90-_xlfn.XLOOKUP(Q139,'MRT station dataset'!$C$3:$C$179,'MRT station dataset'!$E$3:$E$179)))+SIN(RADIANS(90-O139))*SIN(RADIANS(90-_xlfn.XLOOKUP(Q139,'MRT station dataset'!$C$3:$C$179,'MRT station dataset'!$E$3:$E$179)))*COS(RADIANS(P139-_xlfn.XLOOKUP('Resale flat dataset'!Q139,'MRT station dataset'!$C$3:$C$179,'MRT station dataset'!$F$3:$F$179))))*6371*1000</f>
        <v>1296.9171849597665</v>
      </c>
      <c r="U139" s="39">
        <f>ACOS(COS(RADIANS(90-O139))*COS(RADIANS(90-_xlfn.XLOOKUP(R139,'Mall Dataset'!$B$3:$B$157,'Mall Dataset'!$E$3:$E$157,,0)))+SIN(RADIANS(90-O139))*SIN(RADIANS(90-_xlfn.XLOOKUP(R139,'Mall Dataset'!$B$3:$B$157,'Mall Dataset'!$E$3:$E$157,,0)))*COS(RADIANS(P139-_xlfn.XLOOKUP(R139,'Mall Dataset'!$B$3:$B$157,'Mall Dataset'!$F$3:$F$157,,0))))*6371*1000</f>
        <v>1343.2189647184559</v>
      </c>
      <c r="V139" s="39">
        <f>ACOS(COS(RADIANS(90-O139))*COS(RADIANS(90-_xlfn.XLOOKUP(S139,'Schools dataset'!$B$3:$B$187,'Schools dataset'!$J$3:$J$187,,0)))+SIN(RADIANS(90-O139))*SIN(RADIANS(90-_xlfn.XLOOKUP(S139,'Schools dataset'!$B$3:$B$187,'Schools dataset'!$J$3:$J$187,,0)))*COS(RADIANS(P139-_xlfn.XLOOKUP(S139,'Schools dataset'!$B$3:$B$187,'Schools dataset'!$K$3:$K$187,,0))))*6371*1000</f>
        <v>1560.8937981834188</v>
      </c>
      <c r="W139" s="20">
        <f>_xlfn.XLOOKUP(T139,'HDB Recommender'!$P$10:$P$39,'HDB Recommender'!$Q$10:$Q$39,"&gt;30mins",1)</f>
        <v>18</v>
      </c>
      <c r="X139" s="20">
        <f>_xlfn.XLOOKUP(U139,'HDB Recommender'!$P$10:$P$39,'HDB Recommender'!$Q$10:$Q$39,"&gt;30mins",1)</f>
        <v>18</v>
      </c>
      <c r="Y139" s="20">
        <f>_xlfn.XLOOKUP(V139,'HDB Recommender'!$P$10:$P$39,'HDB Recommender'!$Q$10:$Q$39,"&gt;30mins",1)</f>
        <v>21</v>
      </c>
      <c r="Z139" s="39">
        <f t="shared" si="5"/>
        <v>19</v>
      </c>
      <c r="AA139" s="20" t="str">
        <f t="shared" si="4"/>
        <v>between 1km and 2km</v>
      </c>
    </row>
    <row r="140" spans="2:27" hidden="1">
      <c r="B140" s="35" t="s">
        <v>317</v>
      </c>
      <c r="C140" s="35" t="s">
        <v>557</v>
      </c>
      <c r="D140" s="35" t="s">
        <v>20</v>
      </c>
      <c r="E140" s="35">
        <v>25</v>
      </c>
      <c r="F140" s="35" t="s">
        <v>562</v>
      </c>
      <c r="G140" s="35" t="s">
        <v>184</v>
      </c>
      <c r="H140" s="35">
        <v>99</v>
      </c>
      <c r="I140" s="35" t="s">
        <v>335</v>
      </c>
      <c r="J140" s="36">
        <v>1993</v>
      </c>
      <c r="K140" s="39">
        <v>68.8333333333333</v>
      </c>
      <c r="L140" s="37">
        <v>480000</v>
      </c>
      <c r="M140" s="35" t="s">
        <v>565</v>
      </c>
      <c r="N140" s="27">
        <v>600025</v>
      </c>
      <c r="O140" s="38">
        <v>1.3230792938609699</v>
      </c>
      <c r="P140" s="38">
        <v>103.737791107104</v>
      </c>
      <c r="Q140" s="38" t="str" cm="1">
        <f t="array" ref="Q140">INDEX('MRT station dataset'!$C$3:$C$179, MATCH(MIN(SQRT(('MRT station dataset'!$E$3:$E$179-'Resale flat dataset'!O140)^2+('MRT station dataset'!$F$3:$F$179-'Resale flat dataset'!P140)^2)), SQRT(('MRT station dataset'!$E$3:$E$179-'Resale flat dataset'!O140)^2+('MRT station dataset'!$F$3:$F$179-'Resale flat dataset'!P140)^2), 0))</f>
        <v>JURONG EAST MRT STATION</v>
      </c>
      <c r="R140" s="38" t="str" cm="1">
        <f t="array" ref="R140">INDEX('Mall Dataset'!$B$3:$B$157, MATCH(MIN(SQRT(('Mall Dataset'!$E$3:$E$157-'Resale flat dataset'!O140)^2+('Mall Dataset'!$F$3:$F$157-'Resale flat dataset'!P140)^2)), SQRT(('Mall Dataset'!$E$3:$E$157-'Resale flat dataset'!O140)^2+('Mall Dataset'!$F$3:$F$157-'Resale flat dataset'!P140)^2), 0))</f>
        <v>Jem</v>
      </c>
      <c r="S140" s="38" t="str" cm="1">
        <f t="array" ref="S140">INDEX('Schools dataset'!$B$3:$B$187, MATCH(MIN(SQRT(('Schools dataset'!$J$3:$J$187-'Resale flat dataset'!O140)^2+('Schools dataset'!$K$3:$K$187-'Resale flat dataset'!P140)^2)), SQRT(('Schools dataset'!$J$3:$J$187-'Resale flat dataset'!O140)^2+('Schools dataset'!$K$3:$K$187-'Resale flat dataset'!P140)^2), 0))</f>
        <v>FUHUA PRIMARY SCHOOL</v>
      </c>
      <c r="T140" s="39">
        <f>ACOS(COS(RADIANS(90-O140))*COS(RADIANS(90-_xlfn.XLOOKUP(Q140,'MRT station dataset'!$C$3:$C$179,'MRT station dataset'!$E$3:$E$179)))+SIN(RADIANS(90-O140))*SIN(RADIANS(90-_xlfn.XLOOKUP(Q140,'MRT station dataset'!$C$3:$C$179,'MRT station dataset'!$E$3:$E$179)))*COS(RADIANS(P140-_xlfn.XLOOKUP('Resale flat dataset'!Q140,'MRT station dataset'!$C$3:$C$179,'MRT station dataset'!$F$3:$F$179))))*6371*1000</f>
        <v>1231.9468834371539</v>
      </c>
      <c r="U140" s="39">
        <f>ACOS(COS(RADIANS(90-O140))*COS(RADIANS(90-_xlfn.XLOOKUP(R140,'Mall Dataset'!$B$3:$B$157,'Mall Dataset'!$E$3:$E$157,,0)))+SIN(RADIANS(90-O140))*SIN(RADIANS(90-_xlfn.XLOOKUP(R140,'Mall Dataset'!$B$3:$B$157,'Mall Dataset'!$E$3:$E$157,,0)))*COS(RADIANS(P140-_xlfn.XLOOKUP(R140,'Mall Dataset'!$B$3:$B$157,'Mall Dataset'!$F$3:$F$157,,0))))*6371*1000</f>
        <v>1278.6480023469744</v>
      </c>
      <c r="V140" s="39">
        <f>ACOS(COS(RADIANS(90-O140))*COS(RADIANS(90-_xlfn.XLOOKUP(S140,'Schools dataset'!$B$3:$B$187,'Schools dataset'!$J$3:$J$187,,0)))+SIN(RADIANS(90-O140))*SIN(RADIANS(90-_xlfn.XLOOKUP(S140,'Schools dataset'!$B$3:$B$187,'Schools dataset'!$J$3:$J$187,,0)))*COS(RADIANS(P140-_xlfn.XLOOKUP(S140,'Schools dataset'!$B$3:$B$187,'Schools dataset'!$K$3:$K$187,,0))))*6371*1000</f>
        <v>1504.4923849783581</v>
      </c>
      <c r="W140" s="20">
        <f>_xlfn.XLOOKUP(T140,'HDB Recommender'!$P$10:$P$39,'HDB Recommender'!$Q$10:$Q$39,"&gt;30mins",1)</f>
        <v>17</v>
      </c>
      <c r="X140" s="20">
        <f>_xlfn.XLOOKUP(U140,'HDB Recommender'!$P$10:$P$39,'HDB Recommender'!$Q$10:$Q$39,"&gt;30mins",1)</f>
        <v>18</v>
      </c>
      <c r="Y140" s="20">
        <f>_xlfn.XLOOKUP(V140,'HDB Recommender'!$P$10:$P$39,'HDB Recommender'!$Q$10:$Q$39,"&gt;30mins",1)</f>
        <v>21</v>
      </c>
      <c r="Z140" s="39">
        <f t="shared" si="5"/>
        <v>18.666666666666668</v>
      </c>
      <c r="AA140" s="20" t="str">
        <f t="shared" si="4"/>
        <v>between 1km and 2km</v>
      </c>
    </row>
    <row r="141" spans="2:27" hidden="1">
      <c r="B141" s="35" t="s">
        <v>317</v>
      </c>
      <c r="C141" s="35" t="s">
        <v>566</v>
      </c>
      <c r="D141" s="35" t="s">
        <v>318</v>
      </c>
      <c r="E141" s="35">
        <v>187</v>
      </c>
      <c r="F141" s="35" t="s">
        <v>567</v>
      </c>
      <c r="G141" s="35" t="s">
        <v>411</v>
      </c>
      <c r="H141" s="35">
        <v>59</v>
      </c>
      <c r="I141" s="35" t="s">
        <v>326</v>
      </c>
      <c r="J141" s="36">
        <v>1978</v>
      </c>
      <c r="K141" s="39">
        <v>53.8333333333333</v>
      </c>
      <c r="L141" s="37">
        <v>300000</v>
      </c>
      <c r="M141" s="35" t="s">
        <v>568</v>
      </c>
      <c r="N141" s="27">
        <v>640187</v>
      </c>
      <c r="O141" s="38">
        <v>1.3450577358893301</v>
      </c>
      <c r="P141" s="38">
        <v>103.710699802755</v>
      </c>
      <c r="Q141" s="38" t="str" cm="1">
        <f t="array" ref="Q141">INDEX('MRT station dataset'!$C$3:$C$179, MATCH(MIN(SQRT(('MRT station dataset'!$E$3:$E$179-'Resale flat dataset'!O141)^2+('MRT station dataset'!$F$3:$F$179-'Resale flat dataset'!P141)^2)), SQRT(('MRT station dataset'!$E$3:$E$179-'Resale flat dataset'!O141)^2+('MRT station dataset'!$F$3:$F$179-'Resale flat dataset'!P141)^2), 0))</f>
        <v>BOON LAY MRT STATION</v>
      </c>
      <c r="R141" s="38" t="str" cm="1">
        <f t="array" ref="R141">INDEX('Mall Dataset'!$B$3:$B$157, MATCH(MIN(SQRT(('Mall Dataset'!$E$3:$E$157-'Resale flat dataset'!O141)^2+('Mall Dataset'!$F$3:$F$157-'Resale flat dataset'!P141)^2)), SQRT(('Mall Dataset'!$E$3:$E$157-'Resale flat dataset'!O141)^2+('Mall Dataset'!$F$3:$F$157-'Resale flat dataset'!P141)^2), 0))</f>
        <v>Boon Lay Shopping Centre</v>
      </c>
      <c r="S141" s="38" t="str" cm="1">
        <f t="array" ref="S141">INDEX('Schools dataset'!$B$3:$B$187, MATCH(MIN(SQRT(('Schools dataset'!$J$3:$J$187-'Resale flat dataset'!O141)^2+('Schools dataset'!$K$3:$K$187-'Resale flat dataset'!P141)^2)), SQRT(('Schools dataset'!$J$3:$J$187-'Resale flat dataset'!O141)^2+('Schools dataset'!$K$3:$K$187-'Resale flat dataset'!P141)^2), 0))</f>
        <v>RIVER VALLEY HIGH SCHOOL</v>
      </c>
      <c r="T141" s="39">
        <f>ACOS(COS(RADIANS(90-O141))*COS(RADIANS(90-_xlfn.XLOOKUP(Q141,'MRT station dataset'!$C$3:$C$179,'MRT station dataset'!$E$3:$E$179)))+SIN(RADIANS(90-O141))*SIN(RADIANS(90-_xlfn.XLOOKUP(Q141,'MRT station dataset'!$C$3:$C$179,'MRT station dataset'!$E$3:$E$179)))*COS(RADIANS(P141-_xlfn.XLOOKUP('Resale flat dataset'!Q141,'MRT station dataset'!$C$3:$C$179,'MRT station dataset'!$F$3:$F$179))))*6371*1000</f>
        <v>881.52357968445233</v>
      </c>
      <c r="U141" s="39">
        <f>ACOS(COS(RADIANS(90-O141))*COS(RADIANS(90-_xlfn.XLOOKUP(R141,'Mall Dataset'!$B$3:$B$157,'Mall Dataset'!$E$3:$E$157,,0)))+SIN(RADIANS(90-O141))*SIN(RADIANS(90-_xlfn.XLOOKUP(R141,'Mall Dataset'!$B$3:$B$157,'Mall Dataset'!$E$3:$E$157,,0)))*COS(RADIANS(P141-_xlfn.XLOOKUP(R141,'Mall Dataset'!$B$3:$B$157,'Mall Dataset'!$F$3:$F$157,,0))))*6371*1000</f>
        <v>245.48116681886566</v>
      </c>
      <c r="V141" s="39">
        <f>ACOS(COS(RADIANS(90-O141))*COS(RADIANS(90-_xlfn.XLOOKUP(S141,'Schools dataset'!$B$3:$B$187,'Schools dataset'!$J$3:$J$187,,0)))+SIN(RADIANS(90-O141))*SIN(RADIANS(90-_xlfn.XLOOKUP(S141,'Schools dataset'!$B$3:$B$187,'Schools dataset'!$J$3:$J$187,,0)))*COS(RADIANS(P141-_xlfn.XLOOKUP(S141,'Schools dataset'!$B$3:$B$187,'Schools dataset'!$K$3:$K$187,,0))))*6371*1000</f>
        <v>283.61312915602355</v>
      </c>
      <c r="W141" s="20">
        <f>_xlfn.XLOOKUP(T141,'HDB Recommender'!$P$10:$P$39,'HDB Recommender'!$Q$10:$Q$39,"&gt;30mins",1)</f>
        <v>12</v>
      </c>
      <c r="X141" s="20">
        <f>_xlfn.XLOOKUP(U141,'HDB Recommender'!$P$10:$P$39,'HDB Recommender'!$Q$10:$Q$39,"&gt;30mins",1)</f>
        <v>4</v>
      </c>
      <c r="Y141" s="20">
        <f>_xlfn.XLOOKUP(V141,'HDB Recommender'!$P$10:$P$39,'HDB Recommender'!$Q$10:$Q$39,"&gt;30mins",1)</f>
        <v>4</v>
      </c>
      <c r="Z141" s="39">
        <f t="shared" si="5"/>
        <v>6.666666666666667</v>
      </c>
      <c r="AA141" s="20" t="str">
        <f t="shared" si="4"/>
        <v>Within 1km</v>
      </c>
    </row>
    <row r="142" spans="2:27" hidden="1">
      <c r="B142" s="35" t="s">
        <v>317</v>
      </c>
      <c r="C142" s="35" t="s">
        <v>566</v>
      </c>
      <c r="D142" s="35" t="s">
        <v>318</v>
      </c>
      <c r="E142" s="35"/>
      <c r="F142" s="35" t="s">
        <v>569</v>
      </c>
      <c r="G142" s="35" t="s">
        <v>184</v>
      </c>
      <c r="H142" s="35">
        <v>68</v>
      </c>
      <c r="I142" s="35" t="s">
        <v>335</v>
      </c>
      <c r="J142" s="36">
        <v>2015</v>
      </c>
      <c r="K142" s="39">
        <v>90.5833333333333</v>
      </c>
      <c r="L142" s="37">
        <v>410000</v>
      </c>
      <c r="M142" s="35" t="s">
        <v>570</v>
      </c>
      <c r="N142" s="27">
        <v>641197</v>
      </c>
      <c r="O142" s="38">
        <v>1.3441061022631999</v>
      </c>
      <c r="P142" s="38">
        <v>103.713719208827</v>
      </c>
      <c r="Q142" s="38" t="str" cm="1">
        <f t="array" ref="Q142">INDEX('MRT station dataset'!$C$3:$C$179, MATCH(MIN(SQRT(('MRT station dataset'!$E$3:$E$179-'Resale flat dataset'!O142)^2+('MRT station dataset'!$F$3:$F$179-'Resale flat dataset'!P142)^2)), SQRT(('MRT station dataset'!$E$3:$E$179-'Resale flat dataset'!O142)^2+('MRT station dataset'!$F$3:$F$179-'Resale flat dataset'!P142)^2), 0))</f>
        <v>LAKESIDE MRT STATION</v>
      </c>
      <c r="R142" s="38" t="str" cm="1">
        <f t="array" ref="R142">INDEX('Mall Dataset'!$B$3:$B$157, MATCH(MIN(SQRT(('Mall Dataset'!$E$3:$E$157-'Resale flat dataset'!O142)^2+('Mall Dataset'!$F$3:$F$157-'Resale flat dataset'!P142)^2)), SQRT(('Mall Dataset'!$E$3:$E$157-'Resale flat dataset'!O142)^2+('Mall Dataset'!$F$3:$F$157-'Resale flat dataset'!P142)^2), 0))</f>
        <v>Boon Lay Shopping Centre</v>
      </c>
      <c r="S142" s="38" t="str" cm="1">
        <f t="array" ref="S142">INDEX('Schools dataset'!$B$3:$B$187, MATCH(MIN(SQRT(('Schools dataset'!$J$3:$J$187-'Resale flat dataset'!O142)^2+('Schools dataset'!$K$3:$K$187-'Resale flat dataset'!P142)^2)), SQRT(('Schools dataset'!$J$3:$J$187-'Resale flat dataset'!O142)^2+('Schools dataset'!$K$3:$K$187-'Resale flat dataset'!P142)^2), 0))</f>
        <v>BOON LAY GARDEN PRIMARY SCHOOL</v>
      </c>
      <c r="T142" s="39">
        <f>ACOS(COS(RADIANS(90-O142))*COS(RADIANS(90-_xlfn.XLOOKUP(Q142,'MRT station dataset'!$C$3:$C$179,'MRT station dataset'!$E$3:$E$179)))+SIN(RADIANS(90-O142))*SIN(RADIANS(90-_xlfn.XLOOKUP(Q142,'MRT station dataset'!$C$3:$C$179,'MRT station dataset'!$E$3:$E$179)))*COS(RADIANS(P142-_xlfn.XLOOKUP('Resale flat dataset'!Q142,'MRT station dataset'!$C$3:$C$179,'MRT station dataset'!$F$3:$F$179))))*6371*1000</f>
        <v>798.53892971349796</v>
      </c>
      <c r="U142" s="39">
        <f>ACOS(COS(RADIANS(90-O142))*COS(RADIANS(90-_xlfn.XLOOKUP(R142,'Mall Dataset'!$B$3:$B$157,'Mall Dataset'!$E$3:$E$157,,0)))+SIN(RADIANS(90-O142))*SIN(RADIANS(90-_xlfn.XLOOKUP(R142,'Mall Dataset'!$B$3:$B$157,'Mall Dataset'!$E$3:$E$157,,0)))*COS(RADIANS(P142-_xlfn.XLOOKUP(R142,'Mall Dataset'!$B$3:$B$157,'Mall Dataset'!$F$3:$F$157,,0))))*6371*1000</f>
        <v>287.71180117943243</v>
      </c>
      <c r="V142" s="39">
        <f>ACOS(COS(RADIANS(90-O142))*COS(RADIANS(90-_xlfn.XLOOKUP(S142,'Schools dataset'!$B$3:$B$187,'Schools dataset'!$J$3:$J$187,,0)))+SIN(RADIANS(90-O142))*SIN(RADIANS(90-_xlfn.XLOOKUP(S142,'Schools dataset'!$B$3:$B$187,'Schools dataset'!$J$3:$J$187,,0)))*COS(RADIANS(P142-_xlfn.XLOOKUP(S142,'Schools dataset'!$B$3:$B$187,'Schools dataset'!$K$3:$K$187,,0))))*6371*1000</f>
        <v>170.21475338648128</v>
      </c>
      <c r="W142" s="20">
        <f>_xlfn.XLOOKUP(T142,'HDB Recommender'!$P$10:$P$39,'HDB Recommender'!$Q$10:$Q$39,"&gt;30mins",1)</f>
        <v>11</v>
      </c>
      <c r="X142" s="20">
        <f>_xlfn.XLOOKUP(U142,'HDB Recommender'!$P$10:$P$39,'HDB Recommender'!$Q$10:$Q$39,"&gt;30mins",1)</f>
        <v>4</v>
      </c>
      <c r="Y142" s="20">
        <f>_xlfn.XLOOKUP(V142,'HDB Recommender'!$P$10:$P$39,'HDB Recommender'!$Q$10:$Q$39,"&gt;30mins",1)</f>
        <v>3</v>
      </c>
      <c r="Z142" s="39">
        <f t="shared" si="5"/>
        <v>6</v>
      </c>
      <c r="AA142" s="20" t="str">
        <f t="shared" si="4"/>
        <v>Within 1km</v>
      </c>
    </row>
    <row r="143" spans="2:27" hidden="1">
      <c r="B143" s="35" t="s">
        <v>317</v>
      </c>
      <c r="C143" s="35" t="s">
        <v>566</v>
      </c>
      <c r="D143" s="35" t="s">
        <v>318</v>
      </c>
      <c r="E143" s="35">
        <v>213</v>
      </c>
      <c r="F143" s="35" t="s">
        <v>571</v>
      </c>
      <c r="G143" s="35" t="s">
        <v>349</v>
      </c>
      <c r="H143" s="35">
        <v>66</v>
      </c>
      <c r="I143" s="35" t="s">
        <v>326</v>
      </c>
      <c r="J143" s="36">
        <v>1974</v>
      </c>
      <c r="K143" s="39">
        <v>50.0833333333333</v>
      </c>
      <c r="L143" s="37">
        <v>298000</v>
      </c>
      <c r="M143" s="35" t="s">
        <v>572</v>
      </c>
      <c r="N143" s="27">
        <v>640213</v>
      </c>
      <c r="O143" s="38">
        <v>1.3494593418737699</v>
      </c>
      <c r="P143" s="38">
        <v>103.712840315508</v>
      </c>
      <c r="Q143" s="38" t="str" cm="1">
        <f t="array" ref="Q143">INDEX('MRT station dataset'!$C$3:$C$179, MATCH(MIN(SQRT(('MRT station dataset'!$E$3:$E$179-'Resale flat dataset'!O143)^2+('MRT station dataset'!$F$3:$F$179-'Resale flat dataset'!P143)^2)), SQRT(('MRT station dataset'!$E$3:$E$179-'Resale flat dataset'!O143)^2+('MRT station dataset'!$F$3:$F$179-'Resale flat dataset'!P143)^2), 0))</f>
        <v>LAKESIDE MRT STATION</v>
      </c>
      <c r="R143" s="38" t="str" cm="1">
        <f t="array" ref="R143">INDEX('Mall Dataset'!$B$3:$B$157, MATCH(MIN(SQRT(('Mall Dataset'!$E$3:$E$157-'Resale flat dataset'!O143)^2+('Mall Dataset'!$F$3:$F$157-'Resale flat dataset'!P143)^2)), SQRT(('Mall Dataset'!$E$3:$E$157-'Resale flat dataset'!O143)^2+('Mall Dataset'!$F$3:$F$157-'Resale flat dataset'!P143)^2), 0))</f>
        <v>Boon Lay Shopping Centre</v>
      </c>
      <c r="S143" s="38" t="str" cm="1">
        <f t="array" ref="S143">INDEX('Schools dataset'!$B$3:$B$187, MATCH(MIN(SQRT(('Schools dataset'!$J$3:$J$187-'Resale flat dataset'!O143)^2+('Schools dataset'!$K$3:$K$187-'Resale flat dataset'!P143)^2)), SQRT(('Schools dataset'!$J$3:$J$187-'Resale flat dataset'!O143)^2+('Schools dataset'!$K$3:$K$187-'Resale flat dataset'!P143)^2), 0))</f>
        <v>CORPORATION PRIMARY SCHOOL</v>
      </c>
      <c r="T143" s="39">
        <f>ACOS(COS(RADIANS(90-O143))*COS(RADIANS(90-_xlfn.XLOOKUP(Q143,'MRT station dataset'!$C$3:$C$179,'MRT station dataset'!$E$3:$E$179)))+SIN(RADIANS(90-O143))*SIN(RADIANS(90-_xlfn.XLOOKUP(Q143,'MRT station dataset'!$C$3:$C$179,'MRT station dataset'!$E$3:$E$179)))*COS(RADIANS(P143-_xlfn.XLOOKUP('Resale flat dataset'!Q143,'MRT station dataset'!$C$3:$C$179,'MRT station dataset'!$F$3:$F$179))))*6371*1000</f>
        <v>1063.8828906450956</v>
      </c>
      <c r="U143" s="39">
        <f>ACOS(COS(RADIANS(90-O143))*COS(RADIANS(90-_xlfn.XLOOKUP(R143,'Mall Dataset'!$B$3:$B$157,'Mall Dataset'!$E$3:$E$157,,0)))+SIN(RADIANS(90-O143))*SIN(RADIANS(90-_xlfn.XLOOKUP(R143,'Mall Dataset'!$B$3:$B$157,'Mall Dataset'!$E$3:$E$157,,0)))*COS(RADIANS(P143-_xlfn.XLOOKUP(R143,'Mall Dataset'!$B$3:$B$157,'Mall Dataset'!$F$3:$F$157,,0))))*6371*1000</f>
        <v>345.52414782357641</v>
      </c>
      <c r="V143" s="39">
        <f>ACOS(COS(RADIANS(90-O143))*COS(RADIANS(90-_xlfn.XLOOKUP(S143,'Schools dataset'!$B$3:$B$187,'Schools dataset'!$J$3:$J$187,,0)))+SIN(RADIANS(90-O143))*SIN(RADIANS(90-_xlfn.XLOOKUP(S143,'Schools dataset'!$B$3:$B$187,'Schools dataset'!$J$3:$J$187,,0)))*COS(RADIANS(P143-_xlfn.XLOOKUP(S143,'Schools dataset'!$B$3:$B$187,'Schools dataset'!$K$3:$K$187,,0))))*6371*1000</f>
        <v>607.80294394135638</v>
      </c>
      <c r="W143" s="20">
        <f>_xlfn.XLOOKUP(T143,'HDB Recommender'!$P$10:$P$39,'HDB Recommender'!$Q$10:$Q$39,"&gt;30mins",1)</f>
        <v>15</v>
      </c>
      <c r="X143" s="20">
        <f>_xlfn.XLOOKUP(U143,'HDB Recommender'!$P$10:$P$39,'HDB Recommender'!$Q$10:$Q$39,"&gt;30mins",1)</f>
        <v>5</v>
      </c>
      <c r="Y143" s="20">
        <f>_xlfn.XLOOKUP(V143,'HDB Recommender'!$P$10:$P$39,'HDB Recommender'!$Q$10:$Q$39,"&gt;30mins",1)</f>
        <v>9</v>
      </c>
      <c r="Z143" s="39">
        <f t="shared" si="5"/>
        <v>9.6666666666666661</v>
      </c>
      <c r="AA143" s="20" t="str">
        <f t="shared" si="4"/>
        <v>Within 1km</v>
      </c>
    </row>
    <row r="144" spans="2:27" hidden="1">
      <c r="B144" s="35" t="s">
        <v>317</v>
      </c>
      <c r="C144" s="35" t="s">
        <v>566</v>
      </c>
      <c r="D144" s="35" t="s">
        <v>318</v>
      </c>
      <c r="E144" s="35">
        <v>440</v>
      </c>
      <c r="F144" s="35" t="s">
        <v>573</v>
      </c>
      <c r="G144" s="35" t="s">
        <v>349</v>
      </c>
      <c r="H144" s="35">
        <v>74</v>
      </c>
      <c r="I144" s="35" t="s">
        <v>335</v>
      </c>
      <c r="J144" s="36">
        <v>1985</v>
      </c>
      <c r="K144" s="39">
        <v>60.75</v>
      </c>
      <c r="L144" s="37">
        <v>350000</v>
      </c>
      <c r="M144" s="35" t="s">
        <v>574</v>
      </c>
      <c r="N144" s="27">
        <v>640440</v>
      </c>
      <c r="O144" s="38">
        <v>1.35131146892729</v>
      </c>
      <c r="P144" s="38">
        <v>103.72283625905899</v>
      </c>
      <c r="Q144" s="38" t="str" cm="1">
        <f t="array" ref="Q144">INDEX('MRT station dataset'!$C$3:$C$179, MATCH(MIN(SQRT(('MRT station dataset'!$E$3:$E$179-'Resale flat dataset'!O144)^2+('MRT station dataset'!$F$3:$F$179-'Resale flat dataset'!P144)^2)), SQRT(('MRT station dataset'!$E$3:$E$179-'Resale flat dataset'!O144)^2+('MRT station dataset'!$F$3:$F$179-'Resale flat dataset'!P144)^2), 0))</f>
        <v>LAKESIDE MRT STATION</v>
      </c>
      <c r="R144" s="38" t="str" cm="1">
        <f t="array" ref="R144">INDEX('Mall Dataset'!$B$3:$B$157, MATCH(MIN(SQRT(('Mall Dataset'!$E$3:$E$157-'Resale flat dataset'!O144)^2+('Mall Dataset'!$F$3:$F$157-'Resale flat dataset'!P144)^2)), SQRT(('Mall Dataset'!$E$3:$E$157-'Resale flat dataset'!O144)^2+('Mall Dataset'!$F$3:$F$157-'Resale flat dataset'!P144)^2), 0))</f>
        <v>Boon Lay Shopping Centre</v>
      </c>
      <c r="S144" s="38" t="str" cm="1">
        <f t="array" ref="S144">INDEX('Schools dataset'!$B$3:$B$187, MATCH(MIN(SQRT(('Schools dataset'!$J$3:$J$187-'Resale flat dataset'!O144)^2+('Schools dataset'!$K$3:$K$187-'Resale flat dataset'!P144)^2)), SQRT(('Schools dataset'!$J$3:$J$187-'Resale flat dataset'!O144)^2+('Schools dataset'!$K$3:$K$187-'Resale flat dataset'!P144)^2), 0))</f>
        <v>SHUQUN PRIMARY SCHOOL</v>
      </c>
      <c r="T144" s="39">
        <f>ACOS(COS(RADIANS(90-O144))*COS(RADIANS(90-_xlfn.XLOOKUP(Q144,'MRT station dataset'!$C$3:$C$179,'MRT station dataset'!$E$3:$E$179)))+SIN(RADIANS(90-O144))*SIN(RADIANS(90-_xlfn.XLOOKUP(Q144,'MRT station dataset'!$C$3:$C$179,'MRT station dataset'!$E$3:$E$179)))*COS(RADIANS(P144-_xlfn.XLOOKUP('Resale flat dataset'!Q144,'MRT station dataset'!$C$3:$C$179,'MRT station dataset'!$F$3:$F$179))))*6371*1000</f>
        <v>808.80625120825948</v>
      </c>
      <c r="U144" s="39">
        <f>ACOS(COS(RADIANS(90-O144))*COS(RADIANS(90-_xlfn.XLOOKUP(R144,'Mall Dataset'!$B$3:$B$157,'Mall Dataset'!$E$3:$E$157,,0)))+SIN(RADIANS(90-O144))*SIN(RADIANS(90-_xlfn.XLOOKUP(R144,'Mall Dataset'!$B$3:$B$157,'Mall Dataset'!$E$3:$E$157,,0)))*COS(RADIANS(P144-_xlfn.XLOOKUP(R144,'Mall Dataset'!$B$3:$B$157,'Mall Dataset'!$F$3:$F$157,,0))))*6371*1000</f>
        <v>1276.1878786874518</v>
      </c>
      <c r="V144" s="39">
        <f>ACOS(COS(RADIANS(90-O144))*COS(RADIANS(90-_xlfn.XLOOKUP(S144,'Schools dataset'!$B$3:$B$187,'Schools dataset'!$J$3:$J$187,,0)))+SIN(RADIANS(90-O144))*SIN(RADIANS(90-_xlfn.XLOOKUP(S144,'Schools dataset'!$B$3:$B$187,'Schools dataset'!$J$3:$J$187,,0)))*COS(RADIANS(P144-_xlfn.XLOOKUP(S144,'Schools dataset'!$B$3:$B$187,'Schools dataset'!$K$3:$K$187,,0))))*6371*1000</f>
        <v>439.8623649525972</v>
      </c>
      <c r="W144" s="20">
        <f>_xlfn.XLOOKUP(T144,'HDB Recommender'!$P$10:$P$39,'HDB Recommender'!$Q$10:$Q$39,"&gt;30mins",1)</f>
        <v>11</v>
      </c>
      <c r="X144" s="20">
        <f>_xlfn.XLOOKUP(U144,'HDB Recommender'!$P$10:$P$39,'HDB Recommender'!$Q$10:$Q$39,"&gt;30mins",1)</f>
        <v>18</v>
      </c>
      <c r="Y144" s="20">
        <f>_xlfn.XLOOKUP(V144,'HDB Recommender'!$P$10:$P$39,'HDB Recommender'!$Q$10:$Q$39,"&gt;30mins",1)</f>
        <v>6</v>
      </c>
      <c r="Z144" s="39">
        <f t="shared" si="5"/>
        <v>11.666666666666666</v>
      </c>
      <c r="AA144" s="20" t="str">
        <f t="shared" si="4"/>
        <v>Within 1km</v>
      </c>
    </row>
    <row r="145" spans="2:27" hidden="1">
      <c r="B145" s="35" t="s">
        <v>317</v>
      </c>
      <c r="C145" s="35" t="s">
        <v>566</v>
      </c>
      <c r="D145" s="35" t="s">
        <v>20</v>
      </c>
      <c r="E145" s="35">
        <v>488</v>
      </c>
      <c r="F145" s="35" t="s">
        <v>573</v>
      </c>
      <c r="G145" s="35" t="s">
        <v>184</v>
      </c>
      <c r="H145" s="35">
        <v>92</v>
      </c>
      <c r="I145" s="35" t="s">
        <v>320</v>
      </c>
      <c r="J145" s="36">
        <v>1985</v>
      </c>
      <c r="K145" s="39">
        <v>60.4166666666666</v>
      </c>
      <c r="L145" s="37">
        <v>485000</v>
      </c>
      <c r="M145" s="35" t="s">
        <v>575</v>
      </c>
      <c r="N145" s="27">
        <v>640488</v>
      </c>
      <c r="O145" s="38">
        <v>1.3490819484302701</v>
      </c>
      <c r="P145" s="38">
        <v>103.72619549188001</v>
      </c>
      <c r="Q145" s="38" t="str" cm="1">
        <f t="array" ref="Q145">INDEX('MRT station dataset'!$C$3:$C$179, MATCH(MIN(SQRT(('MRT station dataset'!$E$3:$E$179-'Resale flat dataset'!O145)^2+('MRT station dataset'!$F$3:$F$179-'Resale flat dataset'!P145)^2)), SQRT(('MRT station dataset'!$E$3:$E$179-'Resale flat dataset'!O145)^2+('MRT station dataset'!$F$3:$F$179-'Resale flat dataset'!P145)^2), 0))</f>
        <v>LAKESIDE MRT STATION</v>
      </c>
      <c r="R145" s="38" t="str" cm="1">
        <f t="array" ref="R145">INDEX('Mall Dataset'!$B$3:$B$157, MATCH(MIN(SQRT(('Mall Dataset'!$E$3:$E$157-'Resale flat dataset'!O145)^2+('Mall Dataset'!$F$3:$F$157-'Resale flat dataset'!P145)^2)), SQRT(('Mall Dataset'!$E$3:$E$157-'Resale flat dataset'!O145)^2+('Mall Dataset'!$F$3:$F$157-'Resale flat dataset'!P145)^2), 0))</f>
        <v>Boon Lay Shopping Centre</v>
      </c>
      <c r="S145" s="38" t="str" cm="1">
        <f t="array" ref="S145">INDEX('Schools dataset'!$B$3:$B$187, MATCH(MIN(SQRT(('Schools dataset'!$J$3:$J$187-'Resale flat dataset'!O145)^2+('Schools dataset'!$K$3:$K$187-'Resale flat dataset'!P145)^2)), SQRT(('Schools dataset'!$J$3:$J$187-'Resale flat dataset'!O145)^2+('Schools dataset'!$K$3:$K$187-'Resale flat dataset'!P145)^2), 0))</f>
        <v>SHUQUN PRIMARY SCHOOL</v>
      </c>
      <c r="T145" s="39">
        <f>ACOS(COS(RADIANS(90-O145))*COS(RADIANS(90-_xlfn.XLOOKUP(Q145,'MRT station dataset'!$C$3:$C$179,'MRT station dataset'!$E$3:$E$179)))+SIN(RADIANS(90-O145))*SIN(RADIANS(90-_xlfn.XLOOKUP(Q145,'MRT station dataset'!$C$3:$C$179,'MRT station dataset'!$E$3:$E$179)))*COS(RADIANS(P145-_xlfn.XLOOKUP('Resale flat dataset'!Q145,'MRT station dataset'!$C$3:$C$179,'MRT station dataset'!$F$3:$F$179))))*6371*1000</f>
        <v>793.26320001642353</v>
      </c>
      <c r="U145" s="39">
        <f>ACOS(COS(RADIANS(90-O145))*COS(RADIANS(90-_xlfn.XLOOKUP(R145,'Mall Dataset'!$B$3:$B$157,'Mall Dataset'!$E$3:$E$157,,0)))+SIN(RADIANS(90-O145))*SIN(RADIANS(90-_xlfn.XLOOKUP(R145,'Mall Dataset'!$B$3:$B$157,'Mall Dataset'!$E$3:$E$157,,0)))*COS(RADIANS(P145-_xlfn.XLOOKUP(R145,'Mall Dataset'!$B$3:$B$157,'Mall Dataset'!$F$3:$F$157,,0))))*6371*1000</f>
        <v>1554.908373639769</v>
      </c>
      <c r="V145" s="39">
        <f>ACOS(COS(RADIANS(90-O145))*COS(RADIANS(90-_xlfn.XLOOKUP(S145,'Schools dataset'!$B$3:$B$187,'Schools dataset'!$J$3:$J$187,,0)))+SIN(RADIANS(90-O145))*SIN(RADIANS(90-_xlfn.XLOOKUP(S145,'Schools dataset'!$B$3:$B$187,'Schools dataset'!$J$3:$J$187,,0)))*COS(RADIANS(P145-_xlfn.XLOOKUP(S145,'Schools dataset'!$B$3:$B$187,'Schools dataset'!$K$3:$K$187,,0))))*6371*1000</f>
        <v>551.56115627616259</v>
      </c>
      <c r="W145" s="20">
        <f>_xlfn.XLOOKUP(T145,'HDB Recommender'!$P$10:$P$39,'HDB Recommender'!$Q$10:$Q$39,"&gt;30mins",1)</f>
        <v>11</v>
      </c>
      <c r="X145" s="20">
        <f>_xlfn.XLOOKUP(U145,'HDB Recommender'!$P$10:$P$39,'HDB Recommender'!$Q$10:$Q$39,"&gt;30mins",1)</f>
        <v>21</v>
      </c>
      <c r="Y145" s="20">
        <f>_xlfn.XLOOKUP(V145,'HDB Recommender'!$P$10:$P$39,'HDB Recommender'!$Q$10:$Q$39,"&gt;30mins",1)</f>
        <v>8</v>
      </c>
      <c r="Z145" s="39">
        <f t="shared" si="5"/>
        <v>13.333333333333334</v>
      </c>
      <c r="AA145" s="20" t="str">
        <f t="shared" si="4"/>
        <v>Within 1km</v>
      </c>
    </row>
    <row r="146" spans="2:27" hidden="1">
      <c r="B146" s="35" t="s">
        <v>317</v>
      </c>
      <c r="C146" s="35" t="s">
        <v>566</v>
      </c>
      <c r="D146" s="35" t="s">
        <v>20</v>
      </c>
      <c r="E146" s="35">
        <v>538</v>
      </c>
      <c r="F146" s="35" t="s">
        <v>573</v>
      </c>
      <c r="G146" s="35" t="s">
        <v>189</v>
      </c>
      <c r="H146" s="35">
        <v>104</v>
      </c>
      <c r="I146" s="35" t="s">
        <v>335</v>
      </c>
      <c r="J146" s="36">
        <v>1984</v>
      </c>
      <c r="K146" s="39">
        <v>60.0833333333333</v>
      </c>
      <c r="L146" s="37">
        <v>500000</v>
      </c>
      <c r="M146" s="35" t="s">
        <v>576</v>
      </c>
      <c r="N146" s="27">
        <v>640538</v>
      </c>
      <c r="O146" s="38">
        <v>1.34999389867275</v>
      </c>
      <c r="P146" s="38">
        <v>103.71547303846</v>
      </c>
      <c r="Q146" s="38" t="str" cm="1">
        <f t="array" ref="Q146">INDEX('MRT station dataset'!$C$3:$C$179, MATCH(MIN(SQRT(('MRT station dataset'!$E$3:$E$179-'Resale flat dataset'!O146)^2+('MRT station dataset'!$F$3:$F$179-'Resale flat dataset'!P146)^2)), SQRT(('MRT station dataset'!$E$3:$E$179-'Resale flat dataset'!O146)^2+('MRT station dataset'!$F$3:$F$179-'Resale flat dataset'!P146)^2), 0))</f>
        <v>LAKESIDE MRT STATION</v>
      </c>
      <c r="R146" s="38" t="str" cm="1">
        <f t="array" ref="R146">INDEX('Mall Dataset'!$B$3:$B$157, MATCH(MIN(SQRT(('Mall Dataset'!$E$3:$E$157-'Resale flat dataset'!O146)^2+('Mall Dataset'!$F$3:$F$157-'Resale flat dataset'!P146)^2)), SQRT(('Mall Dataset'!$E$3:$E$157-'Resale flat dataset'!O146)^2+('Mall Dataset'!$F$3:$F$157-'Resale flat dataset'!P146)^2), 0))</f>
        <v>Boon Lay Shopping Centre</v>
      </c>
      <c r="S146" s="38" t="str" cm="1">
        <f t="array" ref="S146">INDEX('Schools dataset'!$B$3:$B$187, MATCH(MIN(SQRT(('Schools dataset'!$J$3:$J$187-'Resale flat dataset'!O146)^2+('Schools dataset'!$K$3:$K$187-'Resale flat dataset'!P146)^2)), SQRT(('Schools dataset'!$J$3:$J$187-'Resale flat dataset'!O146)^2+('Schools dataset'!$K$3:$K$187-'Resale flat dataset'!P146)^2), 0))</f>
        <v>RULANG PRIMARY SCHOOL</v>
      </c>
      <c r="T146" s="39">
        <f>ACOS(COS(RADIANS(90-O146))*COS(RADIANS(90-_xlfn.XLOOKUP(Q146,'MRT station dataset'!$C$3:$C$179,'MRT station dataset'!$E$3:$E$179)))+SIN(RADIANS(90-O146))*SIN(RADIANS(90-_xlfn.XLOOKUP(Q146,'MRT station dataset'!$C$3:$C$179,'MRT station dataset'!$E$3:$E$179)))*COS(RADIANS(P146-_xlfn.XLOOKUP('Resale flat dataset'!Q146,'MRT station dataset'!$C$3:$C$179,'MRT station dataset'!$F$3:$F$179))))*6371*1000</f>
        <v>874.53317550637655</v>
      </c>
      <c r="U146" s="39">
        <f>ACOS(COS(RADIANS(90-O146))*COS(RADIANS(90-_xlfn.XLOOKUP(R146,'Mall Dataset'!$B$3:$B$157,'Mall Dataset'!$E$3:$E$157,,0)))+SIN(RADIANS(90-O146))*SIN(RADIANS(90-_xlfn.XLOOKUP(R146,'Mall Dataset'!$B$3:$B$157,'Mall Dataset'!$E$3:$E$157,,0)))*COS(RADIANS(P146-_xlfn.XLOOKUP(R146,'Mall Dataset'!$B$3:$B$157,'Mall Dataset'!$F$3:$F$157,,0))))*6371*1000</f>
        <v>522.75458719344908</v>
      </c>
      <c r="V146" s="39">
        <f>ACOS(COS(RADIANS(90-O146))*COS(RADIANS(90-_xlfn.XLOOKUP(S146,'Schools dataset'!$B$3:$B$187,'Schools dataset'!$J$3:$J$187,,0)))+SIN(RADIANS(90-O146))*SIN(RADIANS(90-_xlfn.XLOOKUP(S146,'Schools dataset'!$B$3:$B$187,'Schools dataset'!$J$3:$J$187,,0)))*COS(RADIANS(P146-_xlfn.XLOOKUP(S146,'Schools dataset'!$B$3:$B$187,'Schools dataset'!$K$3:$K$187,,0))))*6371*1000</f>
        <v>482.57915723122949</v>
      </c>
      <c r="W146" s="20">
        <f>_xlfn.XLOOKUP(T146,'HDB Recommender'!$P$10:$P$39,'HDB Recommender'!$Q$10:$Q$39,"&gt;30mins",1)</f>
        <v>12</v>
      </c>
      <c r="X146" s="20">
        <f>_xlfn.XLOOKUP(U146,'HDB Recommender'!$P$10:$P$39,'HDB Recommender'!$Q$10:$Q$39,"&gt;30mins",1)</f>
        <v>7</v>
      </c>
      <c r="Y146" s="20">
        <f>_xlfn.XLOOKUP(V146,'HDB Recommender'!$P$10:$P$39,'HDB Recommender'!$Q$10:$Q$39,"&gt;30mins",1)</f>
        <v>7</v>
      </c>
      <c r="Z146" s="39">
        <f t="shared" si="5"/>
        <v>8.6666666666666661</v>
      </c>
      <c r="AA146" s="20" t="str">
        <f t="shared" si="4"/>
        <v>Within 1km</v>
      </c>
    </row>
    <row r="147" spans="2:27" hidden="1">
      <c r="B147" s="35" t="s">
        <v>317</v>
      </c>
      <c r="C147" s="35" t="s">
        <v>566</v>
      </c>
      <c r="D147" s="35" t="s">
        <v>20</v>
      </c>
      <c r="E147" s="35">
        <v>550</v>
      </c>
      <c r="F147" s="35" t="s">
        <v>577</v>
      </c>
      <c r="G147" s="35" t="s">
        <v>189</v>
      </c>
      <c r="H147" s="35">
        <v>106</v>
      </c>
      <c r="I147" s="35" t="s">
        <v>335</v>
      </c>
      <c r="J147" s="36">
        <v>1985</v>
      </c>
      <c r="K147" s="39">
        <v>60.5833333333333</v>
      </c>
      <c r="L147" s="37">
        <v>470000</v>
      </c>
      <c r="M147" s="35" t="s">
        <v>578</v>
      </c>
      <c r="N147" s="27">
        <v>640550</v>
      </c>
      <c r="O147" s="38">
        <v>1.3528049125739301</v>
      </c>
      <c r="P147" s="38">
        <v>103.716740537175</v>
      </c>
      <c r="Q147" s="38" t="str" cm="1">
        <f t="array" ref="Q147">INDEX('MRT station dataset'!$C$3:$C$179, MATCH(MIN(SQRT(('MRT station dataset'!$E$3:$E$179-'Resale flat dataset'!O147)^2+('MRT station dataset'!$F$3:$F$179-'Resale flat dataset'!P147)^2)), SQRT(('MRT station dataset'!$E$3:$E$179-'Resale flat dataset'!O147)^2+('MRT station dataset'!$F$3:$F$179-'Resale flat dataset'!P147)^2), 0))</f>
        <v>LAKESIDE MRT STATION</v>
      </c>
      <c r="R147" s="38" t="str" cm="1">
        <f t="array" ref="R147">INDEX('Mall Dataset'!$B$3:$B$157, MATCH(MIN(SQRT(('Mall Dataset'!$E$3:$E$157-'Resale flat dataset'!O147)^2+('Mall Dataset'!$F$3:$F$157-'Resale flat dataset'!P147)^2)), SQRT(('Mall Dataset'!$E$3:$E$157-'Resale flat dataset'!O147)^2+('Mall Dataset'!$F$3:$F$157-'Resale flat dataset'!P147)^2), 0))</f>
        <v>Boon Lay Shopping Centre</v>
      </c>
      <c r="S147" s="38" t="str" cm="1">
        <f t="array" ref="S147">INDEX('Schools dataset'!$B$3:$B$187, MATCH(MIN(SQRT(('Schools dataset'!$J$3:$J$187-'Resale flat dataset'!O147)^2+('Schools dataset'!$K$3:$K$187-'Resale flat dataset'!P147)^2)), SQRT(('Schools dataset'!$J$3:$J$187-'Resale flat dataset'!O147)^2+('Schools dataset'!$K$3:$K$187-'Resale flat dataset'!P147)^2), 0))</f>
        <v>RULANG PRIMARY SCHOOL</v>
      </c>
      <c r="T147" s="39">
        <f>ACOS(COS(RADIANS(90-O147))*COS(RADIANS(90-_xlfn.XLOOKUP(Q147,'MRT station dataset'!$C$3:$C$179,'MRT station dataset'!$E$3:$E$179)))+SIN(RADIANS(90-O147))*SIN(RADIANS(90-_xlfn.XLOOKUP(Q147,'MRT station dataset'!$C$3:$C$179,'MRT station dataset'!$E$3:$E$179)))*COS(RADIANS(P147-_xlfn.XLOOKUP('Resale flat dataset'!Q147,'MRT station dataset'!$C$3:$C$179,'MRT station dataset'!$F$3:$F$179))))*6371*1000</f>
        <v>1052.6882237194104</v>
      </c>
      <c r="U147" s="39">
        <f>ACOS(COS(RADIANS(90-O147))*COS(RADIANS(90-_xlfn.XLOOKUP(R147,'Mall Dataset'!$B$3:$B$157,'Mall Dataset'!$E$3:$E$157,,0)))+SIN(RADIANS(90-O147))*SIN(RADIANS(90-_xlfn.XLOOKUP(R147,'Mall Dataset'!$B$3:$B$157,'Mall Dataset'!$E$3:$E$157,,0)))*COS(RADIANS(P147-_xlfn.XLOOKUP(R147,'Mall Dataset'!$B$3:$B$157,'Mall Dataset'!$F$3:$F$157,,0))))*6371*1000</f>
        <v>858.16971524896962</v>
      </c>
      <c r="V147" s="39">
        <f>ACOS(COS(RADIANS(90-O147))*COS(RADIANS(90-_xlfn.XLOOKUP(S147,'Schools dataset'!$B$3:$B$187,'Schools dataset'!$J$3:$J$187,,0)))+SIN(RADIANS(90-O147))*SIN(RADIANS(90-_xlfn.XLOOKUP(S147,'Schools dataset'!$B$3:$B$187,'Schools dataset'!$J$3:$J$187,,0)))*COS(RADIANS(P147-_xlfn.XLOOKUP(S147,'Schools dataset'!$B$3:$B$187,'Schools dataset'!$K$3:$K$187,,0))))*6371*1000</f>
        <v>664.52053077373341</v>
      </c>
      <c r="W147" s="20">
        <f>_xlfn.XLOOKUP(T147,'HDB Recommender'!$P$10:$P$39,'HDB Recommender'!$Q$10:$Q$39,"&gt;30mins",1)</f>
        <v>15</v>
      </c>
      <c r="X147" s="20">
        <f>_xlfn.XLOOKUP(U147,'HDB Recommender'!$P$10:$P$39,'HDB Recommender'!$Q$10:$Q$39,"&gt;30mins",1)</f>
        <v>12</v>
      </c>
      <c r="Y147" s="20">
        <f>_xlfn.XLOOKUP(V147,'HDB Recommender'!$P$10:$P$39,'HDB Recommender'!$Q$10:$Q$39,"&gt;30mins",1)</f>
        <v>9</v>
      </c>
      <c r="Z147" s="39">
        <f t="shared" si="5"/>
        <v>12</v>
      </c>
      <c r="AA147" s="20" t="str">
        <f t="shared" si="4"/>
        <v>Within 1km</v>
      </c>
    </row>
    <row r="148" spans="2:27" hidden="1">
      <c r="B148" s="35" t="s">
        <v>317</v>
      </c>
      <c r="C148" s="35" t="s">
        <v>566</v>
      </c>
      <c r="D148" s="35" t="s">
        <v>20</v>
      </c>
      <c r="E148" s="35">
        <v>640</v>
      </c>
      <c r="F148" s="35" t="s">
        <v>579</v>
      </c>
      <c r="G148" s="35" t="s">
        <v>349</v>
      </c>
      <c r="H148" s="35">
        <v>101</v>
      </c>
      <c r="I148" s="35" t="s">
        <v>335</v>
      </c>
      <c r="J148" s="36">
        <v>1998</v>
      </c>
      <c r="K148" s="39">
        <v>73.8333333333333</v>
      </c>
      <c r="L148" s="37">
        <v>455000</v>
      </c>
      <c r="M148" s="35" t="s">
        <v>580</v>
      </c>
      <c r="N148" s="27">
        <v>640640</v>
      </c>
      <c r="O148" s="38">
        <v>1.3401298268563799</v>
      </c>
      <c r="P148" s="38">
        <v>103.69664826047899</v>
      </c>
      <c r="Q148" s="38" t="str" cm="1">
        <f t="array" ref="Q148">INDEX('MRT station dataset'!$C$3:$C$179, MATCH(MIN(SQRT(('MRT station dataset'!$E$3:$E$179-'Resale flat dataset'!O148)^2+('MRT station dataset'!$F$3:$F$179-'Resale flat dataset'!P148)^2)), SQRT(('MRT station dataset'!$E$3:$E$179-'Resale flat dataset'!O148)^2+('MRT station dataset'!$F$3:$F$179-'Resale flat dataset'!P148)^2), 0))</f>
        <v>PIONEER MRT STATION</v>
      </c>
      <c r="R148" s="38" t="str" cm="1">
        <f t="array" ref="R148">INDEX('Mall Dataset'!$B$3:$B$157, MATCH(MIN(SQRT(('Mall Dataset'!$E$3:$E$157-'Resale flat dataset'!O148)^2+('Mall Dataset'!$F$3:$F$157-'Resale flat dataset'!P148)^2)), SQRT(('Mall Dataset'!$E$3:$E$157-'Resale flat dataset'!O148)^2+('Mall Dataset'!$F$3:$F$157-'Resale flat dataset'!P148)^2), 0))</f>
        <v>Pioneer Mall</v>
      </c>
      <c r="S148" s="38" t="str" cm="1">
        <f t="array" ref="S148">INDEX('Schools dataset'!$B$3:$B$187, MATCH(MIN(SQRT(('Schools dataset'!$J$3:$J$187-'Resale flat dataset'!O148)^2+('Schools dataset'!$K$3:$K$187-'Resale flat dataset'!P148)^2)), SQRT(('Schools dataset'!$J$3:$J$187-'Resale flat dataset'!O148)^2+('Schools dataset'!$K$3:$K$187-'Resale flat dataset'!P148)^2), 0))</f>
        <v>JURONG WEST PRIMARY SCHOOL</v>
      </c>
      <c r="T148" s="39">
        <f>ACOS(COS(RADIANS(90-O148))*COS(RADIANS(90-_xlfn.XLOOKUP(Q148,'MRT station dataset'!$C$3:$C$179,'MRT station dataset'!$E$3:$E$179)))+SIN(RADIANS(90-O148))*SIN(RADIANS(90-_xlfn.XLOOKUP(Q148,'MRT station dataset'!$C$3:$C$179,'MRT station dataset'!$E$3:$E$179)))*COS(RADIANS(P148-_xlfn.XLOOKUP('Resale flat dataset'!Q148,'MRT station dataset'!$C$3:$C$179,'MRT station dataset'!$F$3:$F$179))))*6371*1000</f>
        <v>290.48398594412328</v>
      </c>
      <c r="U148" s="39">
        <f>ACOS(COS(RADIANS(90-O148))*COS(RADIANS(90-_xlfn.XLOOKUP(R148,'Mall Dataset'!$B$3:$B$157,'Mall Dataset'!$E$3:$E$157,,0)))+SIN(RADIANS(90-O148))*SIN(RADIANS(90-_xlfn.XLOOKUP(R148,'Mall Dataset'!$B$3:$B$157,'Mall Dataset'!$E$3:$E$157,,0)))*COS(RADIANS(P148-_xlfn.XLOOKUP(R148,'Mall Dataset'!$B$3:$B$157,'Mall Dataset'!$F$3:$F$157,,0))))*6371*1000</f>
        <v>183.34513220173611</v>
      </c>
      <c r="V148" s="39">
        <f>ACOS(COS(RADIANS(90-O148))*COS(RADIANS(90-_xlfn.XLOOKUP(S148,'Schools dataset'!$B$3:$B$187,'Schools dataset'!$J$3:$J$187,,0)))+SIN(RADIANS(90-O148))*SIN(RADIANS(90-_xlfn.XLOOKUP(S148,'Schools dataset'!$B$3:$B$187,'Schools dataset'!$J$3:$J$187,,0)))*COS(RADIANS(P148-_xlfn.XLOOKUP(S148,'Schools dataset'!$B$3:$B$187,'Schools dataset'!$K$3:$K$187,,0))))*6371*1000</f>
        <v>262.07196369631845</v>
      </c>
      <c r="W148" s="20">
        <f>_xlfn.XLOOKUP(T148,'HDB Recommender'!$P$10:$P$39,'HDB Recommender'!$Q$10:$Q$39,"&gt;30mins",1)</f>
        <v>4</v>
      </c>
      <c r="X148" s="20">
        <f>_xlfn.XLOOKUP(U148,'HDB Recommender'!$P$10:$P$39,'HDB Recommender'!$Q$10:$Q$39,"&gt;30mins",1)</f>
        <v>3</v>
      </c>
      <c r="Y148" s="20">
        <f>_xlfn.XLOOKUP(V148,'HDB Recommender'!$P$10:$P$39,'HDB Recommender'!$Q$10:$Q$39,"&gt;30mins",1)</f>
        <v>4</v>
      </c>
      <c r="Z148" s="39">
        <f t="shared" si="5"/>
        <v>3.6666666666666665</v>
      </c>
      <c r="AA148" s="20" t="str">
        <f t="shared" si="4"/>
        <v>Within 1km</v>
      </c>
    </row>
    <row r="149" spans="2:27" hidden="1">
      <c r="B149" s="35" t="s">
        <v>317</v>
      </c>
      <c r="C149" s="35" t="s">
        <v>566</v>
      </c>
      <c r="D149" s="35" t="s">
        <v>20</v>
      </c>
      <c r="E149" s="35"/>
      <c r="F149" s="35" t="s">
        <v>579</v>
      </c>
      <c r="G149" s="35" t="s">
        <v>189</v>
      </c>
      <c r="H149" s="35">
        <v>90</v>
      </c>
      <c r="I149" s="35" t="s">
        <v>335</v>
      </c>
      <c r="J149" s="36">
        <v>2000</v>
      </c>
      <c r="K149" s="39">
        <v>76.1666666666666</v>
      </c>
      <c r="L149" s="37">
        <v>500000</v>
      </c>
      <c r="M149" s="35" t="s">
        <v>581</v>
      </c>
      <c r="N149" s="27">
        <v>641650</v>
      </c>
      <c r="O149" s="38">
        <v>1.33801867728359</v>
      </c>
      <c r="P149" s="38">
        <v>103.696904315506</v>
      </c>
      <c r="Q149" s="38" t="str" cm="1">
        <f t="array" ref="Q149">INDEX('MRT station dataset'!$C$3:$C$179, MATCH(MIN(SQRT(('MRT station dataset'!$E$3:$E$179-'Resale flat dataset'!O149)^2+('MRT station dataset'!$F$3:$F$179-'Resale flat dataset'!P149)^2)), SQRT(('MRT station dataset'!$E$3:$E$179-'Resale flat dataset'!O149)^2+('MRT station dataset'!$F$3:$F$179-'Resale flat dataset'!P149)^2), 0))</f>
        <v>PIONEER MRT STATION</v>
      </c>
      <c r="R149" s="38" t="str" cm="1">
        <f t="array" ref="R149">INDEX('Mall Dataset'!$B$3:$B$157, MATCH(MIN(SQRT(('Mall Dataset'!$E$3:$E$157-'Resale flat dataset'!O149)^2+('Mall Dataset'!$F$3:$F$157-'Resale flat dataset'!P149)^2)), SQRT(('Mall Dataset'!$E$3:$E$157-'Resale flat dataset'!O149)^2+('Mall Dataset'!$F$3:$F$157-'Resale flat dataset'!P149)^2), 0))</f>
        <v>Pioneer Mall</v>
      </c>
      <c r="S149" s="38" t="str" cm="1">
        <f t="array" ref="S149">INDEX('Schools dataset'!$B$3:$B$187, MATCH(MIN(SQRT(('Schools dataset'!$J$3:$J$187-'Resale flat dataset'!O149)^2+('Schools dataset'!$K$3:$K$187-'Resale flat dataset'!P149)^2)), SQRT(('Schools dataset'!$J$3:$J$187-'Resale flat dataset'!O149)^2+('Schools dataset'!$K$3:$K$187-'Resale flat dataset'!P149)^2), 0))</f>
        <v>JURONG WEST PRIMARY SCHOOL</v>
      </c>
      <c r="T149" s="39">
        <f>ACOS(COS(RADIANS(90-O149))*COS(RADIANS(90-_xlfn.XLOOKUP(Q149,'MRT station dataset'!$C$3:$C$179,'MRT station dataset'!$E$3:$E$179)))+SIN(RADIANS(90-O149))*SIN(RADIANS(90-_xlfn.XLOOKUP(Q149,'MRT station dataset'!$C$3:$C$179,'MRT station dataset'!$E$3:$E$179)))*COS(RADIANS(P149-_xlfn.XLOOKUP('Resale flat dataset'!Q149,'MRT station dataset'!$C$3:$C$179,'MRT station dataset'!$F$3:$F$179))))*6371*1000</f>
        <v>64.047843896528178</v>
      </c>
      <c r="U149" s="39">
        <f>ACOS(COS(RADIANS(90-O149))*COS(RADIANS(90-_xlfn.XLOOKUP(R149,'Mall Dataset'!$B$3:$B$157,'Mall Dataset'!$E$3:$E$157,,0)))+SIN(RADIANS(90-O149))*SIN(RADIANS(90-_xlfn.XLOOKUP(R149,'Mall Dataset'!$B$3:$B$157,'Mall Dataset'!$E$3:$E$157,,0)))*COS(RADIANS(P149-_xlfn.XLOOKUP(R149,'Mall Dataset'!$B$3:$B$157,'Mall Dataset'!$F$3:$F$157,,0))))*6371*1000</f>
        <v>409.60391831373943</v>
      </c>
      <c r="V149" s="39">
        <f>ACOS(COS(RADIANS(90-O149))*COS(RADIANS(90-_xlfn.XLOOKUP(S149,'Schools dataset'!$B$3:$B$187,'Schools dataset'!$J$3:$J$187,,0)))+SIN(RADIANS(90-O149))*SIN(RADIANS(90-_xlfn.XLOOKUP(S149,'Schools dataset'!$B$3:$B$187,'Schools dataset'!$J$3:$J$187,,0)))*COS(RADIANS(P149-_xlfn.XLOOKUP(S149,'Schools dataset'!$B$3:$B$187,'Schools dataset'!$K$3:$K$187,,0))))*6371*1000</f>
        <v>247.22699163753381</v>
      </c>
      <c r="W149" s="20">
        <f>_xlfn.XLOOKUP(T149,'HDB Recommender'!$P$10:$P$39,'HDB Recommender'!$Q$10:$Q$39,"&gt;30mins",1)</f>
        <v>2</v>
      </c>
      <c r="X149" s="20">
        <f>_xlfn.XLOOKUP(U149,'HDB Recommender'!$P$10:$P$39,'HDB Recommender'!$Q$10:$Q$39,"&gt;30mins",1)</f>
        <v>6</v>
      </c>
      <c r="Y149" s="20">
        <f>_xlfn.XLOOKUP(V149,'HDB Recommender'!$P$10:$P$39,'HDB Recommender'!$Q$10:$Q$39,"&gt;30mins",1)</f>
        <v>4</v>
      </c>
      <c r="Z149" s="39">
        <f t="shared" si="5"/>
        <v>4</v>
      </c>
      <c r="AA149" s="20" t="str">
        <f t="shared" si="4"/>
        <v>Within 1km</v>
      </c>
    </row>
    <row r="150" spans="2:27" hidden="1">
      <c r="B150" s="35" t="s">
        <v>317</v>
      </c>
      <c r="C150" s="35" t="s">
        <v>566</v>
      </c>
      <c r="D150" s="35" t="s">
        <v>20</v>
      </c>
      <c r="E150" s="35"/>
      <c r="F150" s="35" t="s">
        <v>582</v>
      </c>
      <c r="G150" s="35" t="s">
        <v>346</v>
      </c>
      <c r="H150" s="35">
        <v>93</v>
      </c>
      <c r="I150" s="35" t="s">
        <v>389</v>
      </c>
      <c r="J150" s="36">
        <v>2000</v>
      </c>
      <c r="K150" s="39">
        <v>76</v>
      </c>
      <c r="L150" s="37">
        <v>530000</v>
      </c>
      <c r="M150" s="35" t="s">
        <v>583</v>
      </c>
      <c r="N150" s="27">
        <v>641684</v>
      </c>
      <c r="O150" s="38">
        <v>1.3439983737952099</v>
      </c>
      <c r="P150" s="38">
        <v>103.703927197949</v>
      </c>
      <c r="Q150" s="38" t="str" cm="1">
        <f t="array" ref="Q150">INDEX('MRT station dataset'!$C$3:$C$179, MATCH(MIN(SQRT(('MRT station dataset'!$E$3:$E$179-'Resale flat dataset'!O150)^2+('MRT station dataset'!$F$3:$F$179-'Resale flat dataset'!P150)^2)), SQRT(('MRT station dataset'!$E$3:$E$179-'Resale flat dataset'!O150)^2+('MRT station dataset'!$F$3:$F$179-'Resale flat dataset'!P150)^2), 0))</f>
        <v>BOON LAY MRT STATION</v>
      </c>
      <c r="R150" s="38" t="str" cm="1">
        <f t="array" ref="R150">INDEX('Mall Dataset'!$B$3:$B$157, MATCH(MIN(SQRT(('Mall Dataset'!$E$3:$E$157-'Resale flat dataset'!O150)^2+('Mall Dataset'!$F$3:$F$157-'Resale flat dataset'!P150)^2)), SQRT(('Mall Dataset'!$E$3:$E$157-'Resale flat dataset'!O150)^2+('Mall Dataset'!$F$3:$F$157-'Resale flat dataset'!P150)^2), 0))</f>
        <v>Jurong Point</v>
      </c>
      <c r="S150" s="38" t="str" cm="1">
        <f t="array" ref="S150">INDEX('Schools dataset'!$B$3:$B$187, MATCH(MIN(SQRT(('Schools dataset'!$J$3:$J$187-'Resale flat dataset'!O150)^2+('Schools dataset'!$K$3:$K$187-'Resale flat dataset'!P150)^2)), SQRT(('Schools dataset'!$J$3:$J$187-'Resale flat dataset'!O150)^2+('Schools dataset'!$K$3:$K$187-'Resale flat dataset'!P150)^2), 0))</f>
        <v>RIVER VALLEY HIGH SCHOOL</v>
      </c>
      <c r="T150" s="39">
        <f>ACOS(COS(RADIANS(90-O150))*COS(RADIANS(90-_xlfn.XLOOKUP(Q150,'MRT station dataset'!$C$3:$C$179,'MRT station dataset'!$E$3:$E$179)))+SIN(RADIANS(90-O150))*SIN(RADIANS(90-_xlfn.XLOOKUP(Q150,'MRT station dataset'!$C$3:$C$179,'MRT station dataset'!$E$3:$E$179)))*COS(RADIANS(P150-_xlfn.XLOOKUP('Resale flat dataset'!Q150,'MRT station dataset'!$C$3:$C$179,'MRT station dataset'!$F$3:$F$179))))*6371*1000</f>
        <v>647.04481026098563</v>
      </c>
      <c r="U150" s="39">
        <f>ACOS(COS(RADIANS(90-O150))*COS(RADIANS(90-_xlfn.XLOOKUP(R150,'Mall Dataset'!$B$3:$B$157,'Mall Dataset'!$E$3:$E$157,,0)))+SIN(RADIANS(90-O150))*SIN(RADIANS(90-_xlfn.XLOOKUP(R150,'Mall Dataset'!$B$3:$B$157,'Mall Dataset'!$E$3:$E$157,,0)))*COS(RADIANS(P150-_xlfn.XLOOKUP(R150,'Mall Dataset'!$B$3:$B$157,'Mall Dataset'!$F$3:$F$157,,0))))*6371*1000</f>
        <v>591.22718880149284</v>
      </c>
      <c r="V150" s="39">
        <f>ACOS(COS(RADIANS(90-O150))*COS(RADIANS(90-_xlfn.XLOOKUP(S150,'Schools dataset'!$B$3:$B$187,'Schools dataset'!$J$3:$J$187,,0)))+SIN(RADIANS(90-O150))*SIN(RADIANS(90-_xlfn.XLOOKUP(S150,'Schools dataset'!$B$3:$B$187,'Schools dataset'!$J$3:$J$187,,0)))*COS(RADIANS(P150-_xlfn.XLOOKUP(S150,'Schools dataset'!$B$3:$B$187,'Schools dataset'!$K$3:$K$187,,0))))*6371*1000</f>
        <v>478.58171850632704</v>
      </c>
      <c r="W150" s="20">
        <f>_xlfn.XLOOKUP(T150,'HDB Recommender'!$P$10:$P$39,'HDB Recommender'!$Q$10:$Q$39,"&gt;30mins",1)</f>
        <v>9</v>
      </c>
      <c r="X150" s="20">
        <f>_xlfn.XLOOKUP(U150,'HDB Recommender'!$P$10:$P$39,'HDB Recommender'!$Q$10:$Q$39,"&gt;30mins",1)</f>
        <v>8</v>
      </c>
      <c r="Y150" s="20">
        <f>_xlfn.XLOOKUP(V150,'HDB Recommender'!$P$10:$P$39,'HDB Recommender'!$Q$10:$Q$39,"&gt;30mins",1)</f>
        <v>7</v>
      </c>
      <c r="Z150" s="39">
        <f t="shared" si="5"/>
        <v>8</v>
      </c>
      <c r="AA150" s="20" t="str">
        <f t="shared" si="4"/>
        <v>Within 1km</v>
      </c>
    </row>
    <row r="151" spans="2:27" hidden="1">
      <c r="B151" s="35" t="s">
        <v>317</v>
      </c>
      <c r="C151" s="35" t="s">
        <v>566</v>
      </c>
      <c r="D151" s="35" t="s">
        <v>20</v>
      </c>
      <c r="E151" s="35"/>
      <c r="F151" s="35" t="s">
        <v>582</v>
      </c>
      <c r="G151" s="35" t="s">
        <v>323</v>
      </c>
      <c r="H151" s="35">
        <v>92</v>
      </c>
      <c r="I151" s="35" t="s">
        <v>389</v>
      </c>
      <c r="J151" s="36">
        <v>2008</v>
      </c>
      <c r="K151" s="39">
        <v>83.75</v>
      </c>
      <c r="L151" s="37">
        <v>490000</v>
      </c>
      <c r="M151" s="35" t="s">
        <v>584</v>
      </c>
      <c r="N151" s="27">
        <v>641675</v>
      </c>
      <c r="O151" s="38">
        <v>1.34542576991263</v>
      </c>
      <c r="P151" s="38">
        <v>103.703464632989</v>
      </c>
      <c r="Q151" s="38" t="str" cm="1">
        <f t="array" ref="Q151">INDEX('MRT station dataset'!$C$3:$C$179, MATCH(MIN(SQRT(('MRT station dataset'!$E$3:$E$179-'Resale flat dataset'!O151)^2+('MRT station dataset'!$F$3:$F$179-'Resale flat dataset'!P151)^2)), SQRT(('MRT station dataset'!$E$3:$E$179-'Resale flat dataset'!O151)^2+('MRT station dataset'!$F$3:$F$179-'Resale flat dataset'!P151)^2), 0))</f>
        <v>BOON LAY MRT STATION</v>
      </c>
      <c r="R151" s="38" t="str" cm="1">
        <f t="array" ref="R151">INDEX('Mall Dataset'!$B$3:$B$157, MATCH(MIN(SQRT(('Mall Dataset'!$E$3:$E$157-'Resale flat dataset'!O151)^2+('Mall Dataset'!$F$3:$F$157-'Resale flat dataset'!P151)^2)), SQRT(('Mall Dataset'!$E$3:$E$157-'Resale flat dataset'!O151)^2+('Mall Dataset'!$F$3:$F$157-'Resale flat dataset'!P151)^2), 0))</f>
        <v>Gek Poh Shopping Centre</v>
      </c>
      <c r="S151" s="38" t="str" cm="1">
        <f t="array" ref="S151">INDEX('Schools dataset'!$B$3:$B$187, MATCH(MIN(SQRT(('Schools dataset'!$J$3:$J$187-'Resale flat dataset'!O151)^2+('Schools dataset'!$K$3:$K$187-'Resale flat dataset'!P151)^2)), SQRT(('Schools dataset'!$J$3:$J$187-'Resale flat dataset'!O151)^2+('Schools dataset'!$K$3:$K$187-'Resale flat dataset'!P151)^2), 0))</f>
        <v>WESTWOOD PRIMARY SCHOOL</v>
      </c>
      <c r="T151" s="39">
        <f>ACOS(COS(RADIANS(90-O151))*COS(RADIANS(90-_xlfn.XLOOKUP(Q151,'MRT station dataset'!$C$3:$C$179,'MRT station dataset'!$E$3:$E$179)))+SIN(RADIANS(90-O151))*SIN(RADIANS(90-_xlfn.XLOOKUP(Q151,'MRT station dataset'!$C$3:$C$179,'MRT station dataset'!$E$3:$E$179)))*COS(RADIANS(P151-_xlfn.XLOOKUP('Resale flat dataset'!Q151,'MRT station dataset'!$C$3:$C$179,'MRT station dataset'!$F$3:$F$179))))*6371*1000</f>
        <v>813.56765448042552</v>
      </c>
      <c r="U151" s="39">
        <f>ACOS(COS(RADIANS(90-O151))*COS(RADIANS(90-_xlfn.XLOOKUP(R151,'Mall Dataset'!$B$3:$B$157,'Mall Dataset'!$E$3:$E$157,,0)))+SIN(RADIANS(90-O151))*SIN(RADIANS(90-_xlfn.XLOOKUP(R151,'Mall Dataset'!$B$3:$B$157,'Mall Dataset'!$E$3:$E$157,,0)))*COS(RADIANS(P151-_xlfn.XLOOKUP(R151,'Mall Dataset'!$B$3:$B$157,'Mall Dataset'!$F$3:$F$157,,0))))*6371*1000</f>
        <v>735.50705360948473</v>
      </c>
      <c r="V151" s="39">
        <f>ACOS(COS(RADIANS(90-O151))*COS(RADIANS(90-_xlfn.XLOOKUP(S151,'Schools dataset'!$B$3:$B$187,'Schools dataset'!$J$3:$J$187,,0)))+SIN(RADIANS(90-O151))*SIN(RADIANS(90-_xlfn.XLOOKUP(S151,'Schools dataset'!$B$3:$B$187,'Schools dataset'!$J$3:$J$187,,0)))*COS(RADIANS(P151-_xlfn.XLOOKUP(S151,'Schools dataset'!$B$3:$B$187,'Schools dataset'!$K$3:$K$187,,0))))*6371*1000</f>
        <v>378.96934301262041</v>
      </c>
      <c r="W151" s="20">
        <f>_xlfn.XLOOKUP(T151,'HDB Recommender'!$P$10:$P$39,'HDB Recommender'!$Q$10:$Q$39,"&gt;30mins",1)</f>
        <v>11</v>
      </c>
      <c r="X151" s="20">
        <f>_xlfn.XLOOKUP(U151,'HDB Recommender'!$P$10:$P$39,'HDB Recommender'!$Q$10:$Q$39,"&gt;30mins",1)</f>
        <v>10</v>
      </c>
      <c r="Y151" s="20">
        <f>_xlfn.XLOOKUP(V151,'HDB Recommender'!$P$10:$P$39,'HDB Recommender'!$Q$10:$Q$39,"&gt;30mins",1)</f>
        <v>6</v>
      </c>
      <c r="Z151" s="39">
        <f t="shared" si="5"/>
        <v>9</v>
      </c>
      <c r="AA151" s="20" t="str">
        <f t="shared" si="4"/>
        <v>Within 1km</v>
      </c>
    </row>
    <row r="152" spans="2:27" hidden="1">
      <c r="B152" s="35" t="s">
        <v>317</v>
      </c>
      <c r="C152" s="35" t="s">
        <v>566</v>
      </c>
      <c r="D152" s="35" t="s">
        <v>20</v>
      </c>
      <c r="E152" s="35">
        <v>636</v>
      </c>
      <c r="F152" s="35" t="s">
        <v>585</v>
      </c>
      <c r="G152" s="35" t="s">
        <v>189</v>
      </c>
      <c r="H152" s="35">
        <v>91</v>
      </c>
      <c r="I152" s="35" t="s">
        <v>335</v>
      </c>
      <c r="J152" s="36">
        <v>2001</v>
      </c>
      <c r="K152" s="39">
        <v>77.1666666666666</v>
      </c>
      <c r="L152" s="37">
        <v>480000</v>
      </c>
      <c r="M152" s="35" t="s">
        <v>586</v>
      </c>
      <c r="N152" s="27">
        <v>640636</v>
      </c>
      <c r="O152" s="38">
        <v>1.34225166848347</v>
      </c>
      <c r="P152" s="38">
        <v>103.69787057646001</v>
      </c>
      <c r="Q152" s="38" t="str" cm="1">
        <f t="array" ref="Q152">INDEX('MRT station dataset'!$C$3:$C$179, MATCH(MIN(SQRT(('MRT station dataset'!$E$3:$E$179-'Resale flat dataset'!O152)^2+('MRT station dataset'!$F$3:$F$179-'Resale flat dataset'!P152)^2)), SQRT(('MRT station dataset'!$E$3:$E$179-'Resale flat dataset'!O152)^2+('MRT station dataset'!$F$3:$F$179-'Resale flat dataset'!P152)^2), 0))</f>
        <v>PIONEER MRT STATION</v>
      </c>
      <c r="R152" s="38" t="str" cm="1">
        <f t="array" ref="R152">INDEX('Mall Dataset'!$B$3:$B$157, MATCH(MIN(SQRT(('Mall Dataset'!$E$3:$E$157-'Resale flat dataset'!O152)^2+('Mall Dataset'!$F$3:$F$157-'Resale flat dataset'!P152)^2)), SQRT(('Mall Dataset'!$E$3:$E$157-'Resale flat dataset'!O152)^2+('Mall Dataset'!$F$3:$F$157-'Resale flat dataset'!P152)^2), 0))</f>
        <v>Pioneer Mall</v>
      </c>
      <c r="S152" s="38" t="str" cm="1">
        <f t="array" ref="S152">INDEX('Schools dataset'!$B$3:$B$187, MATCH(MIN(SQRT(('Schools dataset'!$J$3:$J$187-'Resale flat dataset'!O152)^2+('Schools dataset'!$K$3:$K$187-'Resale flat dataset'!P152)^2)), SQRT(('Schools dataset'!$J$3:$J$187-'Resale flat dataset'!O152)^2+('Schools dataset'!$K$3:$K$187-'Resale flat dataset'!P152)^2), 0))</f>
        <v>WEST GROVE PRIMARY SCHOOL</v>
      </c>
      <c r="T152" s="39">
        <f>ACOS(COS(RADIANS(90-O152))*COS(RADIANS(90-_xlfn.XLOOKUP(Q152,'MRT station dataset'!$C$3:$C$179,'MRT station dataset'!$E$3:$E$179)))+SIN(RADIANS(90-O152))*SIN(RADIANS(90-_xlfn.XLOOKUP(Q152,'MRT station dataset'!$C$3:$C$179,'MRT station dataset'!$E$3:$E$179)))*COS(RADIANS(P152-_xlfn.XLOOKUP('Resale flat dataset'!Q152,'MRT station dataset'!$C$3:$C$179,'MRT station dataset'!$F$3:$F$179))))*6371*1000</f>
        <v>521.11641955753259</v>
      </c>
      <c r="U152" s="39">
        <f>ACOS(COS(RADIANS(90-O152))*COS(RADIANS(90-_xlfn.XLOOKUP(R152,'Mall Dataset'!$B$3:$B$157,'Mall Dataset'!$E$3:$E$157,,0)))+SIN(RADIANS(90-O152))*SIN(RADIANS(90-_xlfn.XLOOKUP(R152,'Mall Dataset'!$B$3:$B$157,'Mall Dataset'!$E$3:$E$157,,0)))*COS(RADIANS(P152-_xlfn.XLOOKUP(R152,'Mall Dataset'!$B$3:$B$157,'Mall Dataset'!$F$3:$F$157,,0))))*6371*1000</f>
        <v>99.242401781549631</v>
      </c>
      <c r="V152" s="39">
        <f>ACOS(COS(RADIANS(90-O152))*COS(RADIANS(90-_xlfn.XLOOKUP(S152,'Schools dataset'!$B$3:$B$187,'Schools dataset'!$J$3:$J$187,,0)))+SIN(RADIANS(90-O152))*SIN(RADIANS(90-_xlfn.XLOOKUP(S152,'Schools dataset'!$B$3:$B$187,'Schools dataset'!$J$3:$J$187,,0)))*COS(RADIANS(P152-_xlfn.XLOOKUP(S152,'Schools dataset'!$B$3:$B$187,'Schools dataset'!$K$3:$K$187,,0))))*6371*1000</f>
        <v>299.38484053633306</v>
      </c>
      <c r="W152" s="20">
        <f>_xlfn.XLOOKUP(T152,'HDB Recommender'!$P$10:$P$39,'HDB Recommender'!$Q$10:$Q$39,"&gt;30mins",1)</f>
        <v>7</v>
      </c>
      <c r="X152" s="20">
        <f>_xlfn.XLOOKUP(U152,'HDB Recommender'!$P$10:$P$39,'HDB Recommender'!$Q$10:$Q$39,"&gt;30mins",1)</f>
        <v>2</v>
      </c>
      <c r="Y152" s="20">
        <f>_xlfn.XLOOKUP(V152,'HDB Recommender'!$P$10:$P$39,'HDB Recommender'!$Q$10:$Q$39,"&gt;30mins",1)</f>
        <v>4</v>
      </c>
      <c r="Z152" s="39">
        <f t="shared" si="5"/>
        <v>4.333333333333333</v>
      </c>
      <c r="AA152" s="20" t="str">
        <f t="shared" si="4"/>
        <v>Within 1km</v>
      </c>
    </row>
    <row r="153" spans="2:27" hidden="1">
      <c r="B153" s="35" t="s">
        <v>317</v>
      </c>
      <c r="C153" s="35" t="s">
        <v>566</v>
      </c>
      <c r="D153" s="35" t="s">
        <v>20</v>
      </c>
      <c r="E153" s="35">
        <v>938</v>
      </c>
      <c r="F153" s="35" t="s">
        <v>587</v>
      </c>
      <c r="G153" s="35" t="s">
        <v>191</v>
      </c>
      <c r="H153" s="35">
        <v>104</v>
      </c>
      <c r="I153" s="35" t="s">
        <v>335</v>
      </c>
      <c r="J153" s="36">
        <v>1989</v>
      </c>
      <c r="K153" s="39">
        <v>64.75</v>
      </c>
      <c r="L153" s="37">
        <v>460000</v>
      </c>
      <c r="M153" s="35" t="s">
        <v>588</v>
      </c>
      <c r="N153" s="27">
        <v>640938</v>
      </c>
      <c r="O153" s="38">
        <v>1.3428769898005899</v>
      </c>
      <c r="P153" s="38">
        <v>103.689772560657</v>
      </c>
      <c r="Q153" s="38" t="str" cm="1">
        <f t="array" ref="Q153">INDEX('MRT station dataset'!$C$3:$C$179, MATCH(MIN(SQRT(('MRT station dataset'!$E$3:$E$179-'Resale flat dataset'!O153)^2+('MRT station dataset'!$F$3:$F$179-'Resale flat dataset'!P153)^2)), SQRT(('MRT station dataset'!$E$3:$E$179-'Resale flat dataset'!O153)^2+('MRT station dataset'!$F$3:$F$179-'Resale flat dataset'!P153)^2), 0))</f>
        <v>PIONEER MRT STATION</v>
      </c>
      <c r="R153" s="38" t="str" cm="1">
        <f t="array" ref="R153">INDEX('Mall Dataset'!$B$3:$B$157, MATCH(MIN(SQRT(('Mall Dataset'!$E$3:$E$157-'Resale flat dataset'!O153)^2+('Mall Dataset'!$F$3:$F$157-'Resale flat dataset'!P153)^2)), SQRT(('Mall Dataset'!$E$3:$E$157-'Resale flat dataset'!O153)^2+('Mall Dataset'!$F$3:$F$157-'Resale flat dataset'!P153)^2), 0))</f>
        <v>Pioneer Mall</v>
      </c>
      <c r="S153" s="38" t="str" cm="1">
        <f t="array" ref="S153">INDEX('Schools dataset'!$B$3:$B$187, MATCH(MIN(SQRT(('Schools dataset'!$J$3:$J$187-'Resale flat dataset'!O153)^2+('Schools dataset'!$K$3:$K$187-'Resale flat dataset'!P153)^2)), SQRT(('Schools dataset'!$J$3:$J$187-'Resale flat dataset'!O153)^2+('Schools dataset'!$K$3:$K$187-'Resale flat dataset'!P153)^2), 0))</f>
        <v>XINGNAN PRIMARY SCHOOL</v>
      </c>
      <c r="T153" s="39">
        <f>ACOS(COS(RADIANS(90-O153))*COS(RADIANS(90-_xlfn.XLOOKUP(Q153,'MRT station dataset'!$C$3:$C$179,'MRT station dataset'!$E$3:$E$179)))+SIN(RADIANS(90-O153))*SIN(RADIANS(90-_xlfn.XLOOKUP(Q153,'MRT station dataset'!$C$3:$C$179,'MRT station dataset'!$E$3:$E$179)))*COS(RADIANS(P153-_xlfn.XLOOKUP('Resale flat dataset'!Q153,'MRT station dataset'!$C$3:$C$179,'MRT station dataset'!$F$3:$F$179))))*6371*1000</f>
        <v>1022.0136528087609</v>
      </c>
      <c r="U153" s="39">
        <f>ACOS(COS(RADIANS(90-O153))*COS(RADIANS(90-_xlfn.XLOOKUP(R153,'Mall Dataset'!$B$3:$B$157,'Mall Dataset'!$E$3:$E$157,,0)))+SIN(RADIANS(90-O153))*SIN(RADIANS(90-_xlfn.XLOOKUP(R153,'Mall Dataset'!$B$3:$B$157,'Mall Dataset'!$E$3:$E$157,,0)))*COS(RADIANS(P153-_xlfn.XLOOKUP(R153,'Mall Dataset'!$B$3:$B$157,'Mall Dataset'!$F$3:$F$157,,0))))*6371*1000</f>
        <v>833.34625862502025</v>
      </c>
      <c r="V153" s="39">
        <f>ACOS(COS(RADIANS(90-O153))*COS(RADIANS(90-_xlfn.XLOOKUP(S153,'Schools dataset'!$B$3:$B$187,'Schools dataset'!$J$3:$J$187,,0)))+SIN(RADIANS(90-O153))*SIN(RADIANS(90-_xlfn.XLOOKUP(S153,'Schools dataset'!$B$3:$B$187,'Schools dataset'!$J$3:$J$187,,0)))*COS(RADIANS(P153-_xlfn.XLOOKUP(S153,'Schools dataset'!$B$3:$B$187,'Schools dataset'!$K$3:$K$187,,0))))*6371*1000</f>
        <v>243.53204105194214</v>
      </c>
      <c r="W153" s="20">
        <f>_xlfn.XLOOKUP(T153,'HDB Recommender'!$P$10:$P$39,'HDB Recommender'!$Q$10:$Q$39,"&gt;30mins",1)</f>
        <v>14</v>
      </c>
      <c r="X153" s="20">
        <f>_xlfn.XLOOKUP(U153,'HDB Recommender'!$P$10:$P$39,'HDB Recommender'!$Q$10:$Q$39,"&gt;30mins",1)</f>
        <v>12</v>
      </c>
      <c r="Y153" s="20">
        <f>_xlfn.XLOOKUP(V153,'HDB Recommender'!$P$10:$P$39,'HDB Recommender'!$Q$10:$Q$39,"&gt;30mins",1)</f>
        <v>4</v>
      </c>
      <c r="Z153" s="39">
        <f t="shared" si="5"/>
        <v>10</v>
      </c>
      <c r="AA153" s="20" t="str">
        <f t="shared" si="4"/>
        <v>Within 1km</v>
      </c>
    </row>
    <row r="154" spans="2:27" hidden="1">
      <c r="B154" s="35" t="s">
        <v>317</v>
      </c>
      <c r="C154" s="35" t="s">
        <v>566</v>
      </c>
      <c r="D154" s="35" t="s">
        <v>20</v>
      </c>
      <c r="E154" s="35">
        <v>980</v>
      </c>
      <c r="F154" s="35" t="s">
        <v>589</v>
      </c>
      <c r="G154" s="35" t="s">
        <v>191</v>
      </c>
      <c r="H154" s="35">
        <v>105</v>
      </c>
      <c r="I154" s="35" t="s">
        <v>335</v>
      </c>
      <c r="J154" s="36">
        <v>1989</v>
      </c>
      <c r="K154" s="39">
        <v>64.8333333333333</v>
      </c>
      <c r="L154" s="37">
        <v>464000</v>
      </c>
      <c r="M154" s="35" t="s">
        <v>590</v>
      </c>
      <c r="N154" s="27">
        <v>640980</v>
      </c>
      <c r="O154" s="38">
        <v>1.33911774809754</v>
      </c>
      <c r="P154" s="38">
        <v>103.693671500024</v>
      </c>
      <c r="Q154" s="38" t="str" cm="1">
        <f t="array" ref="Q154">INDEX('MRT station dataset'!$C$3:$C$179, MATCH(MIN(SQRT(('MRT station dataset'!$E$3:$E$179-'Resale flat dataset'!O154)^2+('MRT station dataset'!$F$3:$F$179-'Resale flat dataset'!P154)^2)), SQRT(('MRT station dataset'!$E$3:$E$179-'Resale flat dataset'!O154)^2+('MRT station dataset'!$F$3:$F$179-'Resale flat dataset'!P154)^2), 0))</f>
        <v>PIONEER MRT STATION</v>
      </c>
      <c r="R154" s="38" t="str" cm="1">
        <f t="array" ref="R154">INDEX('Mall Dataset'!$B$3:$B$157, MATCH(MIN(SQRT(('Mall Dataset'!$E$3:$E$157-'Resale flat dataset'!O154)^2+('Mall Dataset'!$F$3:$F$157-'Resale flat dataset'!P154)^2)), SQRT(('Mall Dataset'!$E$3:$E$157-'Resale flat dataset'!O154)^2+('Mall Dataset'!$F$3:$F$157-'Resale flat dataset'!P154)^2), 0))</f>
        <v>Pioneer Mall</v>
      </c>
      <c r="S154" s="38" t="str" cm="1">
        <f t="array" ref="S154">INDEX('Schools dataset'!$B$3:$B$187, MATCH(MIN(SQRT(('Schools dataset'!$J$3:$J$187-'Resale flat dataset'!O154)^2+('Schools dataset'!$K$3:$K$187-'Resale flat dataset'!P154)^2)), SQRT(('Schools dataset'!$J$3:$J$187-'Resale flat dataset'!O154)^2+('Schools dataset'!$K$3:$K$187-'Resale flat dataset'!P154)^2), 0))</f>
        <v>JURONG WEST PRIMARY SCHOOL</v>
      </c>
      <c r="T154" s="39">
        <f>ACOS(COS(RADIANS(90-O154))*COS(RADIANS(90-_xlfn.XLOOKUP(Q154,'MRT station dataset'!$C$3:$C$179,'MRT station dataset'!$E$3:$E$179)))+SIN(RADIANS(90-O154))*SIN(RADIANS(90-_xlfn.XLOOKUP(Q154,'MRT station dataset'!$C$3:$C$179,'MRT station dataset'!$E$3:$E$179)))*COS(RADIANS(P154-_xlfn.XLOOKUP('Resale flat dataset'!Q154,'MRT station dataset'!$C$3:$C$179,'MRT station dataset'!$F$3:$F$179))))*6371*1000</f>
        <v>437.24341442707362</v>
      </c>
      <c r="U154" s="39">
        <f>ACOS(COS(RADIANS(90-O154))*COS(RADIANS(90-_xlfn.XLOOKUP(R154,'Mall Dataset'!$B$3:$B$157,'Mall Dataset'!$E$3:$E$157,,0)))+SIN(RADIANS(90-O154))*SIN(RADIANS(90-_xlfn.XLOOKUP(R154,'Mall Dataset'!$B$3:$B$157,'Mall Dataset'!$E$3:$E$157,,0)))*COS(RADIANS(P154-_xlfn.XLOOKUP(R154,'Mall Dataset'!$B$3:$B$157,'Mall Dataset'!$F$3:$F$157,,0))))*6371*1000</f>
        <v>483.35248574876834</v>
      </c>
      <c r="V154" s="39">
        <f>ACOS(COS(RADIANS(90-O154))*COS(RADIANS(90-_xlfn.XLOOKUP(S154,'Schools dataset'!$B$3:$B$187,'Schools dataset'!$J$3:$J$187,,0)))+SIN(RADIANS(90-O154))*SIN(RADIANS(90-_xlfn.XLOOKUP(S154,'Schools dataset'!$B$3:$B$187,'Schools dataset'!$J$3:$J$187,,0)))*COS(RADIANS(P154-_xlfn.XLOOKUP(S154,'Schools dataset'!$B$3:$B$187,'Schools dataset'!$K$3:$K$187,,0))))*6371*1000</f>
        <v>570.55808438875897</v>
      </c>
      <c r="W154" s="20">
        <f>_xlfn.XLOOKUP(T154,'HDB Recommender'!$P$10:$P$39,'HDB Recommender'!$Q$10:$Q$39,"&gt;30mins",1)</f>
        <v>6</v>
      </c>
      <c r="X154" s="20">
        <f>_xlfn.XLOOKUP(U154,'HDB Recommender'!$P$10:$P$39,'HDB Recommender'!$Q$10:$Q$39,"&gt;30mins",1)</f>
        <v>7</v>
      </c>
      <c r="Y154" s="20">
        <f>_xlfn.XLOOKUP(V154,'HDB Recommender'!$P$10:$P$39,'HDB Recommender'!$Q$10:$Q$39,"&gt;30mins",1)</f>
        <v>8</v>
      </c>
      <c r="Z154" s="39">
        <f t="shared" si="5"/>
        <v>7</v>
      </c>
      <c r="AA154" s="20" t="str">
        <f t="shared" si="4"/>
        <v>Within 1km</v>
      </c>
    </row>
    <row r="155" spans="2:27" hidden="1">
      <c r="B155" s="35" t="s">
        <v>317</v>
      </c>
      <c r="C155" s="35" t="s">
        <v>566</v>
      </c>
      <c r="D155" s="35" t="s">
        <v>341</v>
      </c>
      <c r="E155" s="35"/>
      <c r="F155" s="35" t="s">
        <v>569</v>
      </c>
      <c r="G155" s="35" t="s">
        <v>189</v>
      </c>
      <c r="H155" s="35">
        <v>113</v>
      </c>
      <c r="I155" s="35" t="s">
        <v>326</v>
      </c>
      <c r="J155" s="36">
        <v>2015</v>
      </c>
      <c r="K155" s="39">
        <v>90.5833333333333</v>
      </c>
      <c r="L155" s="37">
        <v>698000</v>
      </c>
      <c r="M155" s="35" t="s">
        <v>591</v>
      </c>
      <c r="N155" s="27">
        <v>644197</v>
      </c>
      <c r="O155" s="38">
        <v>1.3436078848558599</v>
      </c>
      <c r="P155" s="38">
        <v>103.713869400316</v>
      </c>
      <c r="Q155" s="38" t="str" cm="1">
        <f t="array" ref="Q155">INDEX('MRT station dataset'!$C$3:$C$179, MATCH(MIN(SQRT(('MRT station dataset'!$E$3:$E$179-'Resale flat dataset'!O155)^2+('MRT station dataset'!$F$3:$F$179-'Resale flat dataset'!P155)^2)), SQRT(('MRT station dataset'!$E$3:$E$179-'Resale flat dataset'!O155)^2+('MRT station dataset'!$F$3:$F$179-'Resale flat dataset'!P155)^2), 0))</f>
        <v>LAKESIDE MRT STATION</v>
      </c>
      <c r="R155" s="38" t="str" cm="1">
        <f t="array" ref="R155">INDEX('Mall Dataset'!$B$3:$B$157, MATCH(MIN(SQRT(('Mall Dataset'!$E$3:$E$157-'Resale flat dataset'!O155)^2+('Mall Dataset'!$F$3:$F$157-'Resale flat dataset'!P155)^2)), SQRT(('Mall Dataset'!$E$3:$E$157-'Resale flat dataset'!O155)^2+('Mall Dataset'!$F$3:$F$157-'Resale flat dataset'!P155)^2), 0))</f>
        <v>Boon Lay Shopping Centre</v>
      </c>
      <c r="S155" s="38" t="str" cm="1">
        <f t="array" ref="S155">INDEX('Schools dataset'!$B$3:$B$187, MATCH(MIN(SQRT(('Schools dataset'!$J$3:$J$187-'Resale flat dataset'!O155)^2+('Schools dataset'!$K$3:$K$187-'Resale flat dataset'!P155)^2)), SQRT(('Schools dataset'!$J$3:$J$187-'Resale flat dataset'!O155)^2+('Schools dataset'!$K$3:$K$187-'Resale flat dataset'!P155)^2), 0))</f>
        <v>BOON LAY GARDEN PRIMARY SCHOOL</v>
      </c>
      <c r="T155" s="39">
        <f>ACOS(COS(RADIANS(90-O155))*COS(RADIANS(90-_xlfn.XLOOKUP(Q155,'MRT station dataset'!$C$3:$C$179,'MRT station dataset'!$E$3:$E$179)))+SIN(RADIANS(90-O155))*SIN(RADIANS(90-_xlfn.XLOOKUP(Q155,'MRT station dataset'!$C$3:$C$179,'MRT station dataset'!$E$3:$E$179)))*COS(RADIANS(P155-_xlfn.XLOOKUP('Resale flat dataset'!Q155,'MRT station dataset'!$C$3:$C$179,'MRT station dataset'!$F$3:$F$179))))*6371*1000</f>
        <v>785.33193868465241</v>
      </c>
      <c r="U155" s="39">
        <f>ACOS(COS(RADIANS(90-O155))*COS(RADIANS(90-_xlfn.XLOOKUP(R155,'Mall Dataset'!$B$3:$B$157,'Mall Dataset'!$E$3:$E$157,,0)))+SIN(RADIANS(90-O155))*SIN(RADIANS(90-_xlfn.XLOOKUP(R155,'Mall Dataset'!$B$3:$B$157,'Mall Dataset'!$E$3:$E$157,,0)))*COS(RADIANS(P155-_xlfn.XLOOKUP(R155,'Mall Dataset'!$B$3:$B$157,'Mall Dataset'!$F$3:$F$157,,0))))*6371*1000</f>
        <v>344.51502968561078</v>
      </c>
      <c r="V155" s="39">
        <f>ACOS(COS(RADIANS(90-O155))*COS(RADIANS(90-_xlfn.XLOOKUP(S155,'Schools dataset'!$B$3:$B$187,'Schools dataset'!$J$3:$J$187,,0)))+SIN(RADIANS(90-O155))*SIN(RADIANS(90-_xlfn.XLOOKUP(S155,'Schools dataset'!$B$3:$B$187,'Schools dataset'!$J$3:$J$187,,0)))*COS(RADIANS(P155-_xlfn.XLOOKUP(S155,'Schools dataset'!$B$3:$B$187,'Schools dataset'!$K$3:$K$187,,0))))*6371*1000</f>
        <v>141.13571326585151</v>
      </c>
      <c r="W155" s="20">
        <f>_xlfn.XLOOKUP(T155,'HDB Recommender'!$P$10:$P$39,'HDB Recommender'!$Q$10:$Q$39,"&gt;30mins",1)</f>
        <v>11</v>
      </c>
      <c r="X155" s="20">
        <f>_xlfn.XLOOKUP(U155,'HDB Recommender'!$P$10:$P$39,'HDB Recommender'!$Q$10:$Q$39,"&gt;30mins",1)</f>
        <v>5</v>
      </c>
      <c r="Y155" s="20">
        <f>_xlfn.XLOOKUP(V155,'HDB Recommender'!$P$10:$P$39,'HDB Recommender'!$Q$10:$Q$39,"&gt;30mins",1)</f>
        <v>2</v>
      </c>
      <c r="Z155" s="39">
        <f t="shared" si="5"/>
        <v>6</v>
      </c>
      <c r="AA155" s="20" t="str">
        <f t="shared" si="4"/>
        <v>Within 1km</v>
      </c>
    </row>
    <row r="156" spans="2:27" hidden="1">
      <c r="B156" s="35" t="s">
        <v>317</v>
      </c>
      <c r="C156" s="35" t="s">
        <v>566</v>
      </c>
      <c r="D156" s="35" t="s">
        <v>341</v>
      </c>
      <c r="E156" s="35"/>
      <c r="F156" s="35" t="s">
        <v>592</v>
      </c>
      <c r="G156" s="35" t="s">
        <v>189</v>
      </c>
      <c r="H156" s="35">
        <v>115</v>
      </c>
      <c r="I156" s="35" t="s">
        <v>389</v>
      </c>
      <c r="J156" s="36">
        <v>2000</v>
      </c>
      <c r="K156" s="39">
        <v>76</v>
      </c>
      <c r="L156" s="37">
        <v>615000</v>
      </c>
      <c r="M156" s="35" t="s">
        <v>593</v>
      </c>
      <c r="N156" s="27">
        <v>642682</v>
      </c>
      <c r="O156" s="38">
        <v>1.34362221193011</v>
      </c>
      <c r="P156" s="38">
        <v>103.705666137539</v>
      </c>
      <c r="Q156" s="38" t="str" cm="1">
        <f t="array" ref="Q156">INDEX('MRT station dataset'!$C$3:$C$179, MATCH(MIN(SQRT(('MRT station dataset'!$E$3:$E$179-'Resale flat dataset'!O156)^2+('MRT station dataset'!$F$3:$F$179-'Resale flat dataset'!P156)^2)), SQRT(('MRT station dataset'!$E$3:$E$179-'Resale flat dataset'!O156)^2+('MRT station dataset'!$F$3:$F$179-'Resale flat dataset'!P156)^2), 0))</f>
        <v>BOON LAY MRT STATION</v>
      </c>
      <c r="R156" s="38" t="str" cm="1">
        <f t="array" ref="R156">INDEX('Mall Dataset'!$B$3:$B$157, MATCH(MIN(SQRT(('Mall Dataset'!$E$3:$E$157-'Resale flat dataset'!O156)^2+('Mall Dataset'!$F$3:$F$157-'Resale flat dataset'!P156)^2)), SQRT(('Mall Dataset'!$E$3:$E$157-'Resale flat dataset'!O156)^2+('Mall Dataset'!$F$3:$F$157-'Resale flat dataset'!P156)^2), 0))</f>
        <v>Jurong Point</v>
      </c>
      <c r="S156" s="38" t="str" cm="1">
        <f t="array" ref="S156">INDEX('Schools dataset'!$B$3:$B$187, MATCH(MIN(SQRT(('Schools dataset'!$J$3:$J$187-'Resale flat dataset'!O156)^2+('Schools dataset'!$K$3:$K$187-'Resale flat dataset'!P156)^2)), SQRT(('Schools dataset'!$J$3:$J$187-'Resale flat dataset'!O156)^2+('Schools dataset'!$K$3:$K$187-'Resale flat dataset'!P156)^2), 0))</f>
        <v>RIVER VALLEY HIGH SCHOOL</v>
      </c>
      <c r="T156" s="39">
        <f>ACOS(COS(RADIANS(90-O156))*COS(RADIANS(90-_xlfn.XLOOKUP(Q156,'MRT station dataset'!$C$3:$C$179,'MRT station dataset'!$E$3:$E$179)))+SIN(RADIANS(90-O156))*SIN(RADIANS(90-_xlfn.XLOOKUP(Q156,'MRT station dataset'!$C$3:$C$179,'MRT station dataset'!$E$3:$E$179)))*COS(RADIANS(P156-_xlfn.XLOOKUP('Resale flat dataset'!Q156,'MRT station dataset'!$C$3:$C$179,'MRT station dataset'!$F$3:$F$179))))*6371*1000</f>
        <v>560.52331648724316</v>
      </c>
      <c r="U156" s="39">
        <f>ACOS(COS(RADIANS(90-O156))*COS(RADIANS(90-_xlfn.XLOOKUP(R156,'Mall Dataset'!$B$3:$B$157,'Mall Dataset'!$E$3:$E$157,,0)))+SIN(RADIANS(90-O156))*SIN(RADIANS(90-_xlfn.XLOOKUP(R156,'Mall Dataset'!$B$3:$B$157,'Mall Dataset'!$E$3:$E$157,,0)))*COS(RADIANS(P156-_xlfn.XLOOKUP(R156,'Mall Dataset'!$B$3:$B$157,'Mall Dataset'!$F$3:$F$157,,0))))*6371*1000</f>
        <v>477.33805802873786</v>
      </c>
      <c r="V156" s="39">
        <f>ACOS(COS(RADIANS(90-O156))*COS(RADIANS(90-_xlfn.XLOOKUP(S156,'Schools dataset'!$B$3:$B$187,'Schools dataset'!$J$3:$J$187,,0)))+SIN(RADIANS(90-O156))*SIN(RADIANS(90-_xlfn.XLOOKUP(S156,'Schools dataset'!$B$3:$B$187,'Schools dataset'!$J$3:$J$187,,0)))*COS(RADIANS(P156-_xlfn.XLOOKUP(S156,'Schools dataset'!$B$3:$B$187,'Schools dataset'!$K$3:$K$187,,0))))*6371*1000</f>
        <v>300.79839801675831</v>
      </c>
      <c r="W156" s="20">
        <f>_xlfn.XLOOKUP(T156,'HDB Recommender'!$P$10:$P$39,'HDB Recommender'!$Q$10:$Q$39,"&gt;30mins",1)</f>
        <v>8</v>
      </c>
      <c r="X156" s="20">
        <f>_xlfn.XLOOKUP(U156,'HDB Recommender'!$P$10:$P$39,'HDB Recommender'!$Q$10:$Q$39,"&gt;30mins",1)</f>
        <v>7</v>
      </c>
      <c r="Y156" s="20">
        <f>_xlfn.XLOOKUP(V156,'HDB Recommender'!$P$10:$P$39,'HDB Recommender'!$Q$10:$Q$39,"&gt;30mins",1)</f>
        <v>5</v>
      </c>
      <c r="Z156" s="39">
        <f t="shared" si="5"/>
        <v>6.666666666666667</v>
      </c>
      <c r="AA156" s="20" t="str">
        <f t="shared" si="4"/>
        <v>Within 1km</v>
      </c>
    </row>
    <row r="157" spans="2:27" hidden="1">
      <c r="B157" s="35" t="s">
        <v>317</v>
      </c>
      <c r="C157" s="35" t="s">
        <v>566</v>
      </c>
      <c r="D157" s="35" t="s">
        <v>341</v>
      </c>
      <c r="E157" s="35">
        <v>941</v>
      </c>
      <c r="F157" s="35" t="s">
        <v>587</v>
      </c>
      <c r="G157" s="35" t="s">
        <v>349</v>
      </c>
      <c r="H157" s="35">
        <v>123</v>
      </c>
      <c r="I157" s="35" t="s">
        <v>326</v>
      </c>
      <c r="J157" s="36">
        <v>1989</v>
      </c>
      <c r="K157" s="39">
        <v>64.6666666666666</v>
      </c>
      <c r="L157" s="37">
        <v>508000</v>
      </c>
      <c r="M157" s="35" t="s">
        <v>594</v>
      </c>
      <c r="N157" s="27">
        <v>640941</v>
      </c>
      <c r="O157" s="38">
        <v>1.34388068772887</v>
      </c>
      <c r="P157" s="38">
        <v>103.68879530763201</v>
      </c>
      <c r="Q157" s="38" t="str" cm="1">
        <f t="array" ref="Q157">INDEX('MRT station dataset'!$C$3:$C$179, MATCH(MIN(SQRT(('MRT station dataset'!$E$3:$E$179-'Resale flat dataset'!O157)^2+('MRT station dataset'!$F$3:$F$179-'Resale flat dataset'!P157)^2)), SQRT(('MRT station dataset'!$E$3:$E$179-'Resale flat dataset'!O157)^2+('MRT station dataset'!$F$3:$F$179-'Resale flat dataset'!P157)^2), 0))</f>
        <v>PIONEER MRT STATION</v>
      </c>
      <c r="R157" s="38" t="str" cm="1">
        <f t="array" ref="R157">INDEX('Mall Dataset'!$B$3:$B$157, MATCH(MIN(SQRT(('Mall Dataset'!$E$3:$E$157-'Resale flat dataset'!O157)^2+('Mall Dataset'!$F$3:$F$157-'Resale flat dataset'!P157)^2)), SQRT(('Mall Dataset'!$E$3:$E$157-'Resale flat dataset'!O157)^2+('Mall Dataset'!$F$3:$F$157-'Resale flat dataset'!P157)^2), 0))</f>
        <v>Pioneer Mall</v>
      </c>
      <c r="S157" s="38" t="str" cm="1">
        <f t="array" ref="S157">INDEX('Schools dataset'!$B$3:$B$187, MATCH(MIN(SQRT(('Schools dataset'!$J$3:$J$187-'Resale flat dataset'!O157)^2+('Schools dataset'!$K$3:$K$187-'Resale flat dataset'!P157)^2)), SQRT(('Schools dataset'!$J$3:$J$187-'Resale flat dataset'!O157)^2+('Schools dataset'!$K$3:$K$187-'Resale flat dataset'!P157)^2), 0))</f>
        <v>XINGNAN PRIMARY SCHOOL</v>
      </c>
      <c r="T157" s="39">
        <f>ACOS(COS(RADIANS(90-O157))*COS(RADIANS(90-_xlfn.XLOOKUP(Q157,'MRT station dataset'!$C$3:$C$179,'MRT station dataset'!$E$3:$E$179)))+SIN(RADIANS(90-O157))*SIN(RADIANS(90-_xlfn.XLOOKUP(Q157,'MRT station dataset'!$C$3:$C$179,'MRT station dataset'!$E$3:$E$179)))*COS(RADIANS(P157-_xlfn.XLOOKUP('Resale flat dataset'!Q157,'MRT station dataset'!$C$3:$C$179,'MRT station dataset'!$F$3:$F$179))))*6371*1000</f>
        <v>1175.3952369808885</v>
      </c>
      <c r="U157" s="39">
        <f>ACOS(COS(RADIANS(90-O157))*COS(RADIANS(90-_xlfn.XLOOKUP(R157,'Mall Dataset'!$B$3:$B$157,'Mall Dataset'!$E$3:$E$157,,0)))+SIN(RADIANS(90-O157))*SIN(RADIANS(90-_xlfn.XLOOKUP(R157,'Mall Dataset'!$B$3:$B$157,'Mall Dataset'!$E$3:$E$157,,0)))*COS(RADIANS(P157-_xlfn.XLOOKUP(R157,'Mall Dataset'!$B$3:$B$157,'Mall Dataset'!$F$3:$F$157,,0))))*6371*1000</f>
        <v>962.7623547483613</v>
      </c>
      <c r="V157" s="39">
        <f>ACOS(COS(RADIANS(90-O157))*COS(RADIANS(90-_xlfn.XLOOKUP(S157,'Schools dataset'!$B$3:$B$187,'Schools dataset'!$J$3:$J$187,,0)))+SIN(RADIANS(90-O157))*SIN(RADIANS(90-_xlfn.XLOOKUP(S157,'Schools dataset'!$B$3:$B$187,'Schools dataset'!$J$3:$J$187,,0)))*COS(RADIANS(P157-_xlfn.XLOOKUP(S157,'Schools dataset'!$B$3:$B$187,'Schools dataset'!$K$3:$K$187,,0))))*6371*1000</f>
        <v>187.21062634712627</v>
      </c>
      <c r="W157" s="20">
        <f>_xlfn.XLOOKUP(T157,'HDB Recommender'!$P$10:$P$39,'HDB Recommender'!$Q$10:$Q$39,"&gt;30mins",1)</f>
        <v>16</v>
      </c>
      <c r="X157" s="20">
        <f>_xlfn.XLOOKUP(U157,'HDB Recommender'!$P$10:$P$39,'HDB Recommender'!$Q$10:$Q$39,"&gt;30mins",1)</f>
        <v>13</v>
      </c>
      <c r="Y157" s="20">
        <f>_xlfn.XLOOKUP(V157,'HDB Recommender'!$P$10:$P$39,'HDB Recommender'!$Q$10:$Q$39,"&gt;30mins",1)</f>
        <v>3</v>
      </c>
      <c r="Z157" s="39">
        <f t="shared" si="5"/>
        <v>10.666666666666666</v>
      </c>
      <c r="AA157" s="20" t="str">
        <f t="shared" si="4"/>
        <v>Within 1km</v>
      </c>
    </row>
    <row r="158" spans="2:27" hidden="1">
      <c r="B158" s="35" t="s">
        <v>317</v>
      </c>
      <c r="C158" s="35" t="s">
        <v>566</v>
      </c>
      <c r="D158" s="35" t="s">
        <v>341</v>
      </c>
      <c r="E158" s="35"/>
      <c r="F158" s="35" t="s">
        <v>589</v>
      </c>
      <c r="G158" s="35" t="s">
        <v>346</v>
      </c>
      <c r="H158" s="35">
        <v>114</v>
      </c>
      <c r="I158" s="35" t="s">
        <v>389</v>
      </c>
      <c r="J158" s="36">
        <v>2008</v>
      </c>
      <c r="K158" s="39">
        <v>83.9166666666666</v>
      </c>
      <c r="L158" s="37">
        <v>636000</v>
      </c>
      <c r="M158" s="35" t="s">
        <v>595</v>
      </c>
      <c r="N158" s="27">
        <v>641987</v>
      </c>
      <c r="O158" s="38">
        <v>1.33652389687164</v>
      </c>
      <c r="P158" s="38">
        <v>103.69449394262701</v>
      </c>
      <c r="Q158" s="38" t="str" cm="1">
        <f t="array" ref="Q158">INDEX('MRT station dataset'!$C$3:$C$179, MATCH(MIN(SQRT(('MRT station dataset'!$E$3:$E$179-'Resale flat dataset'!O158)^2+('MRT station dataset'!$F$3:$F$179-'Resale flat dataset'!P158)^2)), SQRT(('MRT station dataset'!$E$3:$E$179-'Resale flat dataset'!O158)^2+('MRT station dataset'!$F$3:$F$179-'Resale flat dataset'!P158)^2), 0))</f>
        <v>PIONEER MRT STATION</v>
      </c>
      <c r="R158" s="38" t="str" cm="1">
        <f t="array" ref="R158">INDEX('Mall Dataset'!$B$3:$B$157, MATCH(MIN(SQRT(('Mall Dataset'!$E$3:$E$157-'Resale flat dataset'!O158)^2+('Mall Dataset'!$F$3:$F$157-'Resale flat dataset'!P158)^2)), SQRT(('Mall Dataset'!$E$3:$E$157-'Resale flat dataset'!O158)^2+('Mall Dataset'!$F$3:$F$157-'Resale flat dataset'!P158)^2), 0))</f>
        <v>Pioneer Mall</v>
      </c>
      <c r="S158" s="38" t="str" cm="1">
        <f t="array" ref="S158">INDEX('Schools dataset'!$B$3:$B$187, MATCH(MIN(SQRT(('Schools dataset'!$J$3:$J$187-'Resale flat dataset'!O158)^2+('Schools dataset'!$K$3:$K$187-'Resale flat dataset'!P158)^2)), SQRT(('Schools dataset'!$J$3:$J$187-'Resale flat dataset'!O158)^2+('Schools dataset'!$K$3:$K$187-'Resale flat dataset'!P158)^2), 0))</f>
        <v>JURONG WEST PRIMARY SCHOOL</v>
      </c>
      <c r="T158" s="39">
        <f>ACOS(COS(RADIANS(90-O158))*COS(RADIANS(90-_xlfn.XLOOKUP(Q158,'MRT station dataset'!$C$3:$C$179,'MRT station dataset'!$E$3:$E$179)))+SIN(RADIANS(90-O158))*SIN(RADIANS(90-_xlfn.XLOOKUP(Q158,'MRT station dataset'!$C$3:$C$179,'MRT station dataset'!$E$3:$E$179)))*COS(RADIANS(P158-_xlfn.XLOOKUP('Resale flat dataset'!Q158,'MRT station dataset'!$C$3:$C$179,'MRT station dataset'!$F$3:$F$179))))*6371*1000</f>
        <v>334.09715525082805</v>
      </c>
      <c r="U158" s="39">
        <f>ACOS(COS(RADIANS(90-O158))*COS(RADIANS(90-_xlfn.XLOOKUP(R158,'Mall Dataset'!$B$3:$B$157,'Mall Dataset'!$E$3:$E$157,,0)))+SIN(RADIANS(90-O158))*SIN(RADIANS(90-_xlfn.XLOOKUP(R158,'Mall Dataset'!$B$3:$B$157,'Mall Dataset'!$E$3:$E$157,,0)))*COS(RADIANS(P158-_xlfn.XLOOKUP(R158,'Mall Dataset'!$B$3:$B$157,'Mall Dataset'!$F$3:$F$157,,0))))*6371*1000</f>
        <v>647.38599563200364</v>
      </c>
      <c r="V158" s="39">
        <f>ACOS(COS(RADIANS(90-O158))*COS(RADIANS(90-_xlfn.XLOOKUP(S158,'Schools dataset'!$B$3:$B$187,'Schools dataset'!$J$3:$J$187,,0)))+SIN(RADIANS(90-O158))*SIN(RADIANS(90-_xlfn.XLOOKUP(S158,'Schools dataset'!$B$3:$B$187,'Schools dataset'!$J$3:$J$187,,0)))*COS(RADIANS(P158-_xlfn.XLOOKUP(S158,'Schools dataset'!$B$3:$B$187,'Schools dataset'!$K$3:$K$187,,0))))*6371*1000</f>
        <v>562.53599009005882</v>
      </c>
      <c r="W158" s="20">
        <f>_xlfn.XLOOKUP(T158,'HDB Recommender'!$P$10:$P$39,'HDB Recommender'!$Q$10:$Q$39,"&gt;30mins",1)</f>
        <v>5</v>
      </c>
      <c r="X158" s="20">
        <f>_xlfn.XLOOKUP(U158,'HDB Recommender'!$P$10:$P$39,'HDB Recommender'!$Q$10:$Q$39,"&gt;30mins",1)</f>
        <v>9</v>
      </c>
      <c r="Y158" s="20">
        <f>_xlfn.XLOOKUP(V158,'HDB Recommender'!$P$10:$P$39,'HDB Recommender'!$Q$10:$Q$39,"&gt;30mins",1)</f>
        <v>8</v>
      </c>
      <c r="Z158" s="39">
        <f t="shared" si="5"/>
        <v>7.333333333333333</v>
      </c>
      <c r="AA158" s="20" t="str">
        <f t="shared" si="4"/>
        <v>Within 1km</v>
      </c>
    </row>
    <row r="159" spans="2:27" hidden="1">
      <c r="B159" s="35" t="s">
        <v>317</v>
      </c>
      <c r="C159" s="35" t="s">
        <v>566</v>
      </c>
      <c r="D159" s="35" t="s">
        <v>341</v>
      </c>
      <c r="E159" s="35"/>
      <c r="F159" s="35" t="s">
        <v>589</v>
      </c>
      <c r="G159" s="35" t="s">
        <v>184</v>
      </c>
      <c r="H159" s="35">
        <v>110</v>
      </c>
      <c r="I159" s="35" t="s">
        <v>389</v>
      </c>
      <c r="J159" s="36">
        <v>2008</v>
      </c>
      <c r="K159" s="39">
        <v>83.9166666666666</v>
      </c>
      <c r="L159" s="37">
        <v>560000</v>
      </c>
      <c r="M159" s="35" t="s">
        <v>596</v>
      </c>
      <c r="N159" s="27">
        <v>644989</v>
      </c>
      <c r="O159" s="38">
        <v>1.3357759954097801</v>
      </c>
      <c r="P159" s="38">
        <v>103.695432323438</v>
      </c>
      <c r="Q159" s="38" t="str" cm="1">
        <f t="array" ref="Q159">INDEX('MRT station dataset'!$C$3:$C$179, MATCH(MIN(SQRT(('MRT station dataset'!$E$3:$E$179-'Resale flat dataset'!O159)^2+('MRT station dataset'!$F$3:$F$179-'Resale flat dataset'!P159)^2)), SQRT(('MRT station dataset'!$E$3:$E$179-'Resale flat dataset'!O159)^2+('MRT station dataset'!$F$3:$F$179-'Resale flat dataset'!P159)^2), 0))</f>
        <v>PIONEER MRT STATION</v>
      </c>
      <c r="R159" s="38" t="str" cm="1">
        <f t="array" ref="R159">INDEX('Mall Dataset'!$B$3:$B$157, MATCH(MIN(SQRT(('Mall Dataset'!$E$3:$E$157-'Resale flat dataset'!O159)^2+('Mall Dataset'!$F$3:$F$157-'Resale flat dataset'!P159)^2)), SQRT(('Mall Dataset'!$E$3:$E$157-'Resale flat dataset'!O159)^2+('Mall Dataset'!$F$3:$F$157-'Resale flat dataset'!P159)^2), 0))</f>
        <v>Pioneer Mall</v>
      </c>
      <c r="S159" s="38" t="str" cm="1">
        <f t="array" ref="S159">INDEX('Schools dataset'!$B$3:$B$187, MATCH(MIN(SQRT(('Schools dataset'!$J$3:$J$187-'Resale flat dataset'!O159)^2+('Schools dataset'!$K$3:$K$187-'Resale flat dataset'!P159)^2)), SQRT(('Schools dataset'!$J$3:$J$187-'Resale flat dataset'!O159)^2+('Schools dataset'!$K$3:$K$187-'Resale flat dataset'!P159)^2), 0))</f>
        <v>FRONTIER PRIMARY SCHOOL</v>
      </c>
      <c r="T159" s="39">
        <f>ACOS(COS(RADIANS(90-O159))*COS(RADIANS(90-_xlfn.XLOOKUP(Q159,'MRT station dataset'!$C$3:$C$179,'MRT station dataset'!$E$3:$E$179)))+SIN(RADIANS(90-O159))*SIN(RADIANS(90-_xlfn.XLOOKUP(Q159,'MRT station dataset'!$C$3:$C$179,'MRT station dataset'!$E$3:$E$179)))*COS(RADIANS(P159-_xlfn.XLOOKUP('Resale flat dataset'!Q159,'MRT station dataset'!$C$3:$C$179,'MRT station dataset'!$F$3:$F$179))))*6371*1000</f>
        <v>290.24454859345281</v>
      </c>
      <c r="U159" s="39">
        <f>ACOS(COS(RADIANS(90-O159))*COS(RADIANS(90-_xlfn.XLOOKUP(R159,'Mall Dataset'!$B$3:$B$157,'Mall Dataset'!$E$3:$E$157,,0)))+SIN(RADIANS(90-O159))*SIN(RADIANS(90-_xlfn.XLOOKUP(R159,'Mall Dataset'!$B$3:$B$157,'Mall Dataset'!$E$3:$E$157,,0)))*COS(RADIANS(P159-_xlfn.XLOOKUP(R159,'Mall Dataset'!$B$3:$B$157,'Mall Dataset'!$F$3:$F$157,,0))))*6371*1000</f>
        <v>685.79839313403261</v>
      </c>
      <c r="V159" s="39">
        <f>ACOS(COS(RADIANS(90-O159))*COS(RADIANS(90-_xlfn.XLOOKUP(S159,'Schools dataset'!$B$3:$B$187,'Schools dataset'!$J$3:$J$187,,0)))+SIN(RADIANS(90-O159))*SIN(RADIANS(90-_xlfn.XLOOKUP(S159,'Schools dataset'!$B$3:$B$187,'Schools dataset'!$J$3:$J$187,,0)))*COS(RADIANS(P159-_xlfn.XLOOKUP(S159,'Schools dataset'!$B$3:$B$187,'Schools dataset'!$K$3:$K$187,,0))))*6371*1000</f>
        <v>497.59623493324455</v>
      </c>
      <c r="W159" s="20">
        <f>_xlfn.XLOOKUP(T159,'HDB Recommender'!$P$10:$P$39,'HDB Recommender'!$Q$10:$Q$39,"&gt;30mins",1)</f>
        <v>4</v>
      </c>
      <c r="X159" s="20">
        <f>_xlfn.XLOOKUP(U159,'HDB Recommender'!$P$10:$P$39,'HDB Recommender'!$Q$10:$Q$39,"&gt;30mins",1)</f>
        <v>10</v>
      </c>
      <c r="Y159" s="20">
        <f>_xlfn.XLOOKUP(V159,'HDB Recommender'!$P$10:$P$39,'HDB Recommender'!$Q$10:$Q$39,"&gt;30mins",1)</f>
        <v>7</v>
      </c>
      <c r="Z159" s="39">
        <f t="shared" si="5"/>
        <v>7</v>
      </c>
      <c r="AA159" s="20" t="str">
        <f t="shared" si="4"/>
        <v>Within 1km</v>
      </c>
    </row>
    <row r="160" spans="2:27" hidden="1">
      <c r="B160" s="35" t="s">
        <v>317</v>
      </c>
      <c r="C160" s="35" t="s">
        <v>566</v>
      </c>
      <c r="D160" s="35" t="s">
        <v>341</v>
      </c>
      <c r="E160" s="35">
        <v>323</v>
      </c>
      <c r="F160" s="35" t="s">
        <v>597</v>
      </c>
      <c r="G160" s="35" t="s">
        <v>189</v>
      </c>
      <c r="H160" s="35">
        <v>121</v>
      </c>
      <c r="I160" s="35" t="s">
        <v>326</v>
      </c>
      <c r="J160" s="36">
        <v>1997</v>
      </c>
      <c r="K160" s="39">
        <v>72.6666666666666</v>
      </c>
      <c r="L160" s="37">
        <v>585000</v>
      </c>
      <c r="M160" s="35" t="s">
        <v>598</v>
      </c>
      <c r="N160" s="27">
        <v>610323</v>
      </c>
      <c r="O160" s="38">
        <v>1.3368180785281001</v>
      </c>
      <c r="P160" s="38">
        <v>103.723914562532</v>
      </c>
      <c r="Q160" s="38" t="str" cm="1">
        <f t="array" ref="Q160">INDEX('MRT station dataset'!$C$3:$C$179, MATCH(MIN(SQRT(('MRT station dataset'!$E$3:$E$179-'Resale flat dataset'!O160)^2+('MRT station dataset'!$F$3:$F$179-'Resale flat dataset'!P160)^2)), SQRT(('MRT station dataset'!$E$3:$E$179-'Resale flat dataset'!O160)^2+('MRT station dataset'!$F$3:$F$179-'Resale flat dataset'!P160)^2), 0))</f>
        <v>LAKESIDE MRT STATION</v>
      </c>
      <c r="R160" s="38" t="str" cm="1">
        <f t="array" ref="R160">INDEX('Mall Dataset'!$B$3:$B$157, MATCH(MIN(SQRT(('Mall Dataset'!$E$3:$E$157-'Resale flat dataset'!O160)^2+('Mall Dataset'!$F$3:$F$157-'Resale flat dataset'!P160)^2)), SQRT(('Mall Dataset'!$E$3:$E$157-'Resale flat dataset'!O160)^2+('Mall Dataset'!$F$3:$F$157-'Resale flat dataset'!P160)^2), 0))</f>
        <v>Taman Jurong Shopping Centre</v>
      </c>
      <c r="S160" s="38" t="str" cm="1">
        <f t="array" ref="S160">INDEX('Schools dataset'!$B$3:$B$187, MATCH(MIN(SQRT(('Schools dataset'!$J$3:$J$187-'Resale flat dataset'!O160)^2+('Schools dataset'!$K$3:$K$187-'Resale flat dataset'!P160)^2)), SQRT(('Schools dataset'!$J$3:$J$187-'Resale flat dataset'!O160)^2+('Schools dataset'!$K$3:$K$187-'Resale flat dataset'!P160)^2), 0))</f>
        <v>LAKESIDE PRIMARY SCHOOL</v>
      </c>
      <c r="T160" s="39">
        <f>ACOS(COS(RADIANS(90-O160))*COS(RADIANS(90-_xlfn.XLOOKUP(Q160,'MRT station dataset'!$C$3:$C$179,'MRT station dataset'!$E$3:$E$179)))+SIN(RADIANS(90-O160))*SIN(RADIANS(90-_xlfn.XLOOKUP(Q160,'MRT station dataset'!$C$3:$C$179,'MRT station dataset'!$E$3:$E$179)))*COS(RADIANS(P160-_xlfn.XLOOKUP('Resale flat dataset'!Q160,'MRT station dataset'!$C$3:$C$179,'MRT station dataset'!$F$3:$F$179))))*6371*1000</f>
        <v>896.90796968515963</v>
      </c>
      <c r="U160" s="39">
        <f>ACOS(COS(RADIANS(90-O160))*COS(RADIANS(90-_xlfn.XLOOKUP(R160,'Mall Dataset'!$B$3:$B$157,'Mall Dataset'!$E$3:$E$157,,0)))+SIN(RADIANS(90-O160))*SIN(RADIANS(90-_xlfn.XLOOKUP(R160,'Mall Dataset'!$B$3:$B$157,'Mall Dataset'!$E$3:$E$157,,0)))*COS(RADIANS(P160-_xlfn.XLOOKUP(R160,'Mall Dataset'!$B$3:$B$157,'Mall Dataset'!$F$3:$F$157,,0))))*6371*1000</f>
        <v>442.09005528360422</v>
      </c>
      <c r="V160" s="39">
        <f>ACOS(COS(RADIANS(90-O160))*COS(RADIANS(90-_xlfn.XLOOKUP(S160,'Schools dataset'!$B$3:$B$187,'Schools dataset'!$J$3:$J$187,,0)))+SIN(RADIANS(90-O160))*SIN(RADIANS(90-_xlfn.XLOOKUP(S160,'Schools dataset'!$B$3:$B$187,'Schools dataset'!$J$3:$J$187,,0)))*COS(RADIANS(P160-_xlfn.XLOOKUP(S160,'Schools dataset'!$B$3:$B$187,'Schools dataset'!$K$3:$K$187,,0))))*6371*1000</f>
        <v>665.62064913931908</v>
      </c>
      <c r="W160" s="20">
        <f>_xlfn.XLOOKUP(T160,'HDB Recommender'!$P$10:$P$39,'HDB Recommender'!$Q$10:$Q$39,"&gt;30mins",1)</f>
        <v>12</v>
      </c>
      <c r="X160" s="20">
        <f>_xlfn.XLOOKUP(U160,'HDB Recommender'!$P$10:$P$39,'HDB Recommender'!$Q$10:$Q$39,"&gt;30mins",1)</f>
        <v>6</v>
      </c>
      <c r="Y160" s="20">
        <f>_xlfn.XLOOKUP(V160,'HDB Recommender'!$P$10:$P$39,'HDB Recommender'!$Q$10:$Q$39,"&gt;30mins",1)</f>
        <v>9</v>
      </c>
      <c r="Z160" s="39">
        <f t="shared" si="5"/>
        <v>9</v>
      </c>
      <c r="AA160" s="20" t="str">
        <f t="shared" si="4"/>
        <v>Within 1km</v>
      </c>
    </row>
    <row r="161" spans="2:27" hidden="1">
      <c r="B161" s="35" t="s">
        <v>317</v>
      </c>
      <c r="C161" s="35" t="s">
        <v>566</v>
      </c>
      <c r="D161" s="35" t="s">
        <v>383</v>
      </c>
      <c r="E161" s="35">
        <v>719</v>
      </c>
      <c r="F161" s="35" t="s">
        <v>599</v>
      </c>
      <c r="G161" s="35" t="s">
        <v>349</v>
      </c>
      <c r="H161" s="35">
        <v>146</v>
      </c>
      <c r="I161" s="35" t="s">
        <v>392</v>
      </c>
      <c r="J161" s="36">
        <v>1992</v>
      </c>
      <c r="K161" s="39">
        <v>67.9166666666666</v>
      </c>
      <c r="L161" s="37">
        <v>720000</v>
      </c>
      <c r="M161" s="35" t="s">
        <v>600</v>
      </c>
      <c r="N161" s="27">
        <v>640719</v>
      </c>
      <c r="O161" s="38">
        <v>1.3445367697679</v>
      </c>
      <c r="P161" s="38">
        <v>103.696986199669</v>
      </c>
      <c r="Q161" s="38" t="str" cm="1">
        <f t="array" ref="Q161">INDEX('MRT station dataset'!$C$3:$C$179, MATCH(MIN(SQRT(('MRT station dataset'!$E$3:$E$179-'Resale flat dataset'!O161)^2+('MRT station dataset'!$F$3:$F$179-'Resale flat dataset'!P161)^2)), SQRT(('MRT station dataset'!$E$3:$E$179-'Resale flat dataset'!O161)^2+('MRT station dataset'!$F$3:$F$179-'Resale flat dataset'!P161)^2), 0))</f>
        <v>PIONEER MRT STATION</v>
      </c>
      <c r="R161" s="38" t="str" cm="1">
        <f t="array" ref="R161">INDEX('Mall Dataset'!$B$3:$B$157, MATCH(MIN(SQRT(('Mall Dataset'!$E$3:$E$157-'Resale flat dataset'!O161)^2+('Mall Dataset'!$F$3:$F$157-'Resale flat dataset'!P161)^2)), SQRT(('Mall Dataset'!$E$3:$E$157-'Resale flat dataset'!O161)^2+('Mall Dataset'!$F$3:$F$157-'Resale flat dataset'!P161)^2), 0))</f>
        <v>Pioneer Mall</v>
      </c>
      <c r="S161" s="38" t="str" cm="1">
        <f t="array" ref="S161">INDEX('Schools dataset'!$B$3:$B$187, MATCH(MIN(SQRT(('Schools dataset'!$J$3:$J$187-'Resale flat dataset'!O161)^2+('Schools dataset'!$K$3:$K$187-'Resale flat dataset'!P161)^2)), SQRT(('Schools dataset'!$J$3:$J$187-'Resale flat dataset'!O161)^2+('Schools dataset'!$K$3:$K$187-'Resale flat dataset'!P161)^2), 0))</f>
        <v>WEST GROVE PRIMARY SCHOOL</v>
      </c>
      <c r="T161" s="39">
        <f>ACOS(COS(RADIANS(90-O161))*COS(RADIANS(90-_xlfn.XLOOKUP(Q161,'MRT station dataset'!$C$3:$C$179,'MRT station dataset'!$E$3:$E$179)))+SIN(RADIANS(90-O161))*SIN(RADIANS(90-_xlfn.XLOOKUP(Q161,'MRT station dataset'!$C$3:$C$179,'MRT station dataset'!$E$3:$E$179)))*COS(RADIANS(P161-_xlfn.XLOOKUP('Resale flat dataset'!Q161,'MRT station dataset'!$C$3:$C$179,'MRT station dataset'!$F$3:$F$179))))*6371*1000</f>
        <v>772.12199822038042</v>
      </c>
      <c r="U161" s="39">
        <f>ACOS(COS(RADIANS(90-O161))*COS(RADIANS(90-_xlfn.XLOOKUP(R161,'Mall Dataset'!$B$3:$B$157,'Mall Dataset'!$E$3:$E$157,,0)))+SIN(RADIANS(90-O161))*SIN(RADIANS(90-_xlfn.XLOOKUP(R161,'Mall Dataset'!$B$3:$B$157,'Mall Dataset'!$E$3:$E$157,,0)))*COS(RADIANS(P161-_xlfn.XLOOKUP(R161,'Mall Dataset'!$B$3:$B$157,'Mall Dataset'!$F$3:$F$157,,0))))*6371*1000</f>
        <v>316.97480036122852</v>
      </c>
      <c r="V161" s="39">
        <f>ACOS(COS(RADIANS(90-O161))*COS(RADIANS(90-_xlfn.XLOOKUP(S161,'Schools dataset'!$B$3:$B$187,'Schools dataset'!$J$3:$J$187,,0)))+SIN(RADIANS(90-O161))*SIN(RADIANS(90-_xlfn.XLOOKUP(S161,'Schools dataset'!$B$3:$B$187,'Schools dataset'!$J$3:$J$187,,0)))*COS(RADIANS(P161-_xlfn.XLOOKUP(S161,'Schools dataset'!$B$3:$B$187,'Schools dataset'!$K$3:$K$187,,0))))*6371*1000</f>
        <v>220.74724900674104</v>
      </c>
      <c r="W161" s="20">
        <f>_xlfn.XLOOKUP(T161,'HDB Recommender'!$P$10:$P$39,'HDB Recommender'!$Q$10:$Q$39,"&gt;30mins",1)</f>
        <v>11</v>
      </c>
      <c r="X161" s="20">
        <f>_xlfn.XLOOKUP(U161,'HDB Recommender'!$P$10:$P$39,'HDB Recommender'!$Q$10:$Q$39,"&gt;30mins",1)</f>
        <v>5</v>
      </c>
      <c r="Y161" s="20">
        <f>_xlfn.XLOOKUP(V161,'HDB Recommender'!$P$10:$P$39,'HDB Recommender'!$Q$10:$Q$39,"&gt;30mins",1)</f>
        <v>3</v>
      </c>
      <c r="Z161" s="39">
        <f t="shared" si="5"/>
        <v>6.333333333333333</v>
      </c>
      <c r="AA161" s="20" t="str">
        <f t="shared" si="4"/>
        <v>Within 1km</v>
      </c>
    </row>
    <row r="162" spans="2:27" hidden="1">
      <c r="B162" s="35" t="s">
        <v>317</v>
      </c>
      <c r="C162" s="35" t="s">
        <v>566</v>
      </c>
      <c r="D162" s="35" t="s">
        <v>383</v>
      </c>
      <c r="E162" s="35"/>
      <c r="F162" s="35" t="s">
        <v>582</v>
      </c>
      <c r="G162" s="35" t="s">
        <v>184</v>
      </c>
      <c r="H162" s="35">
        <v>130</v>
      </c>
      <c r="I162" s="35" t="s">
        <v>384</v>
      </c>
      <c r="J162" s="36">
        <v>2000</v>
      </c>
      <c r="K162" s="39">
        <v>75.9166666666666</v>
      </c>
      <c r="L162" s="37">
        <v>700000</v>
      </c>
      <c r="M162" s="35" t="s">
        <v>601</v>
      </c>
      <c r="N162" s="27">
        <v>641669</v>
      </c>
      <c r="O162" s="38">
        <v>1.3428927165215401</v>
      </c>
      <c r="P162" s="38">
        <v>103.703136147885</v>
      </c>
      <c r="Q162" s="38" t="str" cm="1">
        <f t="array" ref="Q162">INDEX('MRT station dataset'!$C$3:$C$179, MATCH(MIN(SQRT(('MRT station dataset'!$E$3:$E$179-'Resale flat dataset'!O162)^2+('MRT station dataset'!$F$3:$F$179-'Resale flat dataset'!P162)^2)), SQRT(('MRT station dataset'!$E$3:$E$179-'Resale flat dataset'!O162)^2+('MRT station dataset'!$F$3:$F$179-'Resale flat dataset'!P162)^2), 0))</f>
        <v>BOON LAY MRT STATION</v>
      </c>
      <c r="R162" s="38" t="str" cm="1">
        <f t="array" ref="R162">INDEX('Mall Dataset'!$B$3:$B$157, MATCH(MIN(SQRT(('Mall Dataset'!$E$3:$E$157-'Resale flat dataset'!O162)^2+('Mall Dataset'!$F$3:$F$157-'Resale flat dataset'!P162)^2)), SQRT(('Mall Dataset'!$E$3:$E$157-'Resale flat dataset'!O162)^2+('Mall Dataset'!$F$3:$F$157-'Resale flat dataset'!P162)^2), 0))</f>
        <v>Jurong Point</v>
      </c>
      <c r="S162" s="38" t="str" cm="1">
        <f t="array" ref="S162">INDEX('Schools dataset'!$B$3:$B$187, MATCH(MIN(SQRT(('Schools dataset'!$J$3:$J$187-'Resale flat dataset'!O162)^2+('Schools dataset'!$K$3:$K$187-'Resale flat dataset'!P162)^2)), SQRT(('Schools dataset'!$J$3:$J$187-'Resale flat dataset'!O162)^2+('Schools dataset'!$K$3:$K$187-'Resale flat dataset'!P162)^2), 0))</f>
        <v>WEST GROVE PRIMARY SCHOOL</v>
      </c>
      <c r="T162" s="39">
        <f>ACOS(COS(RADIANS(90-O162))*COS(RADIANS(90-_xlfn.XLOOKUP(Q162,'MRT station dataset'!$C$3:$C$179,'MRT station dataset'!$E$3:$E$179)))+SIN(RADIANS(90-O162))*SIN(RADIANS(90-_xlfn.XLOOKUP(Q162,'MRT station dataset'!$C$3:$C$179,'MRT station dataset'!$E$3:$E$179)))*COS(RADIANS(P162-_xlfn.XLOOKUP('Resale flat dataset'!Q162,'MRT station dataset'!$C$3:$C$179,'MRT station dataset'!$F$3:$F$179))))*6371*1000</f>
        <v>579.99666566811698</v>
      </c>
      <c r="U162" s="39">
        <f>ACOS(COS(RADIANS(90-O162))*COS(RADIANS(90-_xlfn.XLOOKUP(R162,'Mall Dataset'!$B$3:$B$157,'Mall Dataset'!$E$3:$E$157,,0)))+SIN(RADIANS(90-O162))*SIN(RADIANS(90-_xlfn.XLOOKUP(R162,'Mall Dataset'!$B$3:$B$157,'Mall Dataset'!$E$3:$E$157,,0)))*COS(RADIANS(P162-_xlfn.XLOOKUP(R162,'Mall Dataset'!$B$3:$B$157,'Mall Dataset'!$F$3:$F$157,,0))))*6371*1000</f>
        <v>549.55547985993155</v>
      </c>
      <c r="V162" s="39">
        <f>ACOS(COS(RADIANS(90-O162))*COS(RADIANS(90-_xlfn.XLOOKUP(S162,'Schools dataset'!$B$3:$B$187,'Schools dataset'!$J$3:$J$187,,0)))+SIN(RADIANS(90-O162))*SIN(RADIANS(90-_xlfn.XLOOKUP(S162,'Schools dataset'!$B$3:$B$187,'Schools dataset'!$J$3:$J$187,,0)))*COS(RADIANS(P162-_xlfn.XLOOKUP(S162,'Schools dataset'!$B$3:$B$187,'Schools dataset'!$K$3:$K$187,,0))))*6371*1000</f>
        <v>505.97588205641262</v>
      </c>
      <c r="W162" s="20">
        <f>_xlfn.XLOOKUP(T162,'HDB Recommender'!$P$10:$P$39,'HDB Recommender'!$Q$10:$Q$39,"&gt;30mins",1)</f>
        <v>8</v>
      </c>
      <c r="X162" s="20">
        <f>_xlfn.XLOOKUP(U162,'HDB Recommender'!$P$10:$P$39,'HDB Recommender'!$Q$10:$Q$39,"&gt;30mins",1)</f>
        <v>8</v>
      </c>
      <c r="Y162" s="20">
        <f>_xlfn.XLOOKUP(V162,'HDB Recommender'!$P$10:$P$39,'HDB Recommender'!$Q$10:$Q$39,"&gt;30mins",1)</f>
        <v>7</v>
      </c>
      <c r="Z162" s="39">
        <f t="shared" si="5"/>
        <v>7.666666666666667</v>
      </c>
      <c r="AA162" s="20" t="str">
        <f t="shared" si="4"/>
        <v>Within 1km</v>
      </c>
    </row>
    <row r="163" spans="2:27" hidden="1">
      <c r="B163" s="35" t="s">
        <v>317</v>
      </c>
      <c r="C163" s="35" t="s">
        <v>566</v>
      </c>
      <c r="D163" s="35" t="s">
        <v>383</v>
      </c>
      <c r="E163" s="35"/>
      <c r="F163" s="35" t="s">
        <v>585</v>
      </c>
      <c r="G163" s="35" t="s">
        <v>323</v>
      </c>
      <c r="H163" s="35">
        <v>125</v>
      </c>
      <c r="I163" s="35" t="s">
        <v>384</v>
      </c>
      <c r="J163" s="36">
        <v>2002</v>
      </c>
      <c r="K163" s="39">
        <v>77.9166666666666</v>
      </c>
      <c r="L163" s="37">
        <v>671000</v>
      </c>
      <c r="M163" s="35" t="s">
        <v>602</v>
      </c>
      <c r="N163" s="27">
        <v>642671</v>
      </c>
      <c r="O163" s="38">
        <v>1.34395979895533</v>
      </c>
      <c r="P163" s="38">
        <v>103.701895501679</v>
      </c>
      <c r="Q163" s="38" t="str" cm="1">
        <f t="array" ref="Q163">INDEX('MRT station dataset'!$C$3:$C$179, MATCH(MIN(SQRT(('MRT station dataset'!$E$3:$E$179-'Resale flat dataset'!O163)^2+('MRT station dataset'!$F$3:$F$179-'Resale flat dataset'!P163)^2)), SQRT(('MRT station dataset'!$E$3:$E$179-'Resale flat dataset'!O163)^2+('MRT station dataset'!$F$3:$F$179-'Resale flat dataset'!P163)^2), 0))</f>
        <v>BOON LAY MRT STATION</v>
      </c>
      <c r="R163" s="38" t="str" cm="1">
        <f t="array" ref="R163">INDEX('Mall Dataset'!$B$3:$B$157, MATCH(MIN(SQRT(('Mall Dataset'!$E$3:$E$157-'Resale flat dataset'!O163)^2+('Mall Dataset'!$F$3:$F$157-'Resale flat dataset'!P163)^2)), SQRT(('Mall Dataset'!$E$3:$E$157-'Resale flat dataset'!O163)^2+('Mall Dataset'!$F$3:$F$157-'Resale flat dataset'!P163)^2), 0))</f>
        <v>Pioneer Mall</v>
      </c>
      <c r="S163" s="38" t="str" cm="1">
        <f t="array" ref="S163">INDEX('Schools dataset'!$B$3:$B$187, MATCH(MIN(SQRT(('Schools dataset'!$J$3:$J$187-'Resale flat dataset'!O163)^2+('Schools dataset'!$K$3:$K$187-'Resale flat dataset'!P163)^2)), SQRT(('Schools dataset'!$J$3:$J$187-'Resale flat dataset'!O163)^2+('Schools dataset'!$K$3:$K$187-'Resale flat dataset'!P163)^2), 0))</f>
        <v>WEST GROVE PRIMARY SCHOOL</v>
      </c>
      <c r="T163" s="39">
        <f>ACOS(COS(RADIANS(90-O163))*COS(RADIANS(90-_xlfn.XLOOKUP(Q163,'MRT station dataset'!$C$3:$C$179,'MRT station dataset'!$E$3:$E$179)))+SIN(RADIANS(90-O163))*SIN(RADIANS(90-_xlfn.XLOOKUP(Q163,'MRT station dataset'!$C$3:$C$179,'MRT station dataset'!$E$3:$E$179)))*COS(RADIANS(P163-_xlfn.XLOOKUP('Resale flat dataset'!Q163,'MRT station dataset'!$C$3:$C$179,'MRT station dataset'!$F$3:$F$179))))*6371*1000</f>
        <v>757.39634223711664</v>
      </c>
      <c r="U163" s="39">
        <f>ACOS(COS(RADIANS(90-O163))*COS(RADIANS(90-_xlfn.XLOOKUP(R163,'Mall Dataset'!$B$3:$B$157,'Mall Dataset'!$E$3:$E$157,,0)))+SIN(RADIANS(90-O163))*SIN(RADIANS(90-_xlfn.XLOOKUP(R163,'Mall Dataset'!$B$3:$B$157,'Mall Dataset'!$E$3:$E$157,,0)))*COS(RADIANS(P163-_xlfn.XLOOKUP(R163,'Mall Dataset'!$B$3:$B$157,'Mall Dataset'!$F$3:$F$157,,0))))*6371*1000</f>
        <v>582.19355374222243</v>
      </c>
      <c r="V163" s="39">
        <f>ACOS(COS(RADIANS(90-O163))*COS(RADIANS(90-_xlfn.XLOOKUP(S163,'Schools dataset'!$B$3:$B$187,'Schools dataset'!$J$3:$J$187,,0)))+SIN(RADIANS(90-O163))*SIN(RADIANS(90-_xlfn.XLOOKUP(S163,'Schools dataset'!$B$3:$B$187,'Schools dataset'!$J$3:$J$187,,0)))*COS(RADIANS(P163-_xlfn.XLOOKUP(S163,'Schools dataset'!$B$3:$B$187,'Schools dataset'!$K$3:$K$187,,0))))*6371*1000</f>
        <v>336.42129534058409</v>
      </c>
      <c r="W163" s="20">
        <f>_xlfn.XLOOKUP(T163,'HDB Recommender'!$P$10:$P$39,'HDB Recommender'!$Q$10:$Q$39,"&gt;30mins",1)</f>
        <v>11</v>
      </c>
      <c r="X163" s="20">
        <f>_xlfn.XLOOKUP(U163,'HDB Recommender'!$P$10:$P$39,'HDB Recommender'!$Q$10:$Q$39,"&gt;30mins",1)</f>
        <v>8</v>
      </c>
      <c r="Y163" s="20">
        <f>_xlfn.XLOOKUP(V163,'HDB Recommender'!$P$10:$P$39,'HDB Recommender'!$Q$10:$Q$39,"&gt;30mins",1)</f>
        <v>5</v>
      </c>
      <c r="Z163" s="39">
        <f t="shared" si="5"/>
        <v>8</v>
      </c>
      <c r="AA163" s="20" t="str">
        <f t="shared" si="4"/>
        <v>Within 1km</v>
      </c>
    </row>
    <row r="164" spans="2:27" hidden="1">
      <c r="B164" s="35" t="s">
        <v>317</v>
      </c>
      <c r="C164" s="35" t="s">
        <v>603</v>
      </c>
      <c r="D164" s="35" t="s">
        <v>318</v>
      </c>
      <c r="E164" s="35">
        <v>57</v>
      </c>
      <c r="F164" s="35" t="s">
        <v>604</v>
      </c>
      <c r="G164" s="35" t="s">
        <v>189</v>
      </c>
      <c r="H164" s="35">
        <v>65</v>
      </c>
      <c r="I164" s="35" t="s">
        <v>326</v>
      </c>
      <c r="J164" s="36">
        <v>1974</v>
      </c>
      <c r="K164" s="39">
        <v>49.8333333333333</v>
      </c>
      <c r="L164" s="37">
        <v>335000</v>
      </c>
      <c r="M164" s="35" t="s">
        <v>605</v>
      </c>
      <c r="N164" s="27">
        <v>330057</v>
      </c>
      <c r="O164" s="38">
        <v>1.3235378067504899</v>
      </c>
      <c r="P164" s="38">
        <v>103.86914775647</v>
      </c>
      <c r="Q164" s="38" t="str" cm="1">
        <f t="array" ref="Q164">INDEX('MRT station dataset'!$C$3:$C$179, MATCH(MIN(SQRT(('MRT station dataset'!$E$3:$E$179-'Resale flat dataset'!O164)^2+('MRT station dataset'!$F$3:$F$179-'Resale flat dataset'!P164)^2)), SQRT(('MRT station dataset'!$E$3:$E$179-'Resale flat dataset'!O164)^2+('MRT station dataset'!$F$3:$F$179-'Resale flat dataset'!P164)^2), 0))</f>
        <v>GEYLANG BAHRU MRT STATION</v>
      </c>
      <c r="R164" s="38" t="str" cm="1">
        <f t="array" ref="R164">INDEX('Mall Dataset'!$B$3:$B$157, MATCH(MIN(SQRT(('Mall Dataset'!$E$3:$E$157-'Resale flat dataset'!O164)^2+('Mall Dataset'!$F$3:$F$157-'Resale flat dataset'!P164)^2)), SQRT(('Mall Dataset'!$E$3:$E$157-'Resale flat dataset'!O164)^2+('Mall Dataset'!$F$3:$F$157-'Resale flat dataset'!P164)^2), 0))</f>
        <v>The Poiz</v>
      </c>
      <c r="S164" s="38" t="str" cm="1">
        <f t="array" ref="S164">INDEX('Schools dataset'!$B$3:$B$187, MATCH(MIN(SQRT(('Schools dataset'!$J$3:$J$187-'Resale flat dataset'!O164)^2+('Schools dataset'!$K$3:$K$187-'Resale flat dataset'!P164)^2)), SQRT(('Schools dataset'!$J$3:$J$187-'Resale flat dataset'!O164)^2+('Schools dataset'!$K$3:$K$187-'Resale flat dataset'!P164)^2), 0))</f>
        <v>BENDEMEER PRIMARY SCHOOL</v>
      </c>
      <c r="T164" s="39">
        <f>ACOS(COS(RADIANS(90-O164))*COS(RADIANS(90-_xlfn.XLOOKUP(Q164,'MRT station dataset'!$C$3:$C$179,'MRT station dataset'!$E$3:$E$179)))+SIN(RADIANS(90-O164))*SIN(RADIANS(90-_xlfn.XLOOKUP(Q164,'MRT station dataset'!$C$3:$C$179,'MRT station dataset'!$E$3:$E$179)))*COS(RADIANS(P164-_xlfn.XLOOKUP('Resale flat dataset'!Q164,'MRT station dataset'!$C$3:$C$179,'MRT station dataset'!$F$3:$F$179))))*6371*1000</f>
        <v>380.7263747785554</v>
      </c>
      <c r="U164" s="39">
        <f>ACOS(COS(RADIANS(90-O164))*COS(RADIANS(90-_xlfn.XLOOKUP(R164,'Mall Dataset'!$B$3:$B$157,'Mall Dataset'!$E$3:$E$157,,0)))+SIN(RADIANS(90-O164))*SIN(RADIANS(90-_xlfn.XLOOKUP(R164,'Mall Dataset'!$B$3:$B$157,'Mall Dataset'!$E$3:$E$157,,0)))*COS(RADIANS(P164-_xlfn.XLOOKUP(R164,'Mall Dataset'!$B$3:$B$157,'Mall Dataset'!$F$3:$F$157,,0))))*6371*1000</f>
        <v>945.54738564575609</v>
      </c>
      <c r="V164" s="39">
        <f>ACOS(COS(RADIANS(90-O164))*COS(RADIANS(90-_xlfn.XLOOKUP(S164,'Schools dataset'!$B$3:$B$187,'Schools dataset'!$J$3:$J$187,,0)))+SIN(RADIANS(90-O164))*SIN(RADIANS(90-_xlfn.XLOOKUP(S164,'Schools dataset'!$B$3:$B$187,'Schools dataset'!$J$3:$J$187,,0)))*COS(RADIANS(P164-_xlfn.XLOOKUP(S164,'Schools dataset'!$B$3:$B$187,'Schools dataset'!$K$3:$K$187,,0))))*6371*1000</f>
        <v>504.87914264537005</v>
      </c>
      <c r="W164" s="20">
        <f>_xlfn.XLOOKUP(T164,'HDB Recommender'!$P$10:$P$39,'HDB Recommender'!$Q$10:$Q$39,"&gt;30mins",1)</f>
        <v>6</v>
      </c>
      <c r="X164" s="20">
        <f>_xlfn.XLOOKUP(U164,'HDB Recommender'!$P$10:$P$39,'HDB Recommender'!$Q$10:$Q$39,"&gt;30mins",1)</f>
        <v>13</v>
      </c>
      <c r="Y164" s="20">
        <f>_xlfn.XLOOKUP(V164,'HDB Recommender'!$P$10:$P$39,'HDB Recommender'!$Q$10:$Q$39,"&gt;30mins",1)</f>
        <v>7</v>
      </c>
      <c r="Z164" s="39">
        <f t="shared" si="5"/>
        <v>8.6666666666666661</v>
      </c>
      <c r="AA164" s="20" t="str">
        <f t="shared" si="4"/>
        <v>Within 1km</v>
      </c>
    </row>
    <row r="165" spans="2:27" hidden="1">
      <c r="B165" s="35" t="s">
        <v>317</v>
      </c>
      <c r="C165" s="35" t="s">
        <v>603</v>
      </c>
      <c r="D165" s="35" t="s">
        <v>318</v>
      </c>
      <c r="E165" s="35">
        <v>73</v>
      </c>
      <c r="F165" s="35" t="s">
        <v>604</v>
      </c>
      <c r="G165" s="35" t="s">
        <v>349</v>
      </c>
      <c r="H165" s="35">
        <v>59</v>
      </c>
      <c r="I165" s="35" t="s">
        <v>326</v>
      </c>
      <c r="J165" s="36">
        <v>1974</v>
      </c>
      <c r="K165" s="39">
        <v>49.5</v>
      </c>
      <c r="L165" s="37">
        <v>330000</v>
      </c>
      <c r="M165" s="35" t="s">
        <v>606</v>
      </c>
      <c r="N165" s="27">
        <v>330073</v>
      </c>
      <c r="O165" s="38">
        <v>1.32264236942866</v>
      </c>
      <c r="P165" s="38">
        <v>103.870596516216</v>
      </c>
      <c r="Q165" s="38" t="str" cm="1">
        <f t="array" ref="Q165">INDEX('MRT station dataset'!$C$3:$C$179, MATCH(MIN(SQRT(('MRT station dataset'!$E$3:$E$179-'Resale flat dataset'!O165)^2+('MRT station dataset'!$F$3:$F$179-'Resale flat dataset'!P165)^2)), SQRT(('MRT station dataset'!$E$3:$E$179-'Resale flat dataset'!O165)^2+('MRT station dataset'!$F$3:$F$179-'Resale flat dataset'!P165)^2), 0))</f>
        <v>GEYLANG BAHRU MRT STATION</v>
      </c>
      <c r="R165" s="38" t="str" cm="1">
        <f t="array" ref="R165">INDEX('Mall Dataset'!$B$3:$B$157, MATCH(MIN(SQRT(('Mall Dataset'!$E$3:$E$157-'Resale flat dataset'!O165)^2+('Mall Dataset'!$F$3:$F$157-'Resale flat dataset'!P165)^2)), SQRT(('Mall Dataset'!$E$3:$E$157-'Resale flat dataset'!O165)^2+('Mall Dataset'!$F$3:$F$157-'Resale flat dataset'!P165)^2), 0))</f>
        <v>The Poiz</v>
      </c>
      <c r="S165" s="38" t="str" cm="1">
        <f t="array" ref="S165">INDEX('Schools dataset'!$B$3:$B$187, MATCH(MIN(SQRT(('Schools dataset'!$J$3:$J$187-'Resale flat dataset'!O165)^2+('Schools dataset'!$K$3:$K$187-'Resale flat dataset'!P165)^2)), SQRT(('Schools dataset'!$J$3:$J$187-'Resale flat dataset'!O165)^2+('Schools dataset'!$K$3:$K$187-'Resale flat dataset'!P165)^2), 0))</f>
        <v>BENDEMEER PRIMARY SCHOOL</v>
      </c>
      <c r="T165" s="39">
        <f>ACOS(COS(RADIANS(90-O165))*COS(RADIANS(90-_xlfn.XLOOKUP(Q165,'MRT station dataset'!$C$3:$C$179,'MRT station dataset'!$E$3:$E$179)))+SIN(RADIANS(90-O165))*SIN(RADIANS(90-_xlfn.XLOOKUP(Q165,'MRT station dataset'!$C$3:$C$179,'MRT station dataset'!$E$3:$E$179)))*COS(RADIANS(P165-_xlfn.XLOOKUP('Resale flat dataset'!Q165,'MRT station dataset'!$C$3:$C$179,'MRT station dataset'!$F$3:$F$179))))*6371*1000</f>
        <v>192.69707108800117</v>
      </c>
      <c r="U165" s="39">
        <f>ACOS(COS(RADIANS(90-O165))*COS(RADIANS(90-_xlfn.XLOOKUP(R165,'Mall Dataset'!$B$3:$B$157,'Mall Dataset'!$E$3:$E$157,,0)))+SIN(RADIANS(90-O165))*SIN(RADIANS(90-_xlfn.XLOOKUP(R165,'Mall Dataset'!$B$3:$B$157,'Mall Dataset'!$E$3:$E$157,,0)))*COS(RADIANS(P165-_xlfn.XLOOKUP(R165,'Mall Dataset'!$B$3:$B$157,'Mall Dataset'!$F$3:$F$157,,0))))*6371*1000</f>
        <v>1065.5405568401654</v>
      </c>
      <c r="V165" s="39">
        <f>ACOS(COS(RADIANS(90-O165))*COS(RADIANS(90-_xlfn.XLOOKUP(S165,'Schools dataset'!$B$3:$B$187,'Schools dataset'!$J$3:$J$187,,0)))+SIN(RADIANS(90-O165))*SIN(RADIANS(90-_xlfn.XLOOKUP(S165,'Schools dataset'!$B$3:$B$187,'Schools dataset'!$J$3:$J$187,,0)))*COS(RADIANS(P165-_xlfn.XLOOKUP(S165,'Schools dataset'!$B$3:$B$187,'Schools dataset'!$K$3:$K$187,,0))))*6371*1000</f>
        <v>653.80280726876822</v>
      </c>
      <c r="W165" s="20">
        <f>_xlfn.XLOOKUP(T165,'HDB Recommender'!$P$10:$P$39,'HDB Recommender'!$Q$10:$Q$39,"&gt;30mins",1)</f>
        <v>3</v>
      </c>
      <c r="X165" s="20">
        <f>_xlfn.XLOOKUP(U165,'HDB Recommender'!$P$10:$P$39,'HDB Recommender'!$Q$10:$Q$39,"&gt;30mins",1)</f>
        <v>15</v>
      </c>
      <c r="Y165" s="20">
        <f>_xlfn.XLOOKUP(V165,'HDB Recommender'!$P$10:$P$39,'HDB Recommender'!$Q$10:$Q$39,"&gt;30mins",1)</f>
        <v>9</v>
      </c>
      <c r="Z165" s="39">
        <f t="shared" si="5"/>
        <v>9</v>
      </c>
      <c r="AA165" s="20" t="str">
        <f t="shared" si="4"/>
        <v>Within 1km</v>
      </c>
    </row>
    <row r="166" spans="2:27" hidden="1">
      <c r="B166" s="35" t="s">
        <v>317</v>
      </c>
      <c r="C166" s="35" t="s">
        <v>603</v>
      </c>
      <c r="D166" s="35" t="s">
        <v>318</v>
      </c>
      <c r="E166" s="35">
        <v>2</v>
      </c>
      <c r="F166" s="35" t="s">
        <v>607</v>
      </c>
      <c r="G166" s="35" t="s">
        <v>189</v>
      </c>
      <c r="H166" s="35">
        <v>60</v>
      </c>
      <c r="I166" s="35" t="s">
        <v>342</v>
      </c>
      <c r="J166" s="36">
        <v>1969</v>
      </c>
      <c r="K166" s="39">
        <v>44.3333333333333</v>
      </c>
      <c r="L166" s="37">
        <v>333000</v>
      </c>
      <c r="M166" s="35" t="s">
        <v>608</v>
      </c>
      <c r="N166" s="27">
        <v>431002</v>
      </c>
      <c r="O166" s="38">
        <v>1.33602354180577</v>
      </c>
      <c r="P166" s="38">
        <v>103.788130899552</v>
      </c>
      <c r="Q166" s="38" t="str" cm="1">
        <f t="array" ref="Q166">INDEX('MRT station dataset'!$C$3:$C$179, MATCH(MIN(SQRT(('MRT station dataset'!$E$3:$E$179-'Resale flat dataset'!O166)^2+('MRT station dataset'!$F$3:$F$179-'Resale flat dataset'!P166)^2)), SQRT(('MRT station dataset'!$E$3:$E$179-'Resale flat dataset'!O166)^2+('MRT station dataset'!$F$3:$F$179-'Resale flat dataset'!P166)^2), 0))</f>
        <v>KING ALBERT PARK MRT STATION</v>
      </c>
      <c r="R166" s="38" t="str" cm="1">
        <f t="array" ref="R166">INDEX('Mall Dataset'!$B$3:$B$157, MATCH(MIN(SQRT(('Mall Dataset'!$E$3:$E$157-'Resale flat dataset'!O166)^2+('Mall Dataset'!$F$3:$F$157-'Resale flat dataset'!P166)^2)), SQRT(('Mall Dataset'!$E$3:$E$157-'Resale flat dataset'!O166)^2+('Mall Dataset'!$F$3:$F$157-'Resale flat dataset'!P166)^2), 0))</f>
        <v>Bukit Timah Plaza</v>
      </c>
      <c r="S166" s="38" t="str" cm="1">
        <f t="array" ref="S166">INDEX('Schools dataset'!$B$3:$B$187, MATCH(MIN(SQRT(('Schools dataset'!$J$3:$J$187-'Resale flat dataset'!O166)^2+('Schools dataset'!$K$3:$K$187-'Resale flat dataset'!P166)^2)), SQRT(('Schools dataset'!$J$3:$J$187-'Resale flat dataset'!O166)^2+('Schools dataset'!$K$3:$K$187-'Resale flat dataset'!P166)^2), 0))</f>
        <v>METHODIST GIRLS' SCHOOL (PRIMARY)</v>
      </c>
      <c r="T166" s="39">
        <f>ACOS(COS(RADIANS(90-O166))*COS(RADIANS(90-_xlfn.XLOOKUP(Q166,'MRT station dataset'!$C$3:$C$179,'MRT station dataset'!$E$3:$E$179)))+SIN(RADIANS(90-O166))*SIN(RADIANS(90-_xlfn.XLOOKUP(Q166,'MRT station dataset'!$C$3:$C$179,'MRT station dataset'!$E$3:$E$179)))*COS(RADIANS(P166-_xlfn.XLOOKUP('Resale flat dataset'!Q166,'MRT station dataset'!$C$3:$C$179,'MRT station dataset'!$F$3:$F$179))))*6371*1000</f>
        <v>482.785465686137</v>
      </c>
      <c r="U166" s="39">
        <f>ACOS(COS(RADIANS(90-O166))*COS(RADIANS(90-_xlfn.XLOOKUP(R166,'Mall Dataset'!$B$3:$B$157,'Mall Dataset'!$E$3:$E$157,,0)))+SIN(RADIANS(90-O166))*SIN(RADIANS(90-_xlfn.XLOOKUP(R166,'Mall Dataset'!$B$3:$B$157,'Mall Dataset'!$E$3:$E$157,,0)))*COS(RADIANS(P166-_xlfn.XLOOKUP(R166,'Mall Dataset'!$B$3:$B$157,'Mall Dataset'!$F$3:$F$157,,0))))*6371*1000</f>
        <v>1100.0353025600302</v>
      </c>
      <c r="V166" s="39">
        <f>ACOS(COS(RADIANS(90-O166))*COS(RADIANS(90-_xlfn.XLOOKUP(S166,'Schools dataset'!$B$3:$B$187,'Schools dataset'!$J$3:$J$187,,0)))+SIN(RADIANS(90-O166))*SIN(RADIANS(90-_xlfn.XLOOKUP(S166,'Schools dataset'!$B$3:$B$187,'Schools dataset'!$J$3:$J$187,,0)))*COS(RADIANS(P166-_xlfn.XLOOKUP(S166,'Schools dataset'!$B$3:$B$187,'Schools dataset'!$K$3:$K$187,,0))))*6371*1000</f>
        <v>646.82371171140949</v>
      </c>
      <c r="W166" s="20">
        <f>_xlfn.XLOOKUP(T166,'HDB Recommender'!$P$10:$P$39,'HDB Recommender'!$Q$10:$Q$39,"&gt;30mins",1)</f>
        <v>7</v>
      </c>
      <c r="X166" s="20">
        <f>_xlfn.XLOOKUP(U166,'HDB Recommender'!$P$10:$P$39,'HDB Recommender'!$Q$10:$Q$39,"&gt;30mins",1)</f>
        <v>15</v>
      </c>
      <c r="Y166" s="20">
        <f>_xlfn.XLOOKUP(V166,'HDB Recommender'!$P$10:$P$39,'HDB Recommender'!$Q$10:$Q$39,"&gt;30mins",1)</f>
        <v>9</v>
      </c>
      <c r="Z166" s="39">
        <f t="shared" si="5"/>
        <v>10.333333333333334</v>
      </c>
      <c r="AA166" s="20" t="str">
        <f t="shared" si="4"/>
        <v>Within 1km</v>
      </c>
    </row>
    <row r="167" spans="2:27" hidden="1">
      <c r="B167" s="35" t="s">
        <v>317</v>
      </c>
      <c r="C167" s="35" t="s">
        <v>603</v>
      </c>
      <c r="D167" s="35" t="s">
        <v>318</v>
      </c>
      <c r="E167" s="35">
        <v>5</v>
      </c>
      <c r="F167" s="35" t="s">
        <v>607</v>
      </c>
      <c r="G167" s="35" t="s">
        <v>191</v>
      </c>
      <c r="H167" s="35">
        <v>60</v>
      </c>
      <c r="I167" s="35" t="s">
        <v>342</v>
      </c>
      <c r="J167" s="36">
        <v>1969</v>
      </c>
      <c r="K167" s="39">
        <v>44.3333333333333</v>
      </c>
      <c r="L167" s="37">
        <v>300000</v>
      </c>
      <c r="M167" s="35" t="s">
        <v>609</v>
      </c>
      <c r="N167" s="27">
        <v>431005</v>
      </c>
      <c r="O167" s="38">
        <v>1.33569255382966</v>
      </c>
      <c r="P167" s="38">
        <v>103.787919120925</v>
      </c>
      <c r="Q167" s="38" t="str" cm="1">
        <f t="array" ref="Q167">INDEX('MRT station dataset'!$C$3:$C$179, MATCH(MIN(SQRT(('MRT station dataset'!$E$3:$E$179-'Resale flat dataset'!O167)^2+('MRT station dataset'!$F$3:$F$179-'Resale flat dataset'!P167)^2)), SQRT(('MRT station dataset'!$E$3:$E$179-'Resale flat dataset'!O167)^2+('MRT station dataset'!$F$3:$F$179-'Resale flat dataset'!P167)^2), 0))</f>
        <v>KING ALBERT PARK MRT STATION</v>
      </c>
      <c r="R167" s="38" t="str" cm="1">
        <f t="array" ref="R167">INDEX('Mall Dataset'!$B$3:$B$157, MATCH(MIN(SQRT(('Mall Dataset'!$E$3:$E$157-'Resale flat dataset'!O167)^2+('Mall Dataset'!$F$3:$F$157-'Resale flat dataset'!P167)^2)), SQRT(('Mall Dataset'!$E$3:$E$157-'Resale flat dataset'!O167)^2+('Mall Dataset'!$F$3:$F$157-'Resale flat dataset'!P167)^2), 0))</f>
        <v>Bukit Timah Plaza</v>
      </c>
      <c r="S167" s="38" t="str" cm="1">
        <f t="array" ref="S167">INDEX('Schools dataset'!$B$3:$B$187, MATCH(MIN(SQRT(('Schools dataset'!$J$3:$J$187-'Resale flat dataset'!O167)^2+('Schools dataset'!$K$3:$K$187-'Resale flat dataset'!P167)^2)), SQRT(('Schools dataset'!$J$3:$J$187-'Resale flat dataset'!O167)^2+('Schools dataset'!$K$3:$K$187-'Resale flat dataset'!P167)^2), 0))</f>
        <v>METHODIST GIRLS' SCHOOL (PRIMARY)</v>
      </c>
      <c r="T167" s="39">
        <f>ACOS(COS(RADIANS(90-O167))*COS(RADIANS(90-_xlfn.XLOOKUP(Q167,'MRT station dataset'!$C$3:$C$179,'MRT station dataset'!$E$3:$E$179)))+SIN(RADIANS(90-O167))*SIN(RADIANS(90-_xlfn.XLOOKUP(Q167,'MRT station dataset'!$C$3:$C$179,'MRT station dataset'!$E$3:$E$179)))*COS(RADIANS(P167-_xlfn.XLOOKUP('Resale flat dataset'!Q167,'MRT station dataset'!$C$3:$C$179,'MRT station dataset'!$F$3:$F$179))))*6371*1000</f>
        <v>457.90163052744572</v>
      </c>
      <c r="U167" s="39">
        <f>ACOS(COS(RADIANS(90-O167))*COS(RADIANS(90-_xlfn.XLOOKUP(R167,'Mall Dataset'!$B$3:$B$157,'Mall Dataset'!$E$3:$E$157,,0)))+SIN(RADIANS(90-O167))*SIN(RADIANS(90-_xlfn.XLOOKUP(R167,'Mall Dataset'!$B$3:$B$157,'Mall Dataset'!$E$3:$E$157,,0)))*COS(RADIANS(P167-_xlfn.XLOOKUP(R167,'Mall Dataset'!$B$3:$B$157,'Mall Dataset'!$F$3:$F$157,,0))))*6371*1000</f>
        <v>1087.8287219419201</v>
      </c>
      <c r="V167" s="39">
        <f>ACOS(COS(RADIANS(90-O167))*COS(RADIANS(90-_xlfn.XLOOKUP(S167,'Schools dataset'!$B$3:$B$187,'Schools dataset'!$J$3:$J$187,,0)))+SIN(RADIANS(90-O167))*SIN(RADIANS(90-_xlfn.XLOOKUP(S167,'Schools dataset'!$B$3:$B$187,'Schools dataset'!$J$3:$J$187,,0)))*COS(RADIANS(P167-_xlfn.XLOOKUP(S167,'Schools dataset'!$B$3:$B$187,'Schools dataset'!$K$3:$K$187,,0))))*6371*1000</f>
        <v>606.56506626573071</v>
      </c>
      <c r="W167" s="20">
        <f>_xlfn.XLOOKUP(T167,'HDB Recommender'!$P$10:$P$39,'HDB Recommender'!$Q$10:$Q$39,"&gt;30mins",1)</f>
        <v>7</v>
      </c>
      <c r="X167" s="20">
        <f>_xlfn.XLOOKUP(U167,'HDB Recommender'!$P$10:$P$39,'HDB Recommender'!$Q$10:$Q$39,"&gt;30mins",1)</f>
        <v>15</v>
      </c>
      <c r="Y167" s="20">
        <f>_xlfn.XLOOKUP(V167,'HDB Recommender'!$P$10:$P$39,'HDB Recommender'!$Q$10:$Q$39,"&gt;30mins",1)</f>
        <v>9</v>
      </c>
      <c r="Z167" s="39">
        <f t="shared" si="5"/>
        <v>10.333333333333334</v>
      </c>
      <c r="AA167" s="20" t="str">
        <f t="shared" si="4"/>
        <v>Within 1km</v>
      </c>
    </row>
    <row r="168" spans="2:27" hidden="1">
      <c r="B168" s="35" t="s">
        <v>317</v>
      </c>
      <c r="C168" s="35" t="s">
        <v>603</v>
      </c>
      <c r="D168" s="35" t="s">
        <v>318</v>
      </c>
      <c r="E168" s="35">
        <v>14</v>
      </c>
      <c r="F168" s="35" t="s">
        <v>610</v>
      </c>
      <c r="G168" s="35" t="s">
        <v>189</v>
      </c>
      <c r="H168" s="35">
        <v>67</v>
      </c>
      <c r="I168" s="35" t="s">
        <v>320</v>
      </c>
      <c r="J168" s="36">
        <v>1984</v>
      </c>
      <c r="K168" s="39">
        <v>60.1666666666666</v>
      </c>
      <c r="L168" s="37">
        <v>385000</v>
      </c>
      <c r="M168" s="35" t="s">
        <v>611</v>
      </c>
      <c r="N168" s="27">
        <v>320014</v>
      </c>
      <c r="O168" s="38">
        <v>1.32372959519736</v>
      </c>
      <c r="P168" s="38">
        <v>103.862088437214</v>
      </c>
      <c r="Q168" s="38" t="str" cm="1">
        <f t="array" ref="Q168">INDEX('MRT station dataset'!$C$3:$C$179, MATCH(MIN(SQRT(('MRT station dataset'!$E$3:$E$179-'Resale flat dataset'!O168)^2+('MRT station dataset'!$F$3:$F$179-'Resale flat dataset'!P168)^2)), SQRT(('MRT station dataset'!$E$3:$E$179-'Resale flat dataset'!O168)^2+('MRT station dataset'!$F$3:$F$179-'Resale flat dataset'!P168)^2), 0))</f>
        <v>BOON KENG MRT STATION</v>
      </c>
      <c r="R168" s="38" t="str" cm="1">
        <f t="array" ref="R168">INDEX('Mall Dataset'!$B$3:$B$157, MATCH(MIN(SQRT(('Mall Dataset'!$E$3:$E$157-'Resale flat dataset'!O168)^2+('Mall Dataset'!$F$3:$F$157-'Resale flat dataset'!P168)^2)), SQRT(('Mall Dataset'!$E$3:$E$157-'Resale flat dataset'!O168)^2+('Mall Dataset'!$F$3:$F$157-'Resale flat dataset'!P168)^2), 0))</f>
        <v>The Poiz</v>
      </c>
      <c r="S168" s="38" t="str" cm="1">
        <f t="array" ref="S168">INDEX('Schools dataset'!$B$3:$B$187, MATCH(MIN(SQRT(('Schools dataset'!$J$3:$J$187-'Resale flat dataset'!O168)^2+('Schools dataset'!$K$3:$K$187-'Resale flat dataset'!P168)^2)), SQRT(('Schools dataset'!$J$3:$J$187-'Resale flat dataset'!O168)^2+('Schools dataset'!$K$3:$K$187-'Resale flat dataset'!P168)^2), 0))</f>
        <v>BENDEMEER PRIMARY SCHOOL</v>
      </c>
      <c r="T168" s="39">
        <f>ACOS(COS(RADIANS(90-O168))*COS(RADIANS(90-_xlfn.XLOOKUP(Q168,'MRT station dataset'!$C$3:$C$179,'MRT station dataset'!$E$3:$E$179)))+SIN(RADIANS(90-O168))*SIN(RADIANS(90-_xlfn.XLOOKUP(Q168,'MRT station dataset'!$C$3:$C$179,'MRT station dataset'!$E$3:$E$179)))*COS(RADIANS(P168-_xlfn.XLOOKUP('Resale flat dataset'!Q168,'MRT station dataset'!$C$3:$C$179,'MRT station dataset'!$F$3:$F$179))))*6371*1000</f>
        <v>483.36164096960954</v>
      </c>
      <c r="U168" s="39">
        <f>ACOS(COS(RADIANS(90-O168))*COS(RADIANS(90-_xlfn.XLOOKUP(R168,'Mall Dataset'!$B$3:$B$157,'Mall Dataset'!$E$3:$E$157,,0)))+SIN(RADIANS(90-O168))*SIN(RADIANS(90-_xlfn.XLOOKUP(R168,'Mall Dataset'!$B$3:$B$157,'Mall Dataset'!$E$3:$E$157,,0)))*COS(RADIANS(P168-_xlfn.XLOOKUP(R168,'Mall Dataset'!$B$3:$B$157,'Mall Dataset'!$F$3:$F$157,,0))))*6371*1000</f>
        <v>1176.8152173270137</v>
      </c>
      <c r="V168" s="39">
        <f>ACOS(COS(RADIANS(90-O168))*COS(RADIANS(90-_xlfn.XLOOKUP(S168,'Schools dataset'!$B$3:$B$187,'Schools dataset'!$J$3:$J$187,,0)))+SIN(RADIANS(90-O168))*SIN(RADIANS(90-_xlfn.XLOOKUP(S168,'Schools dataset'!$B$3:$B$187,'Schools dataset'!$J$3:$J$187,,0)))*COS(RADIANS(P168-_xlfn.XLOOKUP(S168,'Schools dataset'!$B$3:$B$187,'Schools dataset'!$K$3:$K$187,,0))))*6371*1000</f>
        <v>320.41847274875977</v>
      </c>
      <c r="W168" s="20">
        <f>_xlfn.XLOOKUP(T168,'HDB Recommender'!$P$10:$P$39,'HDB Recommender'!$Q$10:$Q$39,"&gt;30mins",1)</f>
        <v>7</v>
      </c>
      <c r="X168" s="20">
        <f>_xlfn.XLOOKUP(U168,'HDB Recommender'!$P$10:$P$39,'HDB Recommender'!$Q$10:$Q$39,"&gt;30mins",1)</f>
        <v>16</v>
      </c>
      <c r="Y168" s="20">
        <f>_xlfn.XLOOKUP(V168,'HDB Recommender'!$P$10:$P$39,'HDB Recommender'!$Q$10:$Q$39,"&gt;30mins",1)</f>
        <v>5</v>
      </c>
      <c r="Z168" s="39">
        <f t="shared" si="5"/>
        <v>9.3333333333333339</v>
      </c>
      <c r="AA168" s="20" t="str">
        <f t="shared" si="4"/>
        <v>Within 1km</v>
      </c>
    </row>
    <row r="169" spans="2:27" hidden="1">
      <c r="B169" s="35" t="s">
        <v>317</v>
      </c>
      <c r="C169" s="35" t="s">
        <v>603</v>
      </c>
      <c r="D169" s="35" t="s">
        <v>318</v>
      </c>
      <c r="E169" s="35">
        <v>16</v>
      </c>
      <c r="F169" s="35" t="s">
        <v>612</v>
      </c>
      <c r="G169" s="35" t="s">
        <v>346</v>
      </c>
      <c r="H169" s="35">
        <v>65</v>
      </c>
      <c r="I169" s="35" t="s">
        <v>326</v>
      </c>
      <c r="J169" s="36">
        <v>1975</v>
      </c>
      <c r="K169" s="39">
        <v>50.4166666666666</v>
      </c>
      <c r="L169" s="37">
        <v>380000</v>
      </c>
      <c r="M169" s="35" t="s">
        <v>613</v>
      </c>
      <c r="N169" s="27">
        <v>380016</v>
      </c>
      <c r="O169" s="38">
        <v>1.3154317581728301</v>
      </c>
      <c r="P169" s="38">
        <v>103.871651573593</v>
      </c>
      <c r="Q169" s="38" t="str" cm="1">
        <f t="array" ref="Q169">INDEX('MRT station dataset'!$C$3:$C$179, MATCH(MIN(SQRT(('MRT station dataset'!$E$3:$E$179-'Resale flat dataset'!O169)^2+('MRT station dataset'!$F$3:$F$179-'Resale flat dataset'!P169)^2)), SQRT(('MRT station dataset'!$E$3:$E$179-'Resale flat dataset'!O169)^2+('MRT station dataset'!$F$3:$F$179-'Resale flat dataset'!P169)^2), 0))</f>
        <v>KALLANG MRT STATION</v>
      </c>
      <c r="R169" s="38" t="str" cm="1">
        <f t="array" ref="R169">INDEX('Mall Dataset'!$B$3:$B$157, MATCH(MIN(SQRT(('Mall Dataset'!$E$3:$E$157-'Resale flat dataset'!O169)^2+('Mall Dataset'!$F$3:$F$157-'Resale flat dataset'!P169)^2)), SQRT(('Mall Dataset'!$E$3:$E$157-'Resale flat dataset'!O169)^2+('Mall Dataset'!$F$3:$F$157-'Resale flat dataset'!P169)^2), 0))</f>
        <v>Aperia</v>
      </c>
      <c r="S169" s="38" t="str" cm="1">
        <f t="array" ref="S169">INDEX('Schools dataset'!$B$3:$B$187, MATCH(MIN(SQRT(('Schools dataset'!$J$3:$J$187-'Resale flat dataset'!O169)^2+('Schools dataset'!$K$3:$K$187-'Resale flat dataset'!P169)^2)), SQRT(('Schools dataset'!$J$3:$J$187-'Resale flat dataset'!O169)^2+('Schools dataset'!$K$3:$K$187-'Resale flat dataset'!P169)^2), 0))</f>
        <v>BENDEMEER PRIMARY SCHOOL</v>
      </c>
      <c r="T169" s="39">
        <f>ACOS(COS(RADIANS(90-O169))*COS(RADIANS(90-_xlfn.XLOOKUP(Q169,'MRT station dataset'!$C$3:$C$179,'MRT station dataset'!$E$3:$E$179)))+SIN(RADIANS(90-O169))*SIN(RADIANS(90-_xlfn.XLOOKUP(Q169,'MRT station dataset'!$C$3:$C$179,'MRT station dataset'!$E$3:$E$179)))*COS(RADIANS(P169-_xlfn.XLOOKUP('Resale flat dataset'!Q169,'MRT station dataset'!$C$3:$C$179,'MRT station dataset'!$F$3:$F$179))))*6371*1000</f>
        <v>438.08512248472044</v>
      </c>
      <c r="U169" s="39">
        <f>ACOS(COS(RADIANS(90-O169))*COS(RADIANS(90-_xlfn.XLOOKUP(R169,'Mall Dataset'!$B$3:$B$157,'Mall Dataset'!$E$3:$E$157,,0)))+SIN(RADIANS(90-O169))*SIN(RADIANS(90-_xlfn.XLOOKUP(R169,'Mall Dataset'!$B$3:$B$157,'Mall Dataset'!$E$3:$E$157,,0)))*COS(RADIANS(P169-_xlfn.XLOOKUP(R169,'Mall Dataset'!$B$3:$B$157,'Mall Dataset'!$F$3:$F$157,,0))))*6371*1000</f>
        <v>984.59858161338309</v>
      </c>
      <c r="V169" s="39">
        <f>ACOS(COS(RADIANS(90-O169))*COS(RADIANS(90-_xlfn.XLOOKUP(S169,'Schools dataset'!$B$3:$B$187,'Schools dataset'!$J$3:$J$187,,0)))+SIN(RADIANS(90-O169))*SIN(RADIANS(90-_xlfn.XLOOKUP(S169,'Schools dataset'!$B$3:$B$187,'Schools dataset'!$J$3:$J$187,,0)))*COS(RADIANS(P169-_xlfn.XLOOKUP(S169,'Schools dataset'!$B$3:$B$187,'Schools dataset'!$K$3:$K$187,,0))))*6371*1000</f>
        <v>1104.5573796217882</v>
      </c>
      <c r="W169" s="20">
        <f>_xlfn.XLOOKUP(T169,'HDB Recommender'!$P$10:$P$39,'HDB Recommender'!$Q$10:$Q$39,"&gt;30mins",1)</f>
        <v>6</v>
      </c>
      <c r="X169" s="20">
        <f>_xlfn.XLOOKUP(U169,'HDB Recommender'!$P$10:$P$39,'HDB Recommender'!$Q$10:$Q$39,"&gt;30mins",1)</f>
        <v>14</v>
      </c>
      <c r="Y169" s="20">
        <f>_xlfn.XLOOKUP(V169,'HDB Recommender'!$P$10:$P$39,'HDB Recommender'!$Q$10:$Q$39,"&gt;30mins",1)</f>
        <v>15</v>
      </c>
      <c r="Z169" s="39">
        <f t="shared" si="5"/>
        <v>11.666666666666666</v>
      </c>
      <c r="AA169" s="20" t="str">
        <f t="shared" si="4"/>
        <v>between 1km and 2km</v>
      </c>
    </row>
    <row r="170" spans="2:27" hidden="1">
      <c r="B170" s="35" t="s">
        <v>317</v>
      </c>
      <c r="C170" s="35" t="s">
        <v>603</v>
      </c>
      <c r="D170" s="35" t="s">
        <v>20</v>
      </c>
      <c r="E170" s="35"/>
      <c r="F170" s="35" t="s">
        <v>612</v>
      </c>
      <c r="G170" s="35" t="s">
        <v>349</v>
      </c>
      <c r="H170" s="35">
        <v>90</v>
      </c>
      <c r="I170" s="35" t="s">
        <v>335</v>
      </c>
      <c r="J170" s="36">
        <v>2006</v>
      </c>
      <c r="K170" s="39">
        <v>82.0833333333333</v>
      </c>
      <c r="L170" s="37">
        <v>730000</v>
      </c>
      <c r="M170" s="35" t="s">
        <v>614</v>
      </c>
      <c r="N170" s="27">
        <v>383002</v>
      </c>
      <c r="O170" s="38">
        <v>1.3131279690447999</v>
      </c>
      <c r="P170" s="38">
        <v>103.871737005665</v>
      </c>
      <c r="Q170" s="38" t="str" cm="1">
        <f t="array" ref="Q170">INDEX('MRT station dataset'!$C$3:$C$179, MATCH(MIN(SQRT(('MRT station dataset'!$E$3:$E$179-'Resale flat dataset'!O170)^2+('MRT station dataset'!$F$3:$F$179-'Resale flat dataset'!P170)^2)), SQRT(('MRT station dataset'!$E$3:$E$179-'Resale flat dataset'!O170)^2+('MRT station dataset'!$F$3:$F$179-'Resale flat dataset'!P170)^2), 0))</f>
        <v>KALLANG MRT STATION</v>
      </c>
      <c r="R170" s="38" t="str" cm="1">
        <f t="array" ref="R170">INDEX('Mall Dataset'!$B$3:$B$157, MATCH(MIN(SQRT(('Mall Dataset'!$E$3:$E$157-'Resale flat dataset'!O170)^2+('Mall Dataset'!$F$3:$F$157-'Resale flat dataset'!P170)^2)), SQRT(('Mall Dataset'!$E$3:$E$157-'Resale flat dataset'!O170)^2+('Mall Dataset'!$F$3:$F$157-'Resale flat dataset'!P170)^2), 0))</f>
        <v>Aperia</v>
      </c>
      <c r="S170" s="38" t="str" cm="1">
        <f t="array" ref="S170">INDEX('Schools dataset'!$B$3:$B$187, MATCH(MIN(SQRT(('Schools dataset'!$J$3:$J$187-'Resale flat dataset'!O170)^2+('Schools dataset'!$K$3:$K$187-'Resale flat dataset'!P170)^2)), SQRT(('Schools dataset'!$J$3:$J$187-'Resale flat dataset'!O170)^2+('Schools dataset'!$K$3:$K$187-'Resale flat dataset'!P170)^2), 0))</f>
        <v>BENDEMEER PRIMARY SCHOOL</v>
      </c>
      <c r="T170" s="39">
        <f>ACOS(COS(RADIANS(90-O170))*COS(RADIANS(90-_xlfn.XLOOKUP(Q170,'MRT station dataset'!$C$3:$C$179,'MRT station dataset'!$E$3:$E$179)))+SIN(RADIANS(90-O170))*SIN(RADIANS(90-_xlfn.XLOOKUP(Q170,'MRT station dataset'!$C$3:$C$179,'MRT station dataset'!$E$3:$E$179)))*COS(RADIANS(P170-_xlfn.XLOOKUP('Resale flat dataset'!Q170,'MRT station dataset'!$C$3:$C$179,'MRT station dataset'!$F$3:$F$179))))*6371*1000</f>
        <v>184.8578698410106</v>
      </c>
      <c r="U170" s="39">
        <f>ACOS(COS(RADIANS(90-O170))*COS(RADIANS(90-_xlfn.XLOOKUP(R170,'Mall Dataset'!$B$3:$B$157,'Mall Dataset'!$E$3:$E$157,,0)))+SIN(RADIANS(90-O170))*SIN(RADIANS(90-_xlfn.XLOOKUP(R170,'Mall Dataset'!$B$3:$B$157,'Mall Dataset'!$E$3:$E$157,,0)))*COS(RADIANS(P170-_xlfn.XLOOKUP(R170,'Mall Dataset'!$B$3:$B$157,'Mall Dataset'!$F$3:$F$157,,0))))*6371*1000</f>
        <v>876.4604768420237</v>
      </c>
      <c r="V170" s="39">
        <f>ACOS(COS(RADIANS(90-O170))*COS(RADIANS(90-_xlfn.XLOOKUP(S170,'Schools dataset'!$B$3:$B$187,'Schools dataset'!$J$3:$J$187,,0)))+SIN(RADIANS(90-O170))*SIN(RADIANS(90-_xlfn.XLOOKUP(S170,'Schools dataset'!$B$3:$B$187,'Schools dataset'!$J$3:$J$187,,0)))*COS(RADIANS(P170-_xlfn.XLOOKUP(S170,'Schools dataset'!$B$3:$B$187,'Schools dataset'!$K$3:$K$187,,0))))*6371*1000</f>
        <v>1306.0020336157329</v>
      </c>
      <c r="W170" s="20">
        <f>_xlfn.XLOOKUP(T170,'HDB Recommender'!$P$10:$P$39,'HDB Recommender'!$Q$10:$Q$39,"&gt;30mins",1)</f>
        <v>3</v>
      </c>
      <c r="X170" s="20">
        <f>_xlfn.XLOOKUP(U170,'HDB Recommender'!$P$10:$P$39,'HDB Recommender'!$Q$10:$Q$39,"&gt;30mins",1)</f>
        <v>12</v>
      </c>
      <c r="Y170" s="20">
        <f>_xlfn.XLOOKUP(V170,'HDB Recommender'!$P$10:$P$39,'HDB Recommender'!$Q$10:$Q$39,"&gt;30mins",1)</f>
        <v>18</v>
      </c>
      <c r="Z170" s="39">
        <f t="shared" si="5"/>
        <v>11</v>
      </c>
      <c r="AA170" s="20" t="str">
        <f t="shared" si="4"/>
        <v>between 1km and 2km</v>
      </c>
    </row>
    <row r="171" spans="2:27" hidden="1">
      <c r="B171" s="35" t="s">
        <v>317</v>
      </c>
      <c r="C171" s="35" t="s">
        <v>603</v>
      </c>
      <c r="D171" s="35" t="s">
        <v>341</v>
      </c>
      <c r="E171" s="35">
        <v>10</v>
      </c>
      <c r="F171" s="35" t="s">
        <v>607</v>
      </c>
      <c r="G171" s="35" t="s">
        <v>189</v>
      </c>
      <c r="H171" s="35">
        <v>127</v>
      </c>
      <c r="I171" s="35" t="s">
        <v>326</v>
      </c>
      <c r="J171" s="36">
        <v>1986</v>
      </c>
      <c r="K171" s="39">
        <v>61.3333333333333</v>
      </c>
      <c r="L171" s="37">
        <v>810000</v>
      </c>
      <c r="M171" s="35" t="s">
        <v>615</v>
      </c>
      <c r="N171" s="27">
        <v>431010</v>
      </c>
      <c r="O171" s="38">
        <v>1.33613263860628</v>
      </c>
      <c r="P171" s="38">
        <v>103.78773535627499</v>
      </c>
      <c r="Q171" s="38" t="str" cm="1">
        <f t="array" ref="Q171">INDEX('MRT station dataset'!$C$3:$C$179, MATCH(MIN(SQRT(('MRT station dataset'!$E$3:$E$179-'Resale flat dataset'!O171)^2+('MRT station dataset'!$F$3:$F$179-'Resale flat dataset'!P171)^2)), SQRT(('MRT station dataset'!$E$3:$E$179-'Resale flat dataset'!O171)^2+('MRT station dataset'!$F$3:$F$179-'Resale flat dataset'!P171)^2), 0))</f>
        <v>KING ALBERT PARK MRT STATION</v>
      </c>
      <c r="R171" s="38" t="str" cm="1">
        <f t="array" ref="R171">INDEX('Mall Dataset'!$B$3:$B$157, MATCH(MIN(SQRT(('Mall Dataset'!$E$3:$E$157-'Resale flat dataset'!O171)^2+('Mall Dataset'!$F$3:$F$157-'Resale flat dataset'!P171)^2)), SQRT(('Mall Dataset'!$E$3:$E$157-'Resale flat dataset'!O171)^2+('Mall Dataset'!$F$3:$F$157-'Resale flat dataset'!P171)^2), 0))</f>
        <v>Bukit Timah Plaza</v>
      </c>
      <c r="S171" s="38" t="str" cm="1">
        <f t="array" ref="S171">INDEX('Schools dataset'!$B$3:$B$187, MATCH(MIN(SQRT(('Schools dataset'!$J$3:$J$187-'Resale flat dataset'!O171)^2+('Schools dataset'!$K$3:$K$187-'Resale flat dataset'!P171)^2)), SQRT(('Schools dataset'!$J$3:$J$187-'Resale flat dataset'!O171)^2+('Schools dataset'!$K$3:$K$187-'Resale flat dataset'!P171)^2), 0))</f>
        <v>METHODIST GIRLS' SCHOOL (PRIMARY)</v>
      </c>
      <c r="T171" s="39">
        <f>ACOS(COS(RADIANS(90-O171))*COS(RADIANS(90-_xlfn.XLOOKUP(Q171,'MRT station dataset'!$C$3:$C$179,'MRT station dataset'!$E$3:$E$179)))+SIN(RADIANS(90-O171))*SIN(RADIANS(90-_xlfn.XLOOKUP(Q171,'MRT station dataset'!$C$3:$C$179,'MRT station dataset'!$E$3:$E$179)))*COS(RADIANS(P171-_xlfn.XLOOKUP('Resale flat dataset'!Q171,'MRT station dataset'!$C$3:$C$179,'MRT station dataset'!$F$3:$F$179))))*6371*1000</f>
        <v>440.10985361062251</v>
      </c>
      <c r="U171" s="39">
        <f>ACOS(COS(RADIANS(90-O171))*COS(RADIANS(90-_xlfn.XLOOKUP(R171,'Mall Dataset'!$B$3:$B$157,'Mall Dataset'!$E$3:$E$157,,0)))+SIN(RADIANS(90-O171))*SIN(RADIANS(90-_xlfn.XLOOKUP(R171,'Mall Dataset'!$B$3:$B$157,'Mall Dataset'!$E$3:$E$157,,0)))*COS(RADIANS(P171-_xlfn.XLOOKUP(R171,'Mall Dataset'!$B$3:$B$157,'Mall Dataset'!$F$3:$F$157,,0))))*6371*1000</f>
        <v>1054.4222690339909</v>
      </c>
      <c r="V171" s="39">
        <f>ACOS(COS(RADIANS(90-O171))*COS(RADIANS(90-_xlfn.XLOOKUP(S171,'Schools dataset'!$B$3:$B$187,'Schools dataset'!$J$3:$J$187,,0)))+SIN(RADIANS(90-O171))*SIN(RADIANS(90-_xlfn.XLOOKUP(S171,'Schools dataset'!$B$3:$B$187,'Schools dataset'!$J$3:$J$187,,0)))*COS(RADIANS(P171-_xlfn.XLOOKUP(S171,'Schools dataset'!$B$3:$B$187,'Schools dataset'!$K$3:$K$187,,0))))*6371*1000</f>
        <v>618.95565368224243</v>
      </c>
      <c r="W171" s="20">
        <f>_xlfn.XLOOKUP(T171,'HDB Recommender'!$P$10:$P$39,'HDB Recommender'!$Q$10:$Q$39,"&gt;30mins",1)</f>
        <v>6</v>
      </c>
      <c r="X171" s="20">
        <f>_xlfn.XLOOKUP(U171,'HDB Recommender'!$P$10:$P$39,'HDB Recommender'!$Q$10:$Q$39,"&gt;30mins",1)</f>
        <v>15</v>
      </c>
      <c r="Y171" s="20">
        <f>_xlfn.XLOOKUP(V171,'HDB Recommender'!$P$10:$P$39,'HDB Recommender'!$Q$10:$Q$39,"&gt;30mins",1)</f>
        <v>9</v>
      </c>
      <c r="Z171" s="39">
        <f t="shared" si="5"/>
        <v>10</v>
      </c>
      <c r="AA171" s="20" t="str">
        <f t="shared" si="4"/>
        <v>Within 1km</v>
      </c>
    </row>
    <row r="172" spans="2:27" hidden="1">
      <c r="B172" s="35" t="s">
        <v>317</v>
      </c>
      <c r="C172" s="35" t="s">
        <v>616</v>
      </c>
      <c r="D172" s="35" t="s">
        <v>20</v>
      </c>
      <c r="E172" s="35">
        <v>63</v>
      </c>
      <c r="F172" s="35" t="s">
        <v>617</v>
      </c>
      <c r="G172" s="35" t="s">
        <v>189</v>
      </c>
      <c r="H172" s="35">
        <v>87</v>
      </c>
      <c r="I172" s="35" t="s">
        <v>326</v>
      </c>
      <c r="J172" s="36">
        <v>1976</v>
      </c>
      <c r="K172" s="39">
        <v>51.3333333333333</v>
      </c>
      <c r="L172" s="37">
        <v>555000</v>
      </c>
      <c r="M172" s="35" t="s">
        <v>618</v>
      </c>
      <c r="N172" s="27">
        <v>440063</v>
      </c>
      <c r="O172" s="38">
        <v>1.3023807015580999</v>
      </c>
      <c r="P172" s="38">
        <v>103.909238899358</v>
      </c>
      <c r="Q172" s="38" t="str" cm="1">
        <f t="array" ref="Q172">INDEX('MRT station dataset'!$C$3:$C$179, MATCH(MIN(SQRT(('MRT station dataset'!$E$3:$E$179-'Resale flat dataset'!O172)^2+('MRT station dataset'!$F$3:$F$179-'Resale flat dataset'!P172)^2)), SQRT(('MRT station dataset'!$E$3:$E$179-'Resale flat dataset'!O172)^2+('MRT station dataset'!$F$3:$F$179-'Resale flat dataset'!P172)^2), 0))</f>
        <v>EUNOS MRT STATION</v>
      </c>
      <c r="R172" s="38" t="str" cm="1">
        <f t="array" ref="R172">INDEX('Mall Dataset'!$B$3:$B$157, MATCH(MIN(SQRT(('Mall Dataset'!$E$3:$E$157-'Resale flat dataset'!O172)^2+('Mall Dataset'!$F$3:$F$157-'Resale flat dataset'!P172)^2)), SQRT(('Mall Dataset'!$E$3:$E$157-'Resale flat dataset'!O172)^2+('Mall Dataset'!$F$3:$F$157-'Resale flat dataset'!P172)^2), 0))</f>
        <v>Parkway Parade</v>
      </c>
      <c r="S172" s="38" t="str" cm="1">
        <f t="array" ref="S172">INDEX('Schools dataset'!$B$3:$B$187, MATCH(MIN(SQRT(('Schools dataset'!$J$3:$J$187-'Resale flat dataset'!O172)^2+('Schools dataset'!$K$3:$K$187-'Resale flat dataset'!P172)^2)), SQRT(('Schools dataset'!$J$3:$J$187-'Resale flat dataset'!O172)^2+('Schools dataset'!$K$3:$K$187-'Resale flat dataset'!P172)^2), 0))</f>
        <v>TAO NAN SCHOOL</v>
      </c>
      <c r="T172" s="39">
        <f>ACOS(COS(RADIANS(90-O172))*COS(RADIANS(90-_xlfn.XLOOKUP(Q172,'MRT station dataset'!$C$3:$C$179,'MRT station dataset'!$E$3:$E$179)))+SIN(RADIANS(90-O172))*SIN(RADIANS(90-_xlfn.XLOOKUP(Q172,'MRT station dataset'!$C$3:$C$179,'MRT station dataset'!$E$3:$E$179)))*COS(RADIANS(P172-_xlfn.XLOOKUP('Resale flat dataset'!Q172,'MRT station dataset'!$C$3:$C$179,'MRT station dataset'!$F$3:$F$179))))*6371*1000</f>
        <v>2046.361351679431</v>
      </c>
      <c r="U172" s="39">
        <f>ACOS(COS(RADIANS(90-O172))*COS(RADIANS(90-_xlfn.XLOOKUP(R172,'Mall Dataset'!$B$3:$B$157,'Mall Dataset'!$E$3:$E$157,,0)))+SIN(RADIANS(90-O172))*SIN(RADIANS(90-_xlfn.XLOOKUP(R172,'Mall Dataset'!$B$3:$B$157,'Mall Dataset'!$E$3:$E$157,,0)))*COS(RADIANS(P172-_xlfn.XLOOKUP(R172,'Mall Dataset'!$B$3:$B$157,'Mall Dataset'!$F$3:$F$157,,0))))*6371*1000</f>
        <v>463.6628582426805</v>
      </c>
      <c r="V172" s="39">
        <f>ACOS(COS(RADIANS(90-O172))*COS(RADIANS(90-_xlfn.XLOOKUP(S172,'Schools dataset'!$B$3:$B$187,'Schools dataset'!$J$3:$J$187,,0)))+SIN(RADIANS(90-O172))*SIN(RADIANS(90-_xlfn.XLOOKUP(S172,'Schools dataset'!$B$3:$B$187,'Schools dataset'!$J$3:$J$187,,0)))*COS(RADIANS(P172-_xlfn.XLOOKUP(S172,'Schools dataset'!$B$3:$B$187,'Schools dataset'!$K$3:$K$187,,0))))*6371*1000</f>
        <v>353.12343795772085</v>
      </c>
      <c r="W172" s="20">
        <f>_xlfn.XLOOKUP(T172,'HDB Recommender'!$P$10:$P$39,'HDB Recommender'!$Q$10:$Q$39,"&gt;30mins",1)</f>
        <v>28</v>
      </c>
      <c r="X172" s="20">
        <f>_xlfn.XLOOKUP(U172,'HDB Recommender'!$P$10:$P$39,'HDB Recommender'!$Q$10:$Q$39,"&gt;30mins",1)</f>
        <v>7</v>
      </c>
      <c r="Y172" s="20">
        <f>_xlfn.XLOOKUP(V172,'HDB Recommender'!$P$10:$P$39,'HDB Recommender'!$Q$10:$Q$39,"&gt;30mins",1)</f>
        <v>5</v>
      </c>
      <c r="Z172" s="39">
        <f t="shared" si="5"/>
        <v>13.333333333333334</v>
      </c>
      <c r="AA172" s="20" t="str">
        <f t="shared" si="4"/>
        <v>Within 1km</v>
      </c>
    </row>
    <row r="173" spans="2:27" hidden="1">
      <c r="B173" s="35" t="s">
        <v>317</v>
      </c>
      <c r="C173" s="35" t="s">
        <v>619</v>
      </c>
      <c r="D173" s="35" t="s">
        <v>20</v>
      </c>
      <c r="E173" s="35">
        <v>119</v>
      </c>
      <c r="F173" s="35" t="s">
        <v>620</v>
      </c>
      <c r="G173" s="35" t="s">
        <v>349</v>
      </c>
      <c r="H173" s="35">
        <v>106</v>
      </c>
      <c r="I173" s="35" t="s">
        <v>335</v>
      </c>
      <c r="J173" s="36">
        <v>1989</v>
      </c>
      <c r="K173" s="39">
        <v>64.8333333333333</v>
      </c>
      <c r="L173" s="37">
        <v>520000</v>
      </c>
      <c r="M173" s="35" t="s">
        <v>621</v>
      </c>
      <c r="N173" s="27">
        <v>510119</v>
      </c>
      <c r="O173" s="38">
        <v>1.36752490300235</v>
      </c>
      <c r="P173" s="38">
        <v>103.954781393933</v>
      </c>
      <c r="Q173" s="38" t="str" cm="1">
        <f t="array" ref="Q173">INDEX('MRT station dataset'!$C$3:$C$179, MATCH(MIN(SQRT(('MRT station dataset'!$E$3:$E$179-'Resale flat dataset'!O173)^2+('MRT station dataset'!$F$3:$F$179-'Resale flat dataset'!P173)^2)), SQRT(('MRT station dataset'!$E$3:$E$179-'Resale flat dataset'!O173)^2+('MRT station dataset'!$F$3:$F$179-'Resale flat dataset'!P173)^2), 0))</f>
        <v>PASIR RIS MRT STATION</v>
      </c>
      <c r="R173" s="38" t="str" cm="1">
        <f t="array" ref="R173">INDEX('Mall Dataset'!$B$3:$B$157, MATCH(MIN(SQRT(('Mall Dataset'!$E$3:$E$157-'Resale flat dataset'!O173)^2+('Mall Dataset'!$F$3:$F$157-'Resale flat dataset'!P173)^2)), SQRT(('Mall Dataset'!$E$3:$E$157-'Resale flat dataset'!O173)^2+('Mall Dataset'!$F$3:$F$157-'Resale flat dataset'!P173)^2), 0))</f>
        <v>White Sands</v>
      </c>
      <c r="S173" s="38" t="str" cm="1">
        <f t="array" ref="S173">INDEX('Schools dataset'!$B$3:$B$187, MATCH(MIN(SQRT(('Schools dataset'!$J$3:$J$187-'Resale flat dataset'!O173)^2+('Schools dataset'!$K$3:$K$187-'Resale flat dataset'!P173)^2)), SQRT(('Schools dataset'!$J$3:$J$187-'Resale flat dataset'!O173)^2+('Schools dataset'!$K$3:$K$187-'Resale flat dataset'!P173)^2), 0))</f>
        <v>CASUARINA PRIMARY SCHOOL</v>
      </c>
      <c r="T173" s="39">
        <f>ACOS(COS(RADIANS(90-O173))*COS(RADIANS(90-_xlfn.XLOOKUP(Q173,'MRT station dataset'!$C$3:$C$179,'MRT station dataset'!$E$3:$E$179)))+SIN(RADIANS(90-O173))*SIN(RADIANS(90-_xlfn.XLOOKUP(Q173,'MRT station dataset'!$C$3:$C$179,'MRT station dataset'!$E$3:$E$179)))*COS(RADIANS(P173-_xlfn.XLOOKUP('Resale flat dataset'!Q173,'MRT station dataset'!$C$3:$C$179,'MRT station dataset'!$F$3:$F$179))))*6371*1000</f>
        <v>861.34940829378252</v>
      </c>
      <c r="U173" s="39">
        <f>ACOS(COS(RADIANS(90-O173))*COS(RADIANS(90-_xlfn.XLOOKUP(R173,'Mall Dataset'!$B$3:$B$157,'Mall Dataset'!$E$3:$E$157,,0)))+SIN(RADIANS(90-O173))*SIN(RADIANS(90-_xlfn.XLOOKUP(R173,'Mall Dataset'!$B$3:$B$157,'Mall Dataset'!$E$3:$E$157,,0)))*COS(RADIANS(P173-_xlfn.XLOOKUP(R173,'Mall Dataset'!$B$3:$B$157,'Mall Dataset'!$F$3:$F$157,,0))))*6371*1000</f>
        <v>771.55187053375766</v>
      </c>
      <c r="V173" s="39">
        <f>ACOS(COS(RADIANS(90-O173))*COS(RADIANS(90-_xlfn.XLOOKUP(S173,'Schools dataset'!$B$3:$B$187,'Schools dataset'!$J$3:$J$187,,0)))+SIN(RADIANS(90-O173))*SIN(RADIANS(90-_xlfn.XLOOKUP(S173,'Schools dataset'!$B$3:$B$187,'Schools dataset'!$J$3:$J$187,,0)))*COS(RADIANS(P173-_xlfn.XLOOKUP(S173,'Schools dataset'!$B$3:$B$187,'Schools dataset'!$K$3:$K$187,,0))))*6371*1000</f>
        <v>672.68711755222728</v>
      </c>
      <c r="W173" s="20">
        <f>_xlfn.XLOOKUP(T173,'HDB Recommender'!$P$10:$P$39,'HDB Recommender'!$Q$10:$Q$39,"&gt;30mins",1)</f>
        <v>12</v>
      </c>
      <c r="X173" s="20">
        <f>_xlfn.XLOOKUP(U173,'HDB Recommender'!$P$10:$P$39,'HDB Recommender'!$Q$10:$Q$39,"&gt;30mins",1)</f>
        <v>11</v>
      </c>
      <c r="Y173" s="20">
        <f>_xlfn.XLOOKUP(V173,'HDB Recommender'!$P$10:$P$39,'HDB Recommender'!$Q$10:$Q$39,"&gt;30mins",1)</f>
        <v>9</v>
      </c>
      <c r="Z173" s="39">
        <f t="shared" si="5"/>
        <v>10.666666666666666</v>
      </c>
      <c r="AA173" s="20" t="str">
        <f t="shared" si="4"/>
        <v>Within 1km</v>
      </c>
    </row>
    <row r="174" spans="2:27" hidden="1">
      <c r="B174" s="35" t="s">
        <v>317</v>
      </c>
      <c r="C174" s="35" t="s">
        <v>619</v>
      </c>
      <c r="D174" s="35" t="s">
        <v>20</v>
      </c>
      <c r="E174" s="35">
        <v>230</v>
      </c>
      <c r="F174" s="35" t="s">
        <v>622</v>
      </c>
      <c r="G174" s="35" t="s">
        <v>189</v>
      </c>
      <c r="H174" s="35">
        <v>106</v>
      </c>
      <c r="I174" s="35" t="s">
        <v>335</v>
      </c>
      <c r="J174" s="36">
        <v>1993</v>
      </c>
      <c r="K174" s="39">
        <v>68.8333333333333</v>
      </c>
      <c r="L174" s="37">
        <v>535000</v>
      </c>
      <c r="M174" s="35" t="s">
        <v>623</v>
      </c>
      <c r="N174" s="27">
        <v>510230</v>
      </c>
      <c r="O174" s="38">
        <v>1.37289372103764</v>
      </c>
      <c r="P174" s="38">
        <v>103.961153966738</v>
      </c>
      <c r="Q174" s="38" t="str" cm="1">
        <f t="array" ref="Q174">INDEX('MRT station dataset'!$C$3:$C$179, MATCH(MIN(SQRT(('MRT station dataset'!$E$3:$E$179-'Resale flat dataset'!O174)^2+('MRT station dataset'!$F$3:$F$179-'Resale flat dataset'!P174)^2)), SQRT(('MRT station dataset'!$E$3:$E$179-'Resale flat dataset'!O174)^2+('MRT station dataset'!$F$3:$F$179-'Resale flat dataset'!P174)^2), 0))</f>
        <v>PASIR RIS MRT STATION</v>
      </c>
      <c r="R174" s="38" t="str" cm="1">
        <f t="array" ref="R174">INDEX('Mall Dataset'!$B$3:$B$157, MATCH(MIN(SQRT(('Mall Dataset'!$E$3:$E$157-'Resale flat dataset'!O174)^2+('Mall Dataset'!$F$3:$F$157-'Resale flat dataset'!P174)^2)), SQRT(('Mall Dataset'!$E$3:$E$157-'Resale flat dataset'!O174)^2+('Mall Dataset'!$F$3:$F$157-'Resale flat dataset'!P174)^2), 0))</f>
        <v>Downtown East</v>
      </c>
      <c r="S174" s="38" t="str" cm="1">
        <f t="array" ref="S174">INDEX('Schools dataset'!$B$3:$B$187, MATCH(MIN(SQRT(('Schools dataset'!$J$3:$J$187-'Resale flat dataset'!O174)^2+('Schools dataset'!$K$3:$K$187-'Resale flat dataset'!P174)^2)), SQRT(('Schools dataset'!$J$3:$J$187-'Resale flat dataset'!O174)^2+('Schools dataset'!$K$3:$K$187-'Resale flat dataset'!P174)^2), 0))</f>
        <v>PASIR RIS PRIMARY SCHOOL</v>
      </c>
      <c r="T174" s="39">
        <f>ACOS(COS(RADIANS(90-O174))*COS(RADIANS(90-_xlfn.XLOOKUP(Q174,'MRT station dataset'!$C$3:$C$179,'MRT station dataset'!$E$3:$E$179)))+SIN(RADIANS(90-O174))*SIN(RADIANS(90-_xlfn.XLOOKUP(Q174,'MRT station dataset'!$C$3:$C$179,'MRT station dataset'!$E$3:$E$179)))*COS(RADIANS(P174-_xlfn.XLOOKUP('Resale flat dataset'!Q174,'MRT station dataset'!$C$3:$C$179,'MRT station dataset'!$F$3:$F$179))))*6371*1000</f>
        <v>1317.7755416959055</v>
      </c>
      <c r="U174" s="39">
        <f>ACOS(COS(RADIANS(90-O174))*COS(RADIANS(90-_xlfn.XLOOKUP(R174,'Mall Dataset'!$B$3:$B$157,'Mall Dataset'!$E$3:$E$157,,0)))+SIN(RADIANS(90-O174))*SIN(RADIANS(90-_xlfn.XLOOKUP(R174,'Mall Dataset'!$B$3:$B$157,'Mall Dataset'!$E$3:$E$157,,0)))*COS(RADIANS(P174-_xlfn.XLOOKUP(R174,'Mall Dataset'!$B$3:$B$157,'Mall Dataset'!$F$3:$F$157,,0))))*6371*1000</f>
        <v>733.45622103651544</v>
      </c>
      <c r="V174" s="39">
        <f>ACOS(COS(RADIANS(90-O174))*COS(RADIANS(90-_xlfn.XLOOKUP(S174,'Schools dataset'!$B$3:$B$187,'Schools dataset'!$J$3:$J$187,,0)))+SIN(RADIANS(90-O174))*SIN(RADIANS(90-_xlfn.XLOOKUP(S174,'Schools dataset'!$B$3:$B$187,'Schools dataset'!$J$3:$J$187,,0)))*COS(RADIANS(P174-_xlfn.XLOOKUP(S174,'Schools dataset'!$B$3:$B$187,'Schools dataset'!$K$3:$K$187,,0))))*6371*1000</f>
        <v>202.67790103184512</v>
      </c>
      <c r="W174" s="20">
        <f>_xlfn.XLOOKUP(T174,'HDB Recommender'!$P$10:$P$39,'HDB Recommender'!$Q$10:$Q$39,"&gt;30mins",1)</f>
        <v>18</v>
      </c>
      <c r="X174" s="20">
        <f>_xlfn.XLOOKUP(U174,'HDB Recommender'!$P$10:$P$39,'HDB Recommender'!$Q$10:$Q$39,"&gt;30mins",1)</f>
        <v>10</v>
      </c>
      <c r="Y174" s="20">
        <f>_xlfn.XLOOKUP(V174,'HDB Recommender'!$P$10:$P$39,'HDB Recommender'!$Q$10:$Q$39,"&gt;30mins",1)</f>
        <v>3</v>
      </c>
      <c r="Z174" s="39">
        <f t="shared" si="5"/>
        <v>10.333333333333334</v>
      </c>
      <c r="AA174" s="20" t="str">
        <f t="shared" si="4"/>
        <v>Within 1km</v>
      </c>
    </row>
    <row r="175" spans="2:27" hidden="1">
      <c r="B175" s="35" t="s">
        <v>317</v>
      </c>
      <c r="C175" s="35" t="s">
        <v>619</v>
      </c>
      <c r="D175" s="35" t="s">
        <v>341</v>
      </c>
      <c r="E175" s="35">
        <v>631</v>
      </c>
      <c r="F175" s="35" t="s">
        <v>624</v>
      </c>
      <c r="G175" s="35" t="s">
        <v>189</v>
      </c>
      <c r="H175" s="35">
        <v>120</v>
      </c>
      <c r="I175" s="35" t="s">
        <v>326</v>
      </c>
      <c r="J175" s="36">
        <v>1995</v>
      </c>
      <c r="K175" s="39">
        <v>70.8333333333333</v>
      </c>
      <c r="L175" s="37">
        <v>630000</v>
      </c>
      <c r="M175" s="35" t="s">
        <v>625</v>
      </c>
      <c r="N175" s="27">
        <v>510631</v>
      </c>
      <c r="O175" s="38">
        <v>1.3788492120710101</v>
      </c>
      <c r="P175" s="38">
        <v>103.94017996591499</v>
      </c>
      <c r="Q175" s="38" t="str" cm="1">
        <f t="array" ref="Q175">INDEX('MRT station dataset'!$C$3:$C$179, MATCH(MIN(SQRT(('MRT station dataset'!$E$3:$E$179-'Resale flat dataset'!O175)^2+('MRT station dataset'!$F$3:$F$179-'Resale flat dataset'!P175)^2)), SQRT(('MRT station dataset'!$E$3:$E$179-'Resale flat dataset'!O175)^2+('MRT station dataset'!$F$3:$F$179-'Resale flat dataset'!P175)^2), 0))</f>
        <v>PASIR RIS MRT STATION</v>
      </c>
      <c r="R175" s="38" t="str" cm="1">
        <f t="array" ref="R175">INDEX('Mall Dataset'!$B$3:$B$157, MATCH(MIN(SQRT(('Mall Dataset'!$E$3:$E$157-'Resale flat dataset'!O175)^2+('Mall Dataset'!$F$3:$F$157-'Resale flat dataset'!P175)^2)), SQRT(('Mall Dataset'!$E$3:$E$157-'Resale flat dataset'!O175)^2+('Mall Dataset'!$F$3:$F$157-'Resale flat dataset'!P175)^2), 0))</f>
        <v>Elias Mall</v>
      </c>
      <c r="S175" s="38" t="str" cm="1">
        <f t="array" ref="S175">INDEX('Schools dataset'!$B$3:$B$187, MATCH(MIN(SQRT(('Schools dataset'!$J$3:$J$187-'Resale flat dataset'!O175)^2+('Schools dataset'!$K$3:$K$187-'Resale flat dataset'!P175)^2)), SQRT(('Schools dataset'!$J$3:$J$187-'Resale flat dataset'!O175)^2+('Schools dataset'!$K$3:$K$187-'Resale flat dataset'!P175)^2), 0))</f>
        <v>PARK VIEW PRIMARY SCHOOL</v>
      </c>
      <c r="T175" s="39">
        <f>ACOS(COS(RADIANS(90-O175))*COS(RADIANS(90-_xlfn.XLOOKUP(Q175,'MRT station dataset'!$C$3:$C$179,'MRT station dataset'!$E$3:$E$179)))+SIN(RADIANS(90-O175))*SIN(RADIANS(90-_xlfn.XLOOKUP(Q175,'MRT station dataset'!$C$3:$C$179,'MRT station dataset'!$E$3:$E$179)))*COS(RADIANS(P175-_xlfn.XLOOKUP('Resale flat dataset'!Q175,'MRT station dataset'!$C$3:$C$179,'MRT station dataset'!$F$3:$F$179))))*6371*1000</f>
        <v>1204.5051334629775</v>
      </c>
      <c r="U175" s="39">
        <f>ACOS(COS(RADIANS(90-O175))*COS(RADIANS(90-_xlfn.XLOOKUP(R175,'Mall Dataset'!$B$3:$B$157,'Mall Dataset'!$E$3:$E$157,,0)))+SIN(RADIANS(90-O175))*SIN(RADIANS(90-_xlfn.XLOOKUP(R175,'Mall Dataset'!$B$3:$B$157,'Mall Dataset'!$E$3:$E$157,,0)))*COS(RADIANS(P175-_xlfn.XLOOKUP(R175,'Mall Dataset'!$B$3:$B$157,'Mall Dataset'!$F$3:$F$157,,0))))*6371*1000</f>
        <v>261.62566297455749</v>
      </c>
      <c r="V175" s="39">
        <f>ACOS(COS(RADIANS(90-O175))*COS(RADIANS(90-_xlfn.XLOOKUP(S175,'Schools dataset'!$B$3:$B$187,'Schools dataset'!$J$3:$J$187,,0)))+SIN(RADIANS(90-O175))*SIN(RADIANS(90-_xlfn.XLOOKUP(S175,'Schools dataset'!$B$3:$B$187,'Schools dataset'!$J$3:$J$187,,0)))*COS(RADIANS(P175-_xlfn.XLOOKUP(S175,'Schools dataset'!$B$3:$B$187,'Schools dataset'!$K$3:$K$187,,0))))*6371*1000</f>
        <v>178.03993262660421</v>
      </c>
      <c r="W175" s="20">
        <f>_xlfn.XLOOKUP(T175,'HDB Recommender'!$P$10:$P$39,'HDB Recommender'!$Q$10:$Q$39,"&gt;30mins",1)</f>
        <v>17</v>
      </c>
      <c r="X175" s="20">
        <f>_xlfn.XLOOKUP(U175,'HDB Recommender'!$P$10:$P$39,'HDB Recommender'!$Q$10:$Q$39,"&gt;30mins",1)</f>
        <v>4</v>
      </c>
      <c r="Y175" s="20">
        <f>_xlfn.XLOOKUP(V175,'HDB Recommender'!$P$10:$P$39,'HDB Recommender'!$Q$10:$Q$39,"&gt;30mins",1)</f>
        <v>3</v>
      </c>
      <c r="Z175" s="39">
        <f t="shared" si="5"/>
        <v>8</v>
      </c>
      <c r="AA175" s="20" t="str">
        <f t="shared" si="4"/>
        <v>Within 1km</v>
      </c>
    </row>
    <row r="176" spans="2:27" hidden="1">
      <c r="B176" s="35" t="s">
        <v>317</v>
      </c>
      <c r="C176" s="35" t="s">
        <v>619</v>
      </c>
      <c r="D176" s="35" t="s">
        <v>383</v>
      </c>
      <c r="E176" s="35">
        <v>160</v>
      </c>
      <c r="F176" s="35" t="s">
        <v>626</v>
      </c>
      <c r="G176" s="35" t="s">
        <v>189</v>
      </c>
      <c r="H176" s="35">
        <v>149</v>
      </c>
      <c r="I176" s="35" t="s">
        <v>384</v>
      </c>
      <c r="J176" s="36">
        <v>1995</v>
      </c>
      <c r="K176" s="39">
        <v>70.5</v>
      </c>
      <c r="L176" s="37">
        <v>728000</v>
      </c>
      <c r="M176" s="35" t="s">
        <v>627</v>
      </c>
      <c r="N176" s="27">
        <v>510160</v>
      </c>
      <c r="O176" s="38">
        <v>1.3642955934170899</v>
      </c>
      <c r="P176" s="38">
        <v>103.962306880543</v>
      </c>
      <c r="Q176" s="38" t="str" cm="1">
        <f t="array" ref="Q176">INDEX('MRT station dataset'!$C$3:$C$179, MATCH(MIN(SQRT(('MRT station dataset'!$E$3:$E$179-'Resale flat dataset'!O176)^2+('MRT station dataset'!$F$3:$F$179-'Resale flat dataset'!P176)^2)), SQRT(('MRT station dataset'!$E$3:$E$179-'Resale flat dataset'!O176)^2+('MRT station dataset'!$F$3:$F$179-'Resale flat dataset'!P176)^2), 0))</f>
        <v>TAMPINES EAST MRT STATION</v>
      </c>
      <c r="R176" s="38" t="str" cm="1">
        <f t="array" ref="R176">INDEX('Mall Dataset'!$B$3:$B$157, MATCH(MIN(SQRT(('Mall Dataset'!$E$3:$E$157-'Resale flat dataset'!O176)^2+('Mall Dataset'!$F$3:$F$157-'Resale flat dataset'!P176)^2)), SQRT(('Mall Dataset'!$E$3:$E$157-'Resale flat dataset'!O176)^2+('Mall Dataset'!$F$3:$F$157-'Resale flat dataset'!P176)^2), 0))</f>
        <v>Loyang Point</v>
      </c>
      <c r="S176" s="38" t="str" cm="1">
        <f t="array" ref="S176">INDEX('Schools dataset'!$B$3:$B$187, MATCH(MIN(SQRT(('Schools dataset'!$J$3:$J$187-'Resale flat dataset'!O176)^2+('Schools dataset'!$K$3:$K$187-'Resale flat dataset'!P176)^2)), SQRT(('Schools dataset'!$J$3:$J$187-'Resale flat dataset'!O176)^2+('Schools dataset'!$K$3:$K$187-'Resale flat dataset'!P176)^2), 0))</f>
        <v>WHITE SANDS PRIMARY SCHOOL</v>
      </c>
      <c r="T176" s="39">
        <f>ACOS(COS(RADIANS(90-O176))*COS(RADIANS(90-_xlfn.XLOOKUP(Q176,'MRT station dataset'!$C$3:$C$179,'MRT station dataset'!$E$3:$E$179)))+SIN(RADIANS(90-O176))*SIN(RADIANS(90-_xlfn.XLOOKUP(Q176,'MRT station dataset'!$C$3:$C$179,'MRT station dataset'!$E$3:$E$179)))*COS(RADIANS(P176-_xlfn.XLOOKUP('Resale flat dataset'!Q176,'MRT station dataset'!$C$3:$C$179,'MRT station dataset'!$F$3:$F$179))))*6371*1000</f>
        <v>1242.7055145683819</v>
      </c>
      <c r="U176" s="39">
        <f>ACOS(COS(RADIANS(90-O176))*COS(RADIANS(90-_xlfn.XLOOKUP(R176,'Mall Dataset'!$B$3:$B$157,'Mall Dataset'!$E$3:$E$157,,0)))+SIN(RADIANS(90-O176))*SIN(RADIANS(90-_xlfn.XLOOKUP(R176,'Mall Dataset'!$B$3:$B$157,'Mall Dataset'!$E$3:$E$157,,0)))*COS(RADIANS(P176-_xlfn.XLOOKUP(R176,'Mall Dataset'!$B$3:$B$157,'Mall Dataset'!$F$3:$F$157,,0))))*6371*1000</f>
        <v>402.41118743725536</v>
      </c>
      <c r="V176" s="39">
        <f>ACOS(COS(RADIANS(90-O176))*COS(RADIANS(90-_xlfn.XLOOKUP(S176,'Schools dataset'!$B$3:$B$187,'Schools dataset'!$J$3:$J$187,,0)))+SIN(RADIANS(90-O176))*SIN(RADIANS(90-_xlfn.XLOOKUP(S176,'Schools dataset'!$B$3:$B$187,'Schools dataset'!$J$3:$J$187,,0)))*COS(RADIANS(P176-_xlfn.XLOOKUP(S176,'Schools dataset'!$B$3:$B$187,'Schools dataset'!$K$3:$K$187,,0))))*6371*1000</f>
        <v>208.53121136434473</v>
      </c>
      <c r="W176" s="20">
        <f>_xlfn.XLOOKUP(T176,'HDB Recommender'!$P$10:$P$39,'HDB Recommender'!$Q$10:$Q$39,"&gt;30mins",1)</f>
        <v>17</v>
      </c>
      <c r="X176" s="20">
        <f>_xlfn.XLOOKUP(U176,'HDB Recommender'!$P$10:$P$39,'HDB Recommender'!$Q$10:$Q$39,"&gt;30mins",1)</f>
        <v>6</v>
      </c>
      <c r="Y176" s="20">
        <f>_xlfn.XLOOKUP(V176,'HDB Recommender'!$P$10:$P$39,'HDB Recommender'!$Q$10:$Q$39,"&gt;30mins",1)</f>
        <v>3</v>
      </c>
      <c r="Z176" s="39">
        <f t="shared" si="5"/>
        <v>8.6666666666666661</v>
      </c>
      <c r="AA176" s="20" t="str">
        <f t="shared" si="4"/>
        <v>Within 1km</v>
      </c>
    </row>
    <row r="177" spans="2:27" hidden="1">
      <c r="B177" s="35" t="s">
        <v>317</v>
      </c>
      <c r="C177" s="35" t="s">
        <v>619</v>
      </c>
      <c r="D177" s="35" t="s">
        <v>383</v>
      </c>
      <c r="E177" s="35">
        <v>538</v>
      </c>
      <c r="F177" s="35" t="s">
        <v>628</v>
      </c>
      <c r="G177" s="35" t="s">
        <v>349</v>
      </c>
      <c r="H177" s="35">
        <v>143</v>
      </c>
      <c r="I177" s="35" t="s">
        <v>384</v>
      </c>
      <c r="J177" s="36">
        <v>1992</v>
      </c>
      <c r="K177" s="39">
        <v>68.25</v>
      </c>
      <c r="L177" s="37">
        <v>870000</v>
      </c>
      <c r="M177" s="35" t="s">
        <v>629</v>
      </c>
      <c r="N177" s="27">
        <v>510538</v>
      </c>
      <c r="O177" s="38">
        <v>1.36958955845832</v>
      </c>
      <c r="P177" s="38">
        <v>103.950289388629</v>
      </c>
      <c r="Q177" s="38" t="str" cm="1">
        <f t="array" ref="Q177">INDEX('MRT station dataset'!$C$3:$C$179, MATCH(MIN(SQRT(('MRT station dataset'!$E$3:$E$179-'Resale flat dataset'!O177)^2+('MRT station dataset'!$F$3:$F$179-'Resale flat dataset'!P177)^2)), SQRT(('MRT station dataset'!$E$3:$E$179-'Resale flat dataset'!O177)^2+('MRT station dataset'!$F$3:$F$179-'Resale flat dataset'!P177)^2), 0))</f>
        <v>PASIR RIS MRT STATION</v>
      </c>
      <c r="R177" s="38" t="str" cm="1">
        <f t="array" ref="R177">INDEX('Mall Dataset'!$B$3:$B$157, MATCH(MIN(SQRT(('Mall Dataset'!$E$3:$E$157-'Resale flat dataset'!O177)^2+('Mall Dataset'!$F$3:$F$157-'Resale flat dataset'!P177)^2)), SQRT(('Mall Dataset'!$E$3:$E$157-'Resale flat dataset'!O177)^2+('Mall Dataset'!$F$3:$F$157-'Resale flat dataset'!P177)^2), 0))</f>
        <v>White Sands</v>
      </c>
      <c r="S177" s="38" t="str" cm="1">
        <f t="array" ref="S177">INDEX('Schools dataset'!$B$3:$B$187, MATCH(MIN(SQRT(('Schools dataset'!$J$3:$J$187-'Resale flat dataset'!O177)^2+('Schools dataset'!$K$3:$K$187-'Resale flat dataset'!P177)^2)), SQRT(('Schools dataset'!$J$3:$J$187-'Resale flat dataset'!O177)^2+('Schools dataset'!$K$3:$K$187-'Resale flat dataset'!P177)^2), 0))</f>
        <v>ELIAS PARK PRIMARY SCHOOL</v>
      </c>
      <c r="T177" s="39">
        <f>ACOS(COS(RADIANS(90-O177))*COS(RADIANS(90-_xlfn.XLOOKUP(Q177,'MRT station dataset'!$C$3:$C$179,'MRT station dataset'!$E$3:$E$179)))+SIN(RADIANS(90-O177))*SIN(RADIANS(90-_xlfn.XLOOKUP(Q177,'MRT station dataset'!$C$3:$C$179,'MRT station dataset'!$E$3:$E$179)))*COS(RADIANS(P177-_xlfn.XLOOKUP('Resale flat dataset'!Q177,'MRT station dataset'!$C$3:$C$179,'MRT station dataset'!$F$3:$F$179))))*6371*1000</f>
        <v>394.85067275484931</v>
      </c>
      <c r="U177" s="39">
        <f>ACOS(COS(RADIANS(90-O177))*COS(RADIANS(90-_xlfn.XLOOKUP(R177,'Mall Dataset'!$B$3:$B$157,'Mall Dataset'!$E$3:$E$157,,0)))+SIN(RADIANS(90-O177))*SIN(RADIANS(90-_xlfn.XLOOKUP(R177,'Mall Dataset'!$B$3:$B$157,'Mall Dataset'!$E$3:$E$157,,0)))*COS(RADIANS(P177-_xlfn.XLOOKUP(R177,'Mall Dataset'!$B$3:$B$157,'Mall Dataset'!$F$3:$F$157,,0))))*6371*1000</f>
        <v>306.29912827630301</v>
      </c>
      <c r="V177" s="39">
        <f>ACOS(COS(RADIANS(90-O177))*COS(RADIANS(90-_xlfn.XLOOKUP(S177,'Schools dataset'!$B$3:$B$187,'Schools dataset'!$J$3:$J$187,,0)))+SIN(RADIANS(90-O177))*SIN(RADIANS(90-_xlfn.XLOOKUP(S177,'Schools dataset'!$B$3:$B$187,'Schools dataset'!$J$3:$J$187,,0)))*COS(RADIANS(P177-_xlfn.XLOOKUP(S177,'Schools dataset'!$B$3:$B$187,'Schools dataset'!$K$3:$K$187,,0))))*6371*1000</f>
        <v>823.72773244063649</v>
      </c>
      <c r="W177" s="20">
        <f>_xlfn.XLOOKUP(T177,'HDB Recommender'!$P$10:$P$39,'HDB Recommender'!$Q$10:$Q$39,"&gt;30mins",1)</f>
        <v>6</v>
      </c>
      <c r="X177" s="20">
        <f>_xlfn.XLOOKUP(U177,'HDB Recommender'!$P$10:$P$39,'HDB Recommender'!$Q$10:$Q$39,"&gt;30mins",1)</f>
        <v>5</v>
      </c>
      <c r="Y177" s="20">
        <f>_xlfn.XLOOKUP(V177,'HDB Recommender'!$P$10:$P$39,'HDB Recommender'!$Q$10:$Q$39,"&gt;30mins",1)</f>
        <v>11</v>
      </c>
      <c r="Z177" s="39">
        <f t="shared" si="5"/>
        <v>7.333333333333333</v>
      </c>
      <c r="AA177" s="20" t="str">
        <f t="shared" si="4"/>
        <v>Within 1km</v>
      </c>
    </row>
    <row r="178" spans="2:27" hidden="1">
      <c r="B178" s="35" t="s">
        <v>317</v>
      </c>
      <c r="C178" s="35" t="s">
        <v>630</v>
      </c>
      <c r="D178" s="35" t="s">
        <v>395</v>
      </c>
      <c r="E178" s="35"/>
      <c r="F178" s="35" t="s">
        <v>631</v>
      </c>
      <c r="G178" s="35" t="s">
        <v>191</v>
      </c>
      <c r="H178" s="35">
        <v>46</v>
      </c>
      <c r="I178" s="35" t="s">
        <v>335</v>
      </c>
      <c r="J178" s="36">
        <v>2014</v>
      </c>
      <c r="K178" s="39">
        <v>90.25</v>
      </c>
      <c r="L178" s="37">
        <v>320000</v>
      </c>
      <c r="M178" s="35" t="s">
        <v>632</v>
      </c>
      <c r="N178" s="27">
        <v>823209</v>
      </c>
      <c r="O178" s="38">
        <v>1.39930949012592</v>
      </c>
      <c r="P178" s="38">
        <v>103.900792344556</v>
      </c>
      <c r="Q178" s="38" t="str" cm="1">
        <f t="array" ref="Q178">INDEX('MRT station dataset'!$C$3:$C$179, MATCH(MIN(SQRT(('MRT station dataset'!$E$3:$E$179-'Resale flat dataset'!O178)^2+('MRT station dataset'!$F$3:$F$179-'Resale flat dataset'!P178)^2)), SQRT(('MRT station dataset'!$E$3:$E$179-'Resale flat dataset'!O178)^2+('MRT station dataset'!$F$3:$F$179-'Resale flat dataset'!P178)^2), 0))</f>
        <v>COMPASSVALE LRT STATION</v>
      </c>
      <c r="R178" s="38" t="str" cm="1">
        <f t="array" ref="R178">INDEX('Mall Dataset'!$B$3:$B$157, MATCH(MIN(SQRT(('Mall Dataset'!$E$3:$E$157-'Resale flat dataset'!O178)^2+('Mall Dataset'!$F$3:$F$157-'Resale flat dataset'!P178)^2)), SQRT(('Mall Dataset'!$E$3:$E$157-'Resale flat dataset'!O178)^2+('Mall Dataset'!$F$3:$F$157-'Resale flat dataset'!P178)^2), 0))</f>
        <v>Waterway Point</v>
      </c>
      <c r="S178" s="38" t="str" cm="1">
        <f t="array" ref="S178">INDEX('Schools dataset'!$B$3:$B$187, MATCH(MIN(SQRT(('Schools dataset'!$J$3:$J$187-'Resale flat dataset'!O178)^2+('Schools dataset'!$K$3:$K$187-'Resale flat dataset'!P178)^2)), SQRT(('Schools dataset'!$J$3:$J$187-'Resale flat dataset'!O178)^2+('Schools dataset'!$K$3:$K$187-'Resale flat dataset'!P178)^2), 0))</f>
        <v>PUNGGOL GREEN PRIMARY SCHOOL</v>
      </c>
      <c r="T178" s="39">
        <f>ACOS(COS(RADIANS(90-O178))*COS(RADIANS(90-_xlfn.XLOOKUP(Q178,'MRT station dataset'!$C$3:$C$179,'MRT station dataset'!$E$3:$E$179)))+SIN(RADIANS(90-O178))*SIN(RADIANS(90-_xlfn.XLOOKUP(Q178,'MRT station dataset'!$C$3:$C$179,'MRT station dataset'!$E$3:$E$179)))*COS(RADIANS(P178-_xlfn.XLOOKUP('Resale flat dataset'!Q178,'MRT station dataset'!$C$3:$C$179,'MRT station dataset'!$F$3:$F$179))))*6371*1000</f>
        <v>535.77738639100221</v>
      </c>
      <c r="U178" s="39">
        <f>ACOS(COS(RADIANS(90-O178))*COS(RADIANS(90-_xlfn.XLOOKUP(R178,'Mall Dataset'!$B$3:$B$157,'Mall Dataset'!$E$3:$E$157,,0)))+SIN(RADIANS(90-O178))*SIN(RADIANS(90-_xlfn.XLOOKUP(R178,'Mall Dataset'!$B$3:$B$157,'Mall Dataset'!$E$3:$E$157,,0)))*COS(RADIANS(P178-_xlfn.XLOOKUP(R178,'Mall Dataset'!$B$3:$B$157,'Mall Dataset'!$F$3:$F$157,,0))))*6371*1000</f>
        <v>800.95639431434938</v>
      </c>
      <c r="V178" s="39">
        <f>ACOS(COS(RADIANS(90-O178))*COS(RADIANS(90-_xlfn.XLOOKUP(S178,'Schools dataset'!$B$3:$B$187,'Schools dataset'!$J$3:$J$187,,0)))+SIN(RADIANS(90-O178))*SIN(RADIANS(90-_xlfn.XLOOKUP(S178,'Schools dataset'!$B$3:$B$187,'Schools dataset'!$J$3:$J$187,,0)))*COS(RADIANS(P178-_xlfn.XLOOKUP(S178,'Schools dataset'!$B$3:$B$187,'Schools dataset'!$K$3:$K$187,,0))))*6371*1000</f>
        <v>354.41526136449909</v>
      </c>
      <c r="W178" s="20">
        <f>_xlfn.XLOOKUP(T178,'HDB Recommender'!$P$10:$P$39,'HDB Recommender'!$Q$10:$Q$39,"&gt;30mins",1)</f>
        <v>8</v>
      </c>
      <c r="X178" s="20">
        <f>_xlfn.XLOOKUP(U178,'HDB Recommender'!$P$10:$P$39,'HDB Recommender'!$Q$10:$Q$39,"&gt;30mins",1)</f>
        <v>11</v>
      </c>
      <c r="Y178" s="20">
        <f>_xlfn.XLOOKUP(V178,'HDB Recommender'!$P$10:$P$39,'HDB Recommender'!$Q$10:$Q$39,"&gt;30mins",1)</f>
        <v>5</v>
      </c>
      <c r="Z178" s="39">
        <f t="shared" si="5"/>
        <v>8</v>
      </c>
      <c r="AA178" s="20" t="str">
        <f t="shared" si="4"/>
        <v>Within 1km</v>
      </c>
    </row>
    <row r="179" spans="2:27" hidden="1">
      <c r="B179" s="35" t="s">
        <v>317</v>
      </c>
      <c r="C179" s="35" t="s">
        <v>630</v>
      </c>
      <c r="D179" s="35" t="s">
        <v>20</v>
      </c>
      <c r="E179" s="35"/>
      <c r="F179" s="35" t="s">
        <v>633</v>
      </c>
      <c r="G179" s="35" t="s">
        <v>323</v>
      </c>
      <c r="H179" s="35">
        <v>92</v>
      </c>
      <c r="I179" s="35" t="s">
        <v>389</v>
      </c>
      <c r="J179" s="36">
        <v>2017</v>
      </c>
      <c r="K179" s="39">
        <v>92.6666666666666</v>
      </c>
      <c r="L179" s="37">
        <v>616000</v>
      </c>
      <c r="M179" s="35" t="s">
        <v>634</v>
      </c>
      <c r="N179" s="27">
        <v>822661</v>
      </c>
      <c r="O179" s="38">
        <v>1.40248564833205</v>
      </c>
      <c r="P179" s="38">
        <v>103.91675143822501</v>
      </c>
      <c r="Q179" s="38" t="str" cm="1">
        <f t="array" ref="Q179">INDEX('MRT station dataset'!$C$3:$C$179, MATCH(MIN(SQRT(('MRT station dataset'!$E$3:$E$179-'Resale flat dataset'!O179)^2+('MRT station dataset'!$F$3:$F$179-'Resale flat dataset'!P179)^2)), SQRT(('MRT station dataset'!$E$3:$E$179-'Resale flat dataset'!O179)^2+('MRT station dataset'!$F$3:$F$179-'Resale flat dataset'!P179)^2), 0))</f>
        <v>KADALOOR LRT STATION</v>
      </c>
      <c r="R179" s="38" t="str" cm="1">
        <f t="array" ref="R179">INDEX('Mall Dataset'!$B$3:$B$157, MATCH(MIN(SQRT(('Mall Dataset'!$E$3:$E$157-'Resale flat dataset'!O179)^2+('Mall Dataset'!$F$3:$F$157-'Resale flat dataset'!P179)^2)), SQRT(('Mall Dataset'!$E$3:$E$157-'Resale flat dataset'!O179)^2+('Mall Dataset'!$F$3:$F$157-'Resale flat dataset'!P179)^2), 0))</f>
        <v>Oasis Terraces</v>
      </c>
      <c r="S179" s="38" t="str" cm="1">
        <f t="array" ref="S179">INDEX('Schools dataset'!$B$3:$B$187, MATCH(MIN(SQRT(('Schools dataset'!$J$3:$J$187-'Resale flat dataset'!O179)^2+('Schools dataset'!$K$3:$K$187-'Resale flat dataset'!P179)^2)), SQRT(('Schools dataset'!$J$3:$J$187-'Resale flat dataset'!O179)^2+('Schools dataset'!$K$3:$K$187-'Resale flat dataset'!P179)^2), 0))</f>
        <v>WATERWAY PRIMARY SCHOOL</v>
      </c>
      <c r="T179" s="39">
        <f>ACOS(COS(RADIANS(90-O179))*COS(RADIANS(90-_xlfn.XLOOKUP(Q179,'MRT station dataset'!$C$3:$C$179,'MRT station dataset'!$E$3:$E$179)))+SIN(RADIANS(90-O179))*SIN(RADIANS(90-_xlfn.XLOOKUP(Q179,'MRT station dataset'!$C$3:$C$179,'MRT station dataset'!$E$3:$E$179)))*COS(RADIANS(P179-_xlfn.XLOOKUP('Resale flat dataset'!Q179,'MRT station dataset'!$C$3:$C$179,'MRT station dataset'!$F$3:$F$179))))*6371*1000</f>
        <v>322.08450494912921</v>
      </c>
      <c r="U179" s="39">
        <f>ACOS(COS(RADIANS(90-O179))*COS(RADIANS(90-_xlfn.XLOOKUP(R179,'Mall Dataset'!$B$3:$B$157,'Mall Dataset'!$E$3:$E$157,,0)))+SIN(RADIANS(90-O179))*SIN(RADIANS(90-_xlfn.XLOOKUP(R179,'Mall Dataset'!$B$3:$B$157,'Mall Dataset'!$E$3:$E$157,,0)))*COS(RADIANS(P179-_xlfn.XLOOKUP(R179,'Mall Dataset'!$B$3:$B$157,'Mall Dataset'!$F$3:$F$157,,0))))*6371*1000</f>
        <v>394.4665704422352</v>
      </c>
      <c r="V179" s="39">
        <f>ACOS(COS(RADIANS(90-O179))*COS(RADIANS(90-_xlfn.XLOOKUP(S179,'Schools dataset'!$B$3:$B$187,'Schools dataset'!$J$3:$J$187,,0)))+SIN(RADIANS(90-O179))*SIN(RADIANS(90-_xlfn.XLOOKUP(S179,'Schools dataset'!$B$3:$B$187,'Schools dataset'!$J$3:$J$187,,0)))*COS(RADIANS(P179-_xlfn.XLOOKUP(S179,'Schools dataset'!$B$3:$B$187,'Schools dataset'!$K$3:$K$187,,0))))*6371*1000</f>
        <v>448.56145702992876</v>
      </c>
      <c r="W179" s="20">
        <f>_xlfn.XLOOKUP(T179,'HDB Recommender'!$P$10:$P$39,'HDB Recommender'!$Q$10:$Q$39,"&gt;30mins",1)</f>
        <v>5</v>
      </c>
      <c r="X179" s="20">
        <f>_xlfn.XLOOKUP(U179,'HDB Recommender'!$P$10:$P$39,'HDB Recommender'!$Q$10:$Q$39,"&gt;30mins",1)</f>
        <v>6</v>
      </c>
      <c r="Y179" s="20">
        <f>_xlfn.XLOOKUP(V179,'HDB Recommender'!$P$10:$P$39,'HDB Recommender'!$Q$10:$Q$39,"&gt;30mins",1)</f>
        <v>6</v>
      </c>
      <c r="Z179" s="39">
        <f t="shared" si="5"/>
        <v>5.666666666666667</v>
      </c>
      <c r="AA179" s="20" t="str">
        <f t="shared" si="4"/>
        <v>Within 1km</v>
      </c>
    </row>
    <row r="180" spans="2:27" hidden="1">
      <c r="B180" s="35" t="s">
        <v>317</v>
      </c>
      <c r="C180" s="35" t="s">
        <v>630</v>
      </c>
      <c r="D180" s="35" t="s">
        <v>20</v>
      </c>
      <c r="E180" s="35"/>
      <c r="F180" s="35" t="s">
        <v>633</v>
      </c>
      <c r="G180" s="35" t="s">
        <v>323</v>
      </c>
      <c r="H180" s="35">
        <v>86</v>
      </c>
      <c r="I180" s="35" t="s">
        <v>335</v>
      </c>
      <c r="J180" s="36">
        <v>2004</v>
      </c>
      <c r="K180" s="39">
        <v>79.3333333333333</v>
      </c>
      <c r="L180" s="37">
        <v>489988</v>
      </c>
      <c r="M180" s="35" t="s">
        <v>635</v>
      </c>
      <c r="N180" s="27">
        <v>821171</v>
      </c>
      <c r="O180" s="38">
        <v>1.3946307824678299</v>
      </c>
      <c r="P180" s="38">
        <v>103.91229385253099</v>
      </c>
      <c r="Q180" s="38" t="str" cm="1">
        <f t="array" ref="Q180">INDEX('MRT station dataset'!$C$3:$C$179, MATCH(MIN(SQRT(('MRT station dataset'!$E$3:$E$179-'Resale flat dataset'!O180)^2+('MRT station dataset'!$F$3:$F$179-'Resale flat dataset'!P180)^2)), SQRT(('MRT station dataset'!$E$3:$E$179-'Resale flat dataset'!O180)^2+('MRT station dataset'!$F$3:$F$179-'Resale flat dataset'!P180)^2), 0))</f>
        <v>CORAL EDGE LRT STATION</v>
      </c>
      <c r="R180" s="38" t="str" cm="1">
        <f t="array" ref="R180">INDEX('Mall Dataset'!$B$3:$B$157, MATCH(MIN(SQRT(('Mall Dataset'!$E$3:$E$157-'Resale flat dataset'!O180)^2+('Mall Dataset'!$F$3:$F$157-'Resale flat dataset'!P180)^2)), SQRT(('Mall Dataset'!$E$3:$E$157-'Resale flat dataset'!O180)^2+('Mall Dataset'!$F$3:$F$157-'Resale flat dataset'!P180)^2), 0))</f>
        <v>Punggol Plaza</v>
      </c>
      <c r="S180" s="38" t="str" cm="1">
        <f t="array" ref="S180">INDEX('Schools dataset'!$B$3:$B$187, MATCH(MIN(SQRT(('Schools dataset'!$J$3:$J$187-'Resale flat dataset'!O180)^2+('Schools dataset'!$K$3:$K$187-'Resale flat dataset'!P180)^2)), SQRT(('Schools dataset'!$J$3:$J$187-'Resale flat dataset'!O180)^2+('Schools dataset'!$K$3:$K$187-'Resale flat dataset'!P180)^2), 0))</f>
        <v>GREENDALE PRIMARY SCHOOL</v>
      </c>
      <c r="T180" s="39">
        <f>ACOS(COS(RADIANS(90-O180))*COS(RADIANS(90-_xlfn.XLOOKUP(Q180,'MRT station dataset'!$C$3:$C$179,'MRT station dataset'!$E$3:$E$179)))+SIN(RADIANS(90-O180))*SIN(RADIANS(90-_xlfn.XLOOKUP(Q180,'MRT station dataset'!$C$3:$C$179,'MRT station dataset'!$E$3:$E$179)))*COS(RADIANS(P180-_xlfn.XLOOKUP('Resale flat dataset'!Q180,'MRT station dataset'!$C$3:$C$179,'MRT station dataset'!$F$3:$F$179))))*6371*1000</f>
        <v>88.098012773041518</v>
      </c>
      <c r="U180" s="39">
        <f>ACOS(COS(RADIANS(90-O180))*COS(RADIANS(90-_xlfn.XLOOKUP(R180,'Mall Dataset'!$B$3:$B$157,'Mall Dataset'!$E$3:$E$157,,0)))+SIN(RADIANS(90-O180))*SIN(RADIANS(90-_xlfn.XLOOKUP(R180,'Mall Dataset'!$B$3:$B$157,'Mall Dataset'!$E$3:$E$157,,0)))*COS(RADIANS(P180-_xlfn.XLOOKUP(R180,'Mall Dataset'!$B$3:$B$157,'Mall Dataset'!$F$3:$F$157,,0))))*6371*1000</f>
        <v>94.502069053077349</v>
      </c>
      <c r="V180" s="39">
        <f>ACOS(COS(RADIANS(90-O180))*COS(RADIANS(90-_xlfn.XLOOKUP(S180,'Schools dataset'!$B$3:$B$187,'Schools dataset'!$J$3:$J$187,,0)))+SIN(RADIANS(90-O180))*SIN(RADIANS(90-_xlfn.XLOOKUP(S180,'Schools dataset'!$B$3:$B$187,'Schools dataset'!$J$3:$J$187,,0)))*COS(RADIANS(P180-_xlfn.XLOOKUP(S180,'Schools dataset'!$B$3:$B$187,'Schools dataset'!$K$3:$K$187,,0))))*6371*1000</f>
        <v>172.55685870039827</v>
      </c>
      <c r="W180" s="20">
        <f>_xlfn.XLOOKUP(T180,'HDB Recommender'!$P$10:$P$39,'HDB Recommender'!$Q$10:$Q$39,"&gt;30mins",1)</f>
        <v>2</v>
      </c>
      <c r="X180" s="20">
        <f>_xlfn.XLOOKUP(U180,'HDB Recommender'!$P$10:$P$39,'HDB Recommender'!$Q$10:$Q$39,"&gt;30mins",1)</f>
        <v>2</v>
      </c>
      <c r="Y180" s="20">
        <f>_xlfn.XLOOKUP(V180,'HDB Recommender'!$P$10:$P$39,'HDB Recommender'!$Q$10:$Q$39,"&gt;30mins",1)</f>
        <v>3</v>
      </c>
      <c r="Z180" s="39">
        <f t="shared" si="5"/>
        <v>2.3333333333333335</v>
      </c>
      <c r="AA180" s="20" t="str">
        <f t="shared" si="4"/>
        <v>Within 1km</v>
      </c>
    </row>
    <row r="181" spans="2:27" hidden="1">
      <c r="B181" s="35" t="s">
        <v>317</v>
      </c>
      <c r="C181" s="35" t="s">
        <v>630</v>
      </c>
      <c r="D181" s="35" t="s">
        <v>20</v>
      </c>
      <c r="E181" s="35"/>
      <c r="F181" s="35" t="s">
        <v>636</v>
      </c>
      <c r="G181" s="35" t="s">
        <v>349</v>
      </c>
      <c r="H181" s="35">
        <v>93</v>
      </c>
      <c r="I181" s="35" t="s">
        <v>335</v>
      </c>
      <c r="J181" s="36">
        <v>2012</v>
      </c>
      <c r="K181" s="39">
        <v>87.8333333333333</v>
      </c>
      <c r="L181" s="37">
        <v>525000</v>
      </c>
      <c r="M181" s="35" t="s">
        <v>637</v>
      </c>
      <c r="N181" s="27">
        <v>824601</v>
      </c>
      <c r="O181" s="38">
        <v>1.4029640075063901</v>
      </c>
      <c r="P181" s="38">
        <v>103.907847415747</v>
      </c>
      <c r="Q181" s="38" t="str" cm="1">
        <f t="array" ref="Q181">INDEX('MRT station dataset'!$C$3:$C$179, MATCH(MIN(SQRT(('MRT station dataset'!$E$3:$E$179-'Resale flat dataset'!O181)^2+('MRT station dataset'!$F$3:$F$179-'Resale flat dataset'!P181)^2)), SQRT(('MRT station dataset'!$E$3:$E$179-'Resale flat dataset'!O181)^2+('MRT station dataset'!$F$3:$F$179-'Resale flat dataset'!P181)^2), 0))</f>
        <v>DAMAI LRT STATION</v>
      </c>
      <c r="R181" s="38" t="str" cm="1">
        <f t="array" ref="R181">INDEX('Mall Dataset'!$B$3:$B$157, MATCH(MIN(SQRT(('Mall Dataset'!$E$3:$E$157-'Resale flat dataset'!O181)^2+('Mall Dataset'!$F$3:$F$157-'Resale flat dataset'!P181)^2)), SQRT(('Mall Dataset'!$E$3:$E$157-'Resale flat dataset'!O181)^2+('Mall Dataset'!$F$3:$F$157-'Resale flat dataset'!P181)^2), 0))</f>
        <v>Oasis Terraces</v>
      </c>
      <c r="S181" s="38" t="str" cm="1">
        <f t="array" ref="S181">INDEX('Schools dataset'!$B$3:$B$187, MATCH(MIN(SQRT(('Schools dataset'!$J$3:$J$187-'Resale flat dataset'!O181)^2+('Schools dataset'!$K$3:$K$187-'Resale flat dataset'!P181)^2)), SQRT(('Schools dataset'!$J$3:$J$187-'Resale flat dataset'!O181)^2+('Schools dataset'!$K$3:$K$187-'Resale flat dataset'!P181)^2), 0))</f>
        <v>EDGEFIELD PRIMARY SCHOOL</v>
      </c>
      <c r="T181" s="39">
        <f>ACOS(COS(RADIANS(90-O181))*COS(RADIANS(90-_xlfn.XLOOKUP(Q181,'MRT station dataset'!$C$3:$C$179,'MRT station dataset'!$E$3:$E$179)))+SIN(RADIANS(90-O181))*SIN(RADIANS(90-_xlfn.XLOOKUP(Q181,'MRT station dataset'!$C$3:$C$179,'MRT station dataset'!$E$3:$E$179)))*COS(RADIANS(P181-_xlfn.XLOOKUP('Resale flat dataset'!Q181,'MRT station dataset'!$C$3:$C$179,'MRT station dataset'!$F$3:$F$179))))*6371*1000</f>
        <v>262.32825181289087</v>
      </c>
      <c r="U181" s="39">
        <f>ACOS(COS(RADIANS(90-O181))*COS(RADIANS(90-_xlfn.XLOOKUP(R181,'Mall Dataset'!$B$3:$B$157,'Mall Dataset'!$E$3:$E$157,,0)))+SIN(RADIANS(90-O181))*SIN(RADIANS(90-_xlfn.XLOOKUP(R181,'Mall Dataset'!$B$3:$B$157,'Mall Dataset'!$E$3:$E$157,,0)))*COS(RADIANS(P181-_xlfn.XLOOKUP(R181,'Mall Dataset'!$B$3:$B$157,'Mall Dataset'!$F$3:$F$157,,0))))*6371*1000</f>
        <v>597.03060833757115</v>
      </c>
      <c r="V181" s="39">
        <f>ACOS(COS(RADIANS(90-O181))*COS(RADIANS(90-_xlfn.XLOOKUP(S181,'Schools dataset'!$B$3:$B$187,'Schools dataset'!$J$3:$J$187,,0)))+SIN(RADIANS(90-O181))*SIN(RADIANS(90-_xlfn.XLOOKUP(S181,'Schools dataset'!$B$3:$B$187,'Schools dataset'!$J$3:$J$187,,0)))*COS(RADIANS(P181-_xlfn.XLOOKUP(S181,'Schools dataset'!$B$3:$B$187,'Schools dataset'!$K$3:$K$187,,0))))*6371*1000</f>
        <v>300.06559326690052</v>
      </c>
      <c r="W181" s="20">
        <f>_xlfn.XLOOKUP(T181,'HDB Recommender'!$P$10:$P$39,'HDB Recommender'!$Q$10:$Q$39,"&gt;30mins",1)</f>
        <v>4</v>
      </c>
      <c r="X181" s="20">
        <f>_xlfn.XLOOKUP(U181,'HDB Recommender'!$P$10:$P$39,'HDB Recommender'!$Q$10:$Q$39,"&gt;30mins",1)</f>
        <v>8</v>
      </c>
      <c r="Y181" s="20">
        <f>_xlfn.XLOOKUP(V181,'HDB Recommender'!$P$10:$P$39,'HDB Recommender'!$Q$10:$Q$39,"&gt;30mins",1)</f>
        <v>5</v>
      </c>
      <c r="Z181" s="39">
        <f t="shared" si="5"/>
        <v>5.666666666666667</v>
      </c>
      <c r="AA181" s="20" t="str">
        <f t="shared" si="4"/>
        <v>Within 1km</v>
      </c>
    </row>
    <row r="182" spans="2:27" hidden="1">
      <c r="B182" s="35" t="s">
        <v>317</v>
      </c>
      <c r="C182" s="35" t="s">
        <v>630</v>
      </c>
      <c r="D182" s="35" t="s">
        <v>20</v>
      </c>
      <c r="E182" s="35"/>
      <c r="F182" s="35" t="s">
        <v>638</v>
      </c>
      <c r="G182" s="35" t="s">
        <v>184</v>
      </c>
      <c r="H182" s="35">
        <v>90</v>
      </c>
      <c r="I182" s="35" t="s">
        <v>335</v>
      </c>
      <c r="J182" s="36">
        <v>2016</v>
      </c>
      <c r="K182" s="39">
        <v>91.75</v>
      </c>
      <c r="L182" s="37">
        <v>615000</v>
      </c>
      <c r="M182" s="35" t="s">
        <v>639</v>
      </c>
      <c r="N182" s="27">
        <v>821663</v>
      </c>
      <c r="O182" s="38">
        <v>1.40024347553794</v>
      </c>
      <c r="P182" s="38">
        <v>103.917080046799</v>
      </c>
      <c r="Q182" s="38" t="str" cm="1">
        <f t="array" ref="Q182">INDEX('MRT station dataset'!$C$3:$C$179, MATCH(MIN(SQRT(('MRT station dataset'!$E$3:$E$179-'Resale flat dataset'!O182)^2+('MRT station dataset'!$F$3:$F$179-'Resale flat dataset'!P182)^2)), SQRT(('MRT station dataset'!$E$3:$E$179-'Resale flat dataset'!O182)^2+('MRT station dataset'!$F$3:$F$179-'Resale flat dataset'!P182)^2), 0))</f>
        <v>KADALOOR LRT STATION</v>
      </c>
      <c r="R182" s="38" t="str" cm="1">
        <f t="array" ref="R182">INDEX('Mall Dataset'!$B$3:$B$157, MATCH(MIN(SQRT(('Mall Dataset'!$E$3:$E$157-'Resale flat dataset'!O182)^2+('Mall Dataset'!$F$3:$F$157-'Resale flat dataset'!P182)^2)), SQRT(('Mall Dataset'!$E$3:$E$157-'Resale flat dataset'!O182)^2+('Mall Dataset'!$F$3:$F$157-'Resale flat dataset'!P182)^2), 0))</f>
        <v>Oasis Terraces</v>
      </c>
      <c r="S182" s="38" t="str" cm="1">
        <f t="array" ref="S182">INDEX('Schools dataset'!$B$3:$B$187, MATCH(MIN(SQRT(('Schools dataset'!$J$3:$J$187-'Resale flat dataset'!O182)^2+('Schools dataset'!$K$3:$K$187-'Resale flat dataset'!P182)^2)), SQRT(('Schools dataset'!$J$3:$J$187-'Resale flat dataset'!O182)^2+('Schools dataset'!$K$3:$K$187-'Resale flat dataset'!P182)^2), 0))</f>
        <v>WATERWAY PRIMARY SCHOOL</v>
      </c>
      <c r="T182" s="39">
        <f>ACOS(COS(RADIANS(90-O182))*COS(RADIANS(90-_xlfn.XLOOKUP(Q182,'MRT station dataset'!$C$3:$C$179,'MRT station dataset'!$E$3:$E$179)))+SIN(RADIANS(90-O182))*SIN(RADIANS(90-_xlfn.XLOOKUP(Q182,'MRT station dataset'!$C$3:$C$179,'MRT station dataset'!$E$3:$E$179)))*COS(RADIANS(P182-_xlfn.XLOOKUP('Resale flat dataset'!Q182,'MRT station dataset'!$C$3:$C$179,'MRT station dataset'!$F$3:$F$179))))*6371*1000</f>
        <v>96.317836922663375</v>
      </c>
      <c r="U182" s="39">
        <f>ACOS(COS(RADIANS(90-O182))*COS(RADIANS(90-_xlfn.XLOOKUP(R182,'Mall Dataset'!$B$3:$B$157,'Mall Dataset'!$E$3:$E$157,,0)))+SIN(RADIANS(90-O182))*SIN(RADIANS(90-_xlfn.XLOOKUP(R182,'Mall Dataset'!$B$3:$B$157,'Mall Dataset'!$E$3:$E$157,,0)))*COS(RADIANS(P182-_xlfn.XLOOKUP(R182,'Mall Dataset'!$B$3:$B$157,'Mall Dataset'!$F$3:$F$157,,0))))*6371*1000</f>
        <v>513.95182168310157</v>
      </c>
      <c r="V182" s="39">
        <f>ACOS(COS(RADIANS(90-O182))*COS(RADIANS(90-_xlfn.XLOOKUP(S182,'Schools dataset'!$B$3:$B$187,'Schools dataset'!$J$3:$J$187,,0)))+SIN(RADIANS(90-O182))*SIN(RADIANS(90-_xlfn.XLOOKUP(S182,'Schools dataset'!$B$3:$B$187,'Schools dataset'!$J$3:$J$187,,0)))*COS(RADIANS(P182-_xlfn.XLOOKUP(S182,'Schools dataset'!$B$3:$B$187,'Schools dataset'!$K$3:$K$187,,0))))*6371*1000</f>
        <v>224.90933482265808</v>
      </c>
      <c r="W182" s="20">
        <f>_xlfn.XLOOKUP(T182,'HDB Recommender'!$P$10:$P$39,'HDB Recommender'!$Q$10:$Q$39,"&gt;30mins",1)</f>
        <v>2</v>
      </c>
      <c r="X182" s="20">
        <f>_xlfn.XLOOKUP(U182,'HDB Recommender'!$P$10:$P$39,'HDB Recommender'!$Q$10:$Q$39,"&gt;30mins",1)</f>
        <v>7</v>
      </c>
      <c r="Y182" s="20">
        <f>_xlfn.XLOOKUP(V182,'HDB Recommender'!$P$10:$P$39,'HDB Recommender'!$Q$10:$Q$39,"&gt;30mins",1)</f>
        <v>3</v>
      </c>
      <c r="Z182" s="39">
        <f t="shared" si="5"/>
        <v>4</v>
      </c>
      <c r="AA182" s="20" t="str">
        <f t="shared" si="4"/>
        <v>Within 1km</v>
      </c>
    </row>
    <row r="183" spans="2:27" hidden="1">
      <c r="B183" s="35" t="s">
        <v>317</v>
      </c>
      <c r="C183" s="35" t="s">
        <v>630</v>
      </c>
      <c r="D183" s="35" t="s">
        <v>20</v>
      </c>
      <c r="E183" s="35"/>
      <c r="F183" s="35" t="s">
        <v>640</v>
      </c>
      <c r="G183" s="35" t="s">
        <v>189</v>
      </c>
      <c r="H183" s="35">
        <v>90</v>
      </c>
      <c r="I183" s="35" t="s">
        <v>335</v>
      </c>
      <c r="J183" s="36">
        <v>2004</v>
      </c>
      <c r="K183" s="39">
        <v>80.1666666666666</v>
      </c>
      <c r="L183" s="37">
        <v>508000</v>
      </c>
      <c r="M183" s="35" t="s">
        <v>641</v>
      </c>
      <c r="N183" s="27">
        <v>823204</v>
      </c>
      <c r="O183" s="38">
        <v>1.3980332147477701</v>
      </c>
      <c r="P183" s="38">
        <v>103.90307258196</v>
      </c>
      <c r="Q183" s="38" t="str" cm="1">
        <f t="array" ref="Q183">INDEX('MRT station dataset'!$C$3:$C$179, MATCH(MIN(SQRT(('MRT station dataset'!$E$3:$E$179-'Resale flat dataset'!O183)^2+('MRT station dataset'!$F$3:$F$179-'Resale flat dataset'!P183)^2)), SQRT(('MRT station dataset'!$E$3:$E$179-'Resale flat dataset'!O183)^2+('MRT station dataset'!$F$3:$F$179-'Resale flat dataset'!P183)^2), 0))</f>
        <v>COVE LRT STATION</v>
      </c>
      <c r="R183" s="38" t="str" cm="1">
        <f t="array" ref="R183">INDEX('Mall Dataset'!$B$3:$B$157, MATCH(MIN(SQRT(('Mall Dataset'!$E$3:$E$157-'Resale flat dataset'!O183)^2+('Mall Dataset'!$F$3:$F$157-'Resale flat dataset'!P183)^2)), SQRT(('Mall Dataset'!$E$3:$E$157-'Resale flat dataset'!O183)^2+('Mall Dataset'!$F$3:$F$157-'Resale flat dataset'!P183)^2), 0))</f>
        <v>Rivervale Mall</v>
      </c>
      <c r="S183" s="38" t="str" cm="1">
        <f t="array" ref="S183">INDEX('Schools dataset'!$B$3:$B$187, MATCH(MIN(SQRT(('Schools dataset'!$J$3:$J$187-'Resale flat dataset'!O183)^2+('Schools dataset'!$K$3:$K$187-'Resale flat dataset'!P183)^2)), SQRT(('Schools dataset'!$J$3:$J$187-'Resale flat dataset'!O183)^2+('Schools dataset'!$K$3:$K$187-'Resale flat dataset'!P183)^2), 0))</f>
        <v>RIVERVALE PRIMARY SCHOOL</v>
      </c>
      <c r="T183" s="39">
        <f>ACOS(COS(RADIANS(90-O183))*COS(RADIANS(90-_xlfn.XLOOKUP(Q183,'MRT station dataset'!$C$3:$C$179,'MRT station dataset'!$E$3:$E$179)))+SIN(RADIANS(90-O183))*SIN(RADIANS(90-_xlfn.XLOOKUP(Q183,'MRT station dataset'!$C$3:$C$179,'MRT station dataset'!$E$3:$E$179)))*COS(RADIANS(P183-_xlfn.XLOOKUP('Resale flat dataset'!Q183,'MRT station dataset'!$C$3:$C$179,'MRT station dataset'!$F$3:$F$179))))*6371*1000</f>
        <v>354.59528408921102</v>
      </c>
      <c r="U183" s="39">
        <f>ACOS(COS(RADIANS(90-O183))*COS(RADIANS(90-_xlfn.XLOOKUP(R183,'Mall Dataset'!$B$3:$B$157,'Mall Dataset'!$E$3:$E$157,,0)))+SIN(RADIANS(90-O183))*SIN(RADIANS(90-_xlfn.XLOOKUP(R183,'Mall Dataset'!$B$3:$B$157,'Mall Dataset'!$E$3:$E$157,,0)))*COS(RADIANS(P183-_xlfn.XLOOKUP(R183,'Mall Dataset'!$B$3:$B$157,'Mall Dataset'!$F$3:$F$157,,0))))*6371*1000</f>
        <v>667.24746579152418</v>
      </c>
      <c r="V183" s="39">
        <f>ACOS(COS(RADIANS(90-O183))*COS(RADIANS(90-_xlfn.XLOOKUP(S183,'Schools dataset'!$B$3:$B$187,'Schools dataset'!$J$3:$J$187,,0)))+SIN(RADIANS(90-O183))*SIN(RADIANS(90-_xlfn.XLOOKUP(S183,'Schools dataset'!$B$3:$B$187,'Schools dataset'!$J$3:$J$187,,0)))*COS(RADIANS(P183-_xlfn.XLOOKUP(S183,'Schools dataset'!$B$3:$B$187,'Schools dataset'!$K$3:$K$187,,0))))*6371*1000</f>
        <v>539.99958578550536</v>
      </c>
      <c r="W183" s="20">
        <f>_xlfn.XLOOKUP(T183,'HDB Recommender'!$P$10:$P$39,'HDB Recommender'!$Q$10:$Q$39,"&gt;30mins",1)</f>
        <v>5</v>
      </c>
      <c r="X183" s="20">
        <f>_xlfn.XLOOKUP(U183,'HDB Recommender'!$P$10:$P$39,'HDB Recommender'!$Q$10:$Q$39,"&gt;30mins",1)</f>
        <v>9</v>
      </c>
      <c r="Y183" s="20">
        <f>_xlfn.XLOOKUP(V183,'HDB Recommender'!$P$10:$P$39,'HDB Recommender'!$Q$10:$Q$39,"&gt;30mins",1)</f>
        <v>8</v>
      </c>
      <c r="Z183" s="39">
        <f t="shared" si="5"/>
        <v>7.333333333333333</v>
      </c>
      <c r="AA183" s="20" t="str">
        <f t="shared" si="4"/>
        <v>Within 1km</v>
      </c>
    </row>
    <row r="184" spans="2:27" hidden="1">
      <c r="B184" s="35" t="s">
        <v>317</v>
      </c>
      <c r="C184" s="35" t="s">
        <v>630</v>
      </c>
      <c r="D184" s="35" t="s">
        <v>20</v>
      </c>
      <c r="E184" s="35"/>
      <c r="F184" s="35" t="s">
        <v>640</v>
      </c>
      <c r="G184" s="35" t="s">
        <v>189</v>
      </c>
      <c r="H184" s="35">
        <v>97</v>
      </c>
      <c r="I184" s="35" t="s">
        <v>389</v>
      </c>
      <c r="J184" s="36">
        <v>2013</v>
      </c>
      <c r="K184" s="39">
        <v>88.3333333333333</v>
      </c>
      <c r="L184" s="37">
        <v>720000</v>
      </c>
      <c r="M184" s="35" t="s">
        <v>642</v>
      </c>
      <c r="N184" s="27">
        <v>821270</v>
      </c>
      <c r="O184" s="38">
        <v>1.4039795012102601</v>
      </c>
      <c r="P184" s="38">
        <v>103.89945494544099</v>
      </c>
      <c r="Q184" s="38" t="str" cm="1">
        <f t="array" ref="Q184">INDEX('MRT station dataset'!$C$3:$C$179, MATCH(MIN(SQRT(('MRT station dataset'!$E$3:$E$179-'Resale flat dataset'!O184)^2+('MRT station dataset'!$F$3:$F$179-'Resale flat dataset'!P184)^2)), SQRT(('MRT station dataset'!$E$3:$E$179-'Resale flat dataset'!O184)^2+('MRT station dataset'!$F$3:$F$179-'Resale flat dataset'!P184)^2), 0))</f>
        <v>SOO TECK LRT STATION</v>
      </c>
      <c r="R184" s="38" t="str" cm="1">
        <f t="array" ref="R184">INDEX('Mall Dataset'!$B$3:$B$157, MATCH(MIN(SQRT(('Mall Dataset'!$E$3:$E$157-'Resale flat dataset'!O184)^2+('Mall Dataset'!$F$3:$F$157-'Resale flat dataset'!P184)^2)), SQRT(('Mall Dataset'!$E$3:$E$157-'Resale flat dataset'!O184)^2+('Mall Dataset'!$F$3:$F$157-'Resale flat dataset'!P184)^2), 0))</f>
        <v>Waterway Point</v>
      </c>
      <c r="S184" s="38" t="str" cm="1">
        <f t="array" ref="S184">INDEX('Schools dataset'!$B$3:$B$187, MATCH(MIN(SQRT(('Schools dataset'!$J$3:$J$187-'Resale flat dataset'!O184)^2+('Schools dataset'!$K$3:$K$187-'Resale flat dataset'!P184)^2)), SQRT(('Schools dataset'!$J$3:$J$187-'Resale flat dataset'!O184)^2+('Schools dataset'!$K$3:$K$187-'Resale flat dataset'!P184)^2), 0))</f>
        <v>PUNGGOL GREEN PRIMARY SCHOOL</v>
      </c>
      <c r="T184" s="39">
        <f>ACOS(COS(RADIANS(90-O184))*COS(RADIANS(90-_xlfn.XLOOKUP(Q184,'MRT station dataset'!$C$3:$C$179,'MRT station dataset'!$E$3:$E$179)))+SIN(RADIANS(90-O184))*SIN(RADIANS(90-_xlfn.XLOOKUP(Q184,'MRT station dataset'!$C$3:$C$179,'MRT station dataset'!$E$3:$E$179)))*COS(RADIANS(P184-_xlfn.XLOOKUP('Resale flat dataset'!Q184,'MRT station dataset'!$C$3:$C$179,'MRT station dataset'!$F$3:$F$179))))*6371*1000</f>
        <v>279.92077894757261</v>
      </c>
      <c r="U184" s="39">
        <f>ACOS(COS(RADIANS(90-O184))*COS(RADIANS(90-_xlfn.XLOOKUP(R184,'Mall Dataset'!$B$3:$B$157,'Mall Dataset'!$E$3:$E$157,,0)))+SIN(RADIANS(90-O184))*SIN(RADIANS(90-_xlfn.XLOOKUP(R184,'Mall Dataset'!$B$3:$B$157,'Mall Dataset'!$E$3:$E$157,,0)))*COS(RADIANS(P184-_xlfn.XLOOKUP(R184,'Mall Dataset'!$B$3:$B$157,'Mall Dataset'!$F$3:$F$157,,0))))*6371*1000</f>
        <v>403.04904584217513</v>
      </c>
      <c r="V184" s="39">
        <f>ACOS(COS(RADIANS(90-O184))*COS(RADIANS(90-_xlfn.XLOOKUP(S184,'Schools dataset'!$B$3:$B$187,'Schools dataset'!$J$3:$J$187,,0)))+SIN(RADIANS(90-O184))*SIN(RADIANS(90-_xlfn.XLOOKUP(S184,'Schools dataset'!$B$3:$B$187,'Schools dataset'!$J$3:$J$187,,0)))*COS(RADIANS(P184-_xlfn.XLOOKUP(S184,'Schools dataset'!$B$3:$B$187,'Schools dataset'!$K$3:$K$187,,0))))*6371*1000</f>
        <v>261.70564104589687</v>
      </c>
      <c r="W184" s="20">
        <f>_xlfn.XLOOKUP(T184,'HDB Recommender'!$P$10:$P$39,'HDB Recommender'!$Q$10:$Q$39,"&gt;30mins",1)</f>
        <v>4</v>
      </c>
      <c r="X184" s="20">
        <f>_xlfn.XLOOKUP(U184,'HDB Recommender'!$P$10:$P$39,'HDB Recommender'!$Q$10:$Q$39,"&gt;30mins",1)</f>
        <v>6</v>
      </c>
      <c r="Y184" s="20">
        <f>_xlfn.XLOOKUP(V184,'HDB Recommender'!$P$10:$P$39,'HDB Recommender'!$Q$10:$Q$39,"&gt;30mins",1)</f>
        <v>4</v>
      </c>
      <c r="Z184" s="39">
        <f t="shared" si="5"/>
        <v>4.666666666666667</v>
      </c>
      <c r="AA184" s="20" t="str">
        <f t="shared" si="4"/>
        <v>Within 1km</v>
      </c>
    </row>
    <row r="185" spans="2:27" hidden="1">
      <c r="B185" s="35" t="s">
        <v>317</v>
      </c>
      <c r="C185" s="35" t="s">
        <v>630</v>
      </c>
      <c r="D185" s="35" t="s">
        <v>20</v>
      </c>
      <c r="E185" s="35"/>
      <c r="F185" s="35" t="s">
        <v>643</v>
      </c>
      <c r="G185" s="35" t="s">
        <v>189</v>
      </c>
      <c r="H185" s="35">
        <v>90</v>
      </c>
      <c r="I185" s="35" t="s">
        <v>389</v>
      </c>
      <c r="J185" s="36">
        <v>2007</v>
      </c>
      <c r="K185" s="39">
        <v>82.9166666666666</v>
      </c>
      <c r="L185" s="37">
        <v>512000</v>
      </c>
      <c r="M185" s="35" t="s">
        <v>644</v>
      </c>
      <c r="N185" s="27">
        <v>825195</v>
      </c>
      <c r="O185" s="38">
        <v>1.4017179923821399</v>
      </c>
      <c r="P185" s="38">
        <v>103.907177256788</v>
      </c>
      <c r="Q185" s="38" t="str" cm="1">
        <f t="array" ref="Q185">INDEX('MRT station dataset'!$C$3:$C$179, MATCH(MIN(SQRT(('MRT station dataset'!$E$3:$E$179-'Resale flat dataset'!O185)^2+('MRT station dataset'!$F$3:$F$179-'Resale flat dataset'!P185)^2)), SQRT(('MRT station dataset'!$E$3:$E$179-'Resale flat dataset'!O185)^2+('MRT station dataset'!$F$3:$F$179-'Resale flat dataset'!P185)^2), 0))</f>
        <v>COVE LRT STATION</v>
      </c>
      <c r="R185" s="38" t="str" cm="1">
        <f t="array" ref="R185">INDEX('Mall Dataset'!$B$3:$B$157, MATCH(MIN(SQRT(('Mall Dataset'!$E$3:$E$157-'Resale flat dataset'!O185)^2+('Mall Dataset'!$F$3:$F$157-'Resale flat dataset'!P185)^2)), SQRT(('Mall Dataset'!$E$3:$E$157-'Resale flat dataset'!O185)^2+('Mall Dataset'!$F$3:$F$157-'Resale flat dataset'!P185)^2), 0))</f>
        <v>Oasis Terraces</v>
      </c>
      <c r="S185" s="38" t="str" cm="1">
        <f t="array" ref="S185">INDEX('Schools dataset'!$B$3:$B$187, MATCH(MIN(SQRT(('Schools dataset'!$J$3:$J$187-'Resale flat dataset'!O185)^2+('Schools dataset'!$K$3:$K$187-'Resale flat dataset'!P185)^2)), SQRT(('Schools dataset'!$J$3:$J$187-'Resale flat dataset'!O185)^2+('Schools dataset'!$K$3:$K$187-'Resale flat dataset'!P185)^2), 0))</f>
        <v>EDGEFIELD PRIMARY SCHOOL</v>
      </c>
      <c r="T185" s="39">
        <f>ACOS(COS(RADIANS(90-O185))*COS(RADIANS(90-_xlfn.XLOOKUP(Q185,'MRT station dataset'!$C$3:$C$179,'MRT station dataset'!$E$3:$E$179)))+SIN(RADIANS(90-O185))*SIN(RADIANS(90-_xlfn.XLOOKUP(Q185,'MRT station dataset'!$C$3:$C$179,'MRT station dataset'!$E$3:$E$179)))*COS(RADIANS(P185-_xlfn.XLOOKUP('Resale flat dataset'!Q185,'MRT station dataset'!$C$3:$C$179,'MRT station dataset'!$F$3:$F$179))))*6371*1000</f>
        <v>299.02531719461803</v>
      </c>
      <c r="U185" s="39">
        <f>ACOS(COS(RADIANS(90-O185))*COS(RADIANS(90-_xlfn.XLOOKUP(R185,'Mall Dataset'!$B$3:$B$157,'Mall Dataset'!$E$3:$E$157,,0)))+SIN(RADIANS(90-O185))*SIN(RADIANS(90-_xlfn.XLOOKUP(R185,'Mall Dataset'!$B$3:$B$157,'Mall Dataset'!$E$3:$E$157,,0)))*COS(RADIANS(P185-_xlfn.XLOOKUP(R185,'Mall Dataset'!$B$3:$B$157,'Mall Dataset'!$F$3:$F$157,,0))))*6371*1000</f>
        <v>681.48910729890372</v>
      </c>
      <c r="V185" s="39">
        <f>ACOS(COS(RADIANS(90-O185))*COS(RADIANS(90-_xlfn.XLOOKUP(S185,'Schools dataset'!$B$3:$B$187,'Schools dataset'!$J$3:$J$187,,0)))+SIN(RADIANS(90-O185))*SIN(RADIANS(90-_xlfn.XLOOKUP(S185,'Schools dataset'!$B$3:$B$187,'Schools dataset'!$J$3:$J$187,,0)))*COS(RADIANS(P185-_xlfn.XLOOKUP(S185,'Schools dataset'!$B$3:$B$187,'Schools dataset'!$K$3:$K$187,,0))))*6371*1000</f>
        <v>160.40486627075845</v>
      </c>
      <c r="W185" s="20">
        <f>_xlfn.XLOOKUP(T185,'HDB Recommender'!$P$10:$P$39,'HDB Recommender'!$Q$10:$Q$39,"&gt;30mins",1)</f>
        <v>4</v>
      </c>
      <c r="X185" s="20">
        <f>_xlfn.XLOOKUP(U185,'HDB Recommender'!$P$10:$P$39,'HDB Recommender'!$Q$10:$Q$39,"&gt;30mins",1)</f>
        <v>10</v>
      </c>
      <c r="Y185" s="20">
        <f>_xlfn.XLOOKUP(V185,'HDB Recommender'!$P$10:$P$39,'HDB Recommender'!$Q$10:$Q$39,"&gt;30mins",1)</f>
        <v>3</v>
      </c>
      <c r="Z185" s="39">
        <f t="shared" si="5"/>
        <v>5.666666666666667</v>
      </c>
      <c r="AA185" s="20" t="str">
        <f t="shared" si="4"/>
        <v>Within 1km</v>
      </c>
    </row>
    <row r="186" spans="2:27" hidden="1">
      <c r="B186" s="35" t="s">
        <v>317</v>
      </c>
      <c r="C186" s="35" t="s">
        <v>630</v>
      </c>
      <c r="D186" s="35" t="s">
        <v>20</v>
      </c>
      <c r="E186" s="35"/>
      <c r="F186" s="35" t="s">
        <v>645</v>
      </c>
      <c r="G186" s="35" t="s">
        <v>189</v>
      </c>
      <c r="H186" s="35">
        <v>92</v>
      </c>
      <c r="I186" s="35" t="s">
        <v>389</v>
      </c>
      <c r="J186" s="36">
        <v>2016</v>
      </c>
      <c r="K186" s="39">
        <v>91.75</v>
      </c>
      <c r="L186" s="37">
        <v>585888</v>
      </c>
      <c r="M186" s="35" t="s">
        <v>646</v>
      </c>
      <c r="N186" s="27">
        <v>821310</v>
      </c>
      <c r="O186" s="38">
        <v>1.4087008887046599</v>
      </c>
      <c r="P186" s="38">
        <v>103.901326604714</v>
      </c>
      <c r="Q186" s="38" t="str" cm="1">
        <f t="array" ref="Q186">INDEX('MRT station dataset'!$C$3:$C$179, MATCH(MIN(SQRT(('MRT station dataset'!$E$3:$E$179-'Resale flat dataset'!O186)^2+('MRT station dataset'!$F$3:$F$179-'Resale flat dataset'!P186)^2)), SQRT(('MRT station dataset'!$E$3:$E$179-'Resale flat dataset'!O186)^2+('MRT station dataset'!$F$3:$F$179-'Resale flat dataset'!P186)^2), 0))</f>
        <v>SUMANG LRT STATION</v>
      </c>
      <c r="R186" s="38" t="str" cm="1">
        <f t="array" ref="R186">INDEX('Mall Dataset'!$B$3:$B$157, MATCH(MIN(SQRT(('Mall Dataset'!$E$3:$E$157-'Resale flat dataset'!O186)^2+('Mall Dataset'!$F$3:$F$157-'Resale flat dataset'!P186)^2)), SQRT(('Mall Dataset'!$E$3:$E$157-'Resale flat dataset'!O186)^2+('Mall Dataset'!$F$3:$F$157-'Resale flat dataset'!P186)^2), 0))</f>
        <v>Waterway Point</v>
      </c>
      <c r="S186" s="38" t="str" cm="1">
        <f t="array" ref="S186">INDEX('Schools dataset'!$B$3:$B$187, MATCH(MIN(SQRT(('Schools dataset'!$J$3:$J$187-'Resale flat dataset'!O186)^2+('Schools dataset'!$K$3:$K$187-'Resale flat dataset'!P186)^2)), SQRT(('Schools dataset'!$J$3:$J$187-'Resale flat dataset'!O186)^2+('Schools dataset'!$K$3:$K$187-'Resale flat dataset'!P186)^2), 0))</f>
        <v>VALOUR PRIMARY SCHOOL</v>
      </c>
      <c r="T186" s="39">
        <f>ACOS(COS(RADIANS(90-O186))*COS(RADIANS(90-_xlfn.XLOOKUP(Q186,'MRT station dataset'!$C$3:$C$179,'MRT station dataset'!$E$3:$E$179)))+SIN(RADIANS(90-O186))*SIN(RADIANS(90-_xlfn.XLOOKUP(Q186,'MRT station dataset'!$C$3:$C$179,'MRT station dataset'!$E$3:$E$179)))*COS(RADIANS(P186-_xlfn.XLOOKUP('Resale flat dataset'!Q186,'MRT station dataset'!$C$3:$C$179,'MRT station dataset'!$F$3:$F$179))))*6371*1000</f>
        <v>303.91502468777401</v>
      </c>
      <c r="U186" s="39">
        <f>ACOS(COS(RADIANS(90-O186))*COS(RADIANS(90-_xlfn.XLOOKUP(R186,'Mall Dataset'!$B$3:$B$157,'Mall Dataset'!$E$3:$E$157,,0)))+SIN(RADIANS(90-O186))*SIN(RADIANS(90-_xlfn.XLOOKUP(R186,'Mall Dataset'!$B$3:$B$157,'Mall Dataset'!$E$3:$E$157,,0)))*COS(RADIANS(P186-_xlfn.XLOOKUP(R186,'Mall Dataset'!$B$3:$B$157,'Mall Dataset'!$F$3:$F$157,,0))))*6371*1000</f>
        <v>274.72772760977927</v>
      </c>
      <c r="V186" s="39">
        <f>ACOS(COS(RADIANS(90-O186))*COS(RADIANS(90-_xlfn.XLOOKUP(S186,'Schools dataset'!$B$3:$B$187,'Schools dataset'!$J$3:$J$187,,0)))+SIN(RADIANS(90-O186))*SIN(RADIANS(90-_xlfn.XLOOKUP(S186,'Schools dataset'!$B$3:$B$187,'Schools dataset'!$J$3:$J$187,,0)))*COS(RADIANS(P186-_xlfn.XLOOKUP(S186,'Schools dataset'!$B$3:$B$187,'Schools dataset'!$K$3:$K$187,,0))))*6371*1000</f>
        <v>322.90034910002174</v>
      </c>
      <c r="W186" s="20">
        <f>_xlfn.XLOOKUP(T186,'HDB Recommender'!$P$10:$P$39,'HDB Recommender'!$Q$10:$Q$39,"&gt;30mins",1)</f>
        <v>5</v>
      </c>
      <c r="X186" s="20">
        <f>_xlfn.XLOOKUP(U186,'HDB Recommender'!$P$10:$P$39,'HDB Recommender'!$Q$10:$Q$39,"&gt;30mins",1)</f>
        <v>4</v>
      </c>
      <c r="Y186" s="20">
        <f>_xlfn.XLOOKUP(V186,'HDB Recommender'!$P$10:$P$39,'HDB Recommender'!$Q$10:$Q$39,"&gt;30mins",1)</f>
        <v>5</v>
      </c>
      <c r="Z186" s="39">
        <f t="shared" si="5"/>
        <v>4.666666666666667</v>
      </c>
      <c r="AA186" s="20" t="str">
        <f t="shared" si="4"/>
        <v>Within 1km</v>
      </c>
    </row>
    <row r="187" spans="2:27" hidden="1">
      <c r="B187" s="35" t="s">
        <v>317</v>
      </c>
      <c r="C187" s="35" t="s">
        <v>630</v>
      </c>
      <c r="D187" s="35" t="s">
        <v>20</v>
      </c>
      <c r="E187" s="35"/>
      <c r="F187" s="35" t="s">
        <v>645</v>
      </c>
      <c r="G187" s="35" t="s">
        <v>189</v>
      </c>
      <c r="H187" s="35">
        <v>93</v>
      </c>
      <c r="I187" s="35" t="s">
        <v>335</v>
      </c>
      <c r="J187" s="36">
        <v>2015</v>
      </c>
      <c r="K187" s="39">
        <v>90.6666666666666</v>
      </c>
      <c r="L187" s="37">
        <v>592000</v>
      </c>
      <c r="M187" s="35" t="s">
        <v>647</v>
      </c>
      <c r="N187" s="27">
        <v>823213</v>
      </c>
      <c r="O187" s="38">
        <v>1.4005984949975001</v>
      </c>
      <c r="P187" s="38">
        <v>103.898920186089</v>
      </c>
      <c r="Q187" s="38" t="str" cm="1">
        <f t="array" ref="Q187">INDEX('MRT station dataset'!$C$3:$C$179, MATCH(MIN(SQRT(('MRT station dataset'!$E$3:$E$179-'Resale flat dataset'!O187)^2+('MRT station dataset'!$F$3:$F$179-'Resale flat dataset'!P187)^2)), SQRT(('MRT station dataset'!$E$3:$E$179-'Resale flat dataset'!O187)^2+('MRT station dataset'!$F$3:$F$179-'Resale flat dataset'!P187)^2), 0))</f>
        <v>SOO TECK LRT STATION</v>
      </c>
      <c r="R187" s="38" t="str" cm="1">
        <f t="array" ref="R187">INDEX('Mall Dataset'!$B$3:$B$157, MATCH(MIN(SQRT(('Mall Dataset'!$E$3:$E$157-'Resale flat dataset'!O187)^2+('Mall Dataset'!$F$3:$F$157-'Resale flat dataset'!P187)^2)), SQRT(('Mall Dataset'!$E$3:$E$157-'Resale flat dataset'!O187)^2+('Mall Dataset'!$F$3:$F$157-'Resale flat dataset'!P187)^2), 0))</f>
        <v>Waterway Point</v>
      </c>
      <c r="S187" s="38" t="str" cm="1">
        <f t="array" ref="S187">INDEX('Schools dataset'!$B$3:$B$187, MATCH(MIN(SQRT(('Schools dataset'!$J$3:$J$187-'Resale flat dataset'!O187)^2+('Schools dataset'!$K$3:$K$187-'Resale flat dataset'!P187)^2)), SQRT(('Schools dataset'!$J$3:$J$187-'Resale flat dataset'!O187)^2+('Schools dataset'!$K$3:$K$187-'Resale flat dataset'!P187)^2), 0))</f>
        <v>PUNGGOL GREEN PRIMARY SCHOOL</v>
      </c>
      <c r="T187" s="39">
        <f>ACOS(COS(RADIANS(90-O187))*COS(RADIANS(90-_xlfn.XLOOKUP(Q187,'MRT station dataset'!$C$3:$C$179,'MRT station dataset'!$E$3:$E$179)))+SIN(RADIANS(90-O187))*SIN(RADIANS(90-_xlfn.XLOOKUP(Q187,'MRT station dataset'!$C$3:$C$179,'MRT station dataset'!$E$3:$E$179)))*COS(RADIANS(P187-_xlfn.XLOOKUP('Resale flat dataset'!Q187,'MRT station dataset'!$C$3:$C$179,'MRT station dataset'!$F$3:$F$179))))*6371*1000</f>
        <v>535.82588969820824</v>
      </c>
      <c r="U187" s="39">
        <f>ACOS(COS(RADIANS(90-O187))*COS(RADIANS(90-_xlfn.XLOOKUP(R187,'Mall Dataset'!$B$3:$B$157,'Mall Dataset'!$E$3:$E$157,,0)))+SIN(RADIANS(90-O187))*SIN(RADIANS(90-_xlfn.XLOOKUP(R187,'Mall Dataset'!$B$3:$B$157,'Mall Dataset'!$E$3:$E$157,,0)))*COS(RADIANS(P187-_xlfn.XLOOKUP(R187,'Mall Dataset'!$B$3:$B$157,'Mall Dataset'!$F$3:$F$157,,0))))*6371*1000</f>
        <v>737.48049296534293</v>
      </c>
      <c r="V187" s="39">
        <f>ACOS(COS(RADIANS(90-O187))*COS(RADIANS(90-_xlfn.XLOOKUP(S187,'Schools dataset'!$B$3:$B$187,'Schools dataset'!$J$3:$J$187,,0)))+SIN(RADIANS(90-O187))*SIN(RADIANS(90-_xlfn.XLOOKUP(S187,'Schools dataset'!$B$3:$B$187,'Schools dataset'!$J$3:$J$187,,0)))*COS(RADIANS(P187-_xlfn.XLOOKUP(S187,'Schools dataset'!$B$3:$B$187,'Schools dataset'!$K$3:$K$187,,0))))*6371*1000</f>
        <v>128.70572703234839</v>
      </c>
      <c r="W187" s="20">
        <f>_xlfn.XLOOKUP(T187,'HDB Recommender'!$P$10:$P$39,'HDB Recommender'!$Q$10:$Q$39,"&gt;30mins",1)</f>
        <v>8</v>
      </c>
      <c r="X187" s="20">
        <f>_xlfn.XLOOKUP(U187,'HDB Recommender'!$P$10:$P$39,'HDB Recommender'!$Q$10:$Q$39,"&gt;30mins",1)</f>
        <v>10</v>
      </c>
      <c r="Y187" s="20">
        <f>_xlfn.XLOOKUP(V187,'HDB Recommender'!$P$10:$P$39,'HDB Recommender'!$Q$10:$Q$39,"&gt;30mins",1)</f>
        <v>2</v>
      </c>
      <c r="Z187" s="39">
        <f t="shared" si="5"/>
        <v>6.666666666666667</v>
      </c>
      <c r="AA187" s="20" t="str">
        <f t="shared" si="4"/>
        <v>Within 1km</v>
      </c>
    </row>
    <row r="188" spans="2:27" hidden="1">
      <c r="B188" s="35" t="s">
        <v>317</v>
      </c>
      <c r="C188" s="35" t="s">
        <v>630</v>
      </c>
      <c r="D188" s="35" t="s">
        <v>20</v>
      </c>
      <c r="E188" s="35"/>
      <c r="F188" s="35" t="s">
        <v>648</v>
      </c>
      <c r="G188" s="35" t="s">
        <v>184</v>
      </c>
      <c r="H188" s="35">
        <v>92</v>
      </c>
      <c r="I188" s="35" t="s">
        <v>335</v>
      </c>
      <c r="J188" s="36">
        <v>2015</v>
      </c>
      <c r="K188" s="39">
        <v>90.75</v>
      </c>
      <c r="L188" s="37">
        <v>620000</v>
      </c>
      <c r="M188" s="35" t="s">
        <v>649</v>
      </c>
      <c r="N188" s="27">
        <v>821264</v>
      </c>
      <c r="O188" s="38">
        <v>1.4059770411499899</v>
      </c>
      <c r="P188" s="38">
        <v>103.89854405519699</v>
      </c>
      <c r="Q188" s="38" t="str" cm="1">
        <f t="array" ref="Q188">INDEX('MRT station dataset'!$C$3:$C$179, MATCH(MIN(SQRT(('MRT station dataset'!$E$3:$E$179-'Resale flat dataset'!O188)^2+('MRT station dataset'!$F$3:$F$179-'Resale flat dataset'!P188)^2)), SQRT(('MRT station dataset'!$E$3:$E$179-'Resale flat dataset'!O188)^2+('MRT station dataset'!$F$3:$F$179-'Resale flat dataset'!P188)^2), 0))</f>
        <v>SOO TECK LRT STATION</v>
      </c>
      <c r="R188" s="38" t="str" cm="1">
        <f t="array" ref="R188">INDEX('Mall Dataset'!$B$3:$B$157, MATCH(MIN(SQRT(('Mall Dataset'!$E$3:$E$157-'Resale flat dataset'!O188)^2+('Mall Dataset'!$F$3:$F$157-'Resale flat dataset'!P188)^2)), SQRT(('Mall Dataset'!$E$3:$E$157-'Resale flat dataset'!O188)^2+('Mall Dataset'!$F$3:$F$157-'Resale flat dataset'!P188)^2), 0))</f>
        <v>Waterway Point</v>
      </c>
      <c r="S188" s="38" t="str" cm="1">
        <f t="array" ref="S188">INDEX('Schools dataset'!$B$3:$B$187, MATCH(MIN(SQRT(('Schools dataset'!$J$3:$J$187-'Resale flat dataset'!O188)^2+('Schools dataset'!$K$3:$K$187-'Resale flat dataset'!P188)^2)), SQRT(('Schools dataset'!$J$3:$J$187-'Resale flat dataset'!O188)^2+('Schools dataset'!$K$3:$K$187-'Resale flat dataset'!P188)^2), 0))</f>
        <v>VALOUR PRIMARY SCHOOL</v>
      </c>
      <c r="T188" s="39">
        <f>ACOS(COS(RADIANS(90-O188))*COS(RADIANS(90-_xlfn.XLOOKUP(Q188,'MRT station dataset'!$C$3:$C$179,'MRT station dataset'!$E$3:$E$179)))+SIN(RADIANS(90-O188))*SIN(RADIANS(90-_xlfn.XLOOKUP(Q188,'MRT station dataset'!$C$3:$C$179,'MRT station dataset'!$E$3:$E$179)))*COS(RADIANS(P188-_xlfn.XLOOKUP('Resale flat dataset'!Q188,'MRT station dataset'!$C$3:$C$179,'MRT station dataset'!$F$3:$F$179))))*6371*1000</f>
        <v>178.41846009590157</v>
      </c>
      <c r="U188" s="39">
        <f>ACOS(COS(RADIANS(90-O188))*COS(RADIANS(90-_xlfn.XLOOKUP(R188,'Mall Dataset'!$B$3:$B$157,'Mall Dataset'!$E$3:$E$157,,0)))+SIN(RADIANS(90-O188))*SIN(RADIANS(90-_xlfn.XLOOKUP(R188,'Mall Dataset'!$B$3:$B$157,'Mall Dataset'!$E$3:$E$157,,0)))*COS(RADIANS(P188-_xlfn.XLOOKUP(R188,'Mall Dataset'!$B$3:$B$157,'Mall Dataset'!$F$3:$F$157,,0))))*6371*1000</f>
        <v>405.78834646611159</v>
      </c>
      <c r="V188" s="39">
        <f>ACOS(COS(RADIANS(90-O188))*COS(RADIANS(90-_xlfn.XLOOKUP(S188,'Schools dataset'!$B$3:$B$187,'Schools dataset'!$J$3:$J$187,,0)))+SIN(RADIANS(90-O188))*SIN(RADIANS(90-_xlfn.XLOOKUP(S188,'Schools dataset'!$B$3:$B$187,'Schools dataset'!$J$3:$J$187,,0)))*COS(RADIANS(P188-_xlfn.XLOOKUP(S188,'Schools dataset'!$B$3:$B$187,'Schools dataset'!$K$3:$K$187,,0))))*6371*1000</f>
        <v>114.94379167611291</v>
      </c>
      <c r="W188" s="20">
        <f>_xlfn.XLOOKUP(T188,'HDB Recommender'!$P$10:$P$39,'HDB Recommender'!$Q$10:$Q$39,"&gt;30mins",1)</f>
        <v>3</v>
      </c>
      <c r="X188" s="20">
        <f>_xlfn.XLOOKUP(U188,'HDB Recommender'!$P$10:$P$39,'HDB Recommender'!$Q$10:$Q$39,"&gt;30mins",1)</f>
        <v>6</v>
      </c>
      <c r="Y188" s="20">
        <f>_xlfn.XLOOKUP(V188,'HDB Recommender'!$P$10:$P$39,'HDB Recommender'!$Q$10:$Q$39,"&gt;30mins",1)</f>
        <v>2</v>
      </c>
      <c r="Z188" s="39">
        <f t="shared" si="5"/>
        <v>3.6666666666666665</v>
      </c>
      <c r="AA188" s="20" t="str">
        <f t="shared" si="4"/>
        <v>Within 1km</v>
      </c>
    </row>
    <row r="189" spans="2:27" hidden="1">
      <c r="B189" s="35" t="s">
        <v>317</v>
      </c>
      <c r="C189" s="35" t="s">
        <v>630</v>
      </c>
      <c r="D189" s="35" t="s">
        <v>20</v>
      </c>
      <c r="E189" s="35"/>
      <c r="F189" s="35" t="s">
        <v>650</v>
      </c>
      <c r="G189" s="35" t="s">
        <v>189</v>
      </c>
      <c r="H189" s="35">
        <v>96</v>
      </c>
      <c r="I189" s="35" t="s">
        <v>389</v>
      </c>
      <c r="J189" s="36">
        <v>2019</v>
      </c>
      <c r="K189" s="39">
        <v>94.5</v>
      </c>
      <c r="L189" s="37">
        <v>672500</v>
      </c>
      <c r="M189" s="35" t="s">
        <v>651</v>
      </c>
      <c r="N189" s="27">
        <v>823322</v>
      </c>
      <c r="O189" s="38">
        <v>1.41051905118907</v>
      </c>
      <c r="P189" s="38">
        <v>103.896581361899</v>
      </c>
      <c r="Q189" s="38" t="str" cm="1">
        <f t="array" ref="Q189">INDEX('MRT station dataset'!$C$3:$C$179, MATCH(MIN(SQRT(('MRT station dataset'!$E$3:$E$179-'Resale flat dataset'!O189)^2+('MRT station dataset'!$F$3:$F$179-'Resale flat dataset'!P189)^2)), SQRT(('MRT station dataset'!$E$3:$E$179-'Resale flat dataset'!O189)^2+('MRT station dataset'!$F$3:$F$179-'Resale flat dataset'!P189)^2), 0))</f>
        <v>SUMANG LRT STATION</v>
      </c>
      <c r="R189" s="38" t="str" cm="1">
        <f t="array" ref="R189">INDEX('Mall Dataset'!$B$3:$B$157, MATCH(MIN(SQRT(('Mall Dataset'!$E$3:$E$157-'Resale flat dataset'!O189)^2+('Mall Dataset'!$F$3:$F$157-'Resale flat dataset'!P189)^2)), SQRT(('Mall Dataset'!$E$3:$E$157-'Resale flat dataset'!O189)^2+('Mall Dataset'!$F$3:$F$157-'Resale flat dataset'!P189)^2), 0))</f>
        <v>Waterway Point</v>
      </c>
      <c r="S189" s="38" t="str" cm="1">
        <f t="array" ref="S189">INDEX('Schools dataset'!$B$3:$B$187, MATCH(MIN(SQRT(('Schools dataset'!$J$3:$J$187-'Resale flat dataset'!O189)^2+('Schools dataset'!$K$3:$K$187-'Resale flat dataset'!P189)^2)), SQRT(('Schools dataset'!$J$3:$J$187-'Resale flat dataset'!O189)^2+('Schools dataset'!$K$3:$K$187-'Resale flat dataset'!P189)^2), 0))</f>
        <v>PUNGGOL COVE PRIMARY SCHOOL</v>
      </c>
      <c r="T189" s="39">
        <f>ACOS(COS(RADIANS(90-O189))*COS(RADIANS(90-_xlfn.XLOOKUP(Q189,'MRT station dataset'!$C$3:$C$179,'MRT station dataset'!$E$3:$E$179)))+SIN(RADIANS(90-O189))*SIN(RADIANS(90-_xlfn.XLOOKUP(Q189,'MRT station dataset'!$C$3:$C$179,'MRT station dataset'!$E$3:$E$179)))*COS(RADIANS(P189-_xlfn.XLOOKUP('Resale flat dataset'!Q189,'MRT station dataset'!$C$3:$C$179,'MRT station dataset'!$F$3:$F$179))))*6371*1000</f>
        <v>317.4221279138203</v>
      </c>
      <c r="U189" s="39">
        <f>ACOS(COS(RADIANS(90-O189))*COS(RADIANS(90-_xlfn.XLOOKUP(R189,'Mall Dataset'!$B$3:$B$157,'Mall Dataset'!$E$3:$E$157,,0)))+SIN(RADIANS(90-O189))*SIN(RADIANS(90-_xlfn.XLOOKUP(R189,'Mall Dataset'!$B$3:$B$157,'Mall Dataset'!$E$3:$E$157,,0)))*COS(RADIANS(P189-_xlfn.XLOOKUP(R189,'Mall Dataset'!$B$3:$B$157,'Mall Dataset'!$F$3:$F$157,,0))))*6371*1000</f>
        <v>773.39542071602386</v>
      </c>
      <c r="V189" s="39">
        <f>ACOS(COS(RADIANS(90-O189))*COS(RADIANS(90-_xlfn.XLOOKUP(S189,'Schools dataset'!$B$3:$B$187,'Schools dataset'!$J$3:$J$187,,0)))+SIN(RADIANS(90-O189))*SIN(RADIANS(90-_xlfn.XLOOKUP(S189,'Schools dataset'!$B$3:$B$187,'Schools dataset'!$J$3:$J$187,,0)))*COS(RADIANS(P189-_xlfn.XLOOKUP(S189,'Schools dataset'!$B$3:$B$187,'Schools dataset'!$K$3:$K$187,,0))))*6371*1000</f>
        <v>284.1226002224173</v>
      </c>
      <c r="W189" s="20">
        <f>_xlfn.XLOOKUP(T189,'HDB Recommender'!$P$10:$P$39,'HDB Recommender'!$Q$10:$Q$39,"&gt;30mins",1)</f>
        <v>5</v>
      </c>
      <c r="X189" s="20">
        <f>_xlfn.XLOOKUP(U189,'HDB Recommender'!$P$10:$P$39,'HDB Recommender'!$Q$10:$Q$39,"&gt;30mins",1)</f>
        <v>11</v>
      </c>
      <c r="Y189" s="20">
        <f>_xlfn.XLOOKUP(V189,'HDB Recommender'!$P$10:$P$39,'HDB Recommender'!$Q$10:$Q$39,"&gt;30mins",1)</f>
        <v>4</v>
      </c>
      <c r="Z189" s="39">
        <f t="shared" si="5"/>
        <v>6.666666666666667</v>
      </c>
      <c r="AA189" s="20" t="str">
        <f t="shared" si="4"/>
        <v>Within 1km</v>
      </c>
    </row>
    <row r="190" spans="2:27" hidden="1">
      <c r="B190" s="35" t="s">
        <v>317</v>
      </c>
      <c r="C190" s="35" t="s">
        <v>630</v>
      </c>
      <c r="D190" s="35" t="s">
        <v>20</v>
      </c>
      <c r="E190" s="35"/>
      <c r="F190" s="35" t="s">
        <v>650</v>
      </c>
      <c r="G190" s="35" t="s">
        <v>346</v>
      </c>
      <c r="H190" s="35">
        <v>93</v>
      </c>
      <c r="I190" s="35" t="s">
        <v>335</v>
      </c>
      <c r="J190" s="36">
        <v>2016</v>
      </c>
      <c r="K190" s="39">
        <v>92.25</v>
      </c>
      <c r="L190" s="37">
        <v>650000</v>
      </c>
      <c r="M190" s="35" t="s">
        <v>652</v>
      </c>
      <c r="N190" s="27">
        <v>822256</v>
      </c>
      <c r="O190" s="38">
        <v>1.4060490794580101</v>
      </c>
      <c r="P190" s="38">
        <v>103.896179521001</v>
      </c>
      <c r="Q190" s="38" t="str" cm="1">
        <f t="array" ref="Q190">INDEX('MRT station dataset'!$C$3:$C$179, MATCH(MIN(SQRT(('MRT station dataset'!$E$3:$E$179-'Resale flat dataset'!O190)^2+('MRT station dataset'!$F$3:$F$179-'Resale flat dataset'!P190)^2)), SQRT(('MRT station dataset'!$E$3:$E$179-'Resale flat dataset'!O190)^2+('MRT station dataset'!$F$3:$F$179-'Resale flat dataset'!P190)^2), 0))</f>
        <v>SOO TECK LRT STATION</v>
      </c>
      <c r="R190" s="38" t="str" cm="1">
        <f t="array" ref="R190">INDEX('Mall Dataset'!$B$3:$B$157, MATCH(MIN(SQRT(('Mall Dataset'!$E$3:$E$157-'Resale flat dataset'!O190)^2+('Mall Dataset'!$F$3:$F$157-'Resale flat dataset'!P190)^2)), SQRT(('Mall Dataset'!$E$3:$E$157-'Resale flat dataset'!O190)^2+('Mall Dataset'!$F$3:$F$157-'Resale flat dataset'!P190)^2), 0))</f>
        <v>Waterway Point</v>
      </c>
      <c r="S190" s="38" t="str" cm="1">
        <f t="array" ref="S190">INDEX('Schools dataset'!$B$3:$B$187, MATCH(MIN(SQRT(('Schools dataset'!$J$3:$J$187-'Resale flat dataset'!O190)^2+('Schools dataset'!$K$3:$K$187-'Resale flat dataset'!P190)^2)), SQRT(('Schools dataset'!$J$3:$J$187-'Resale flat dataset'!O190)^2+('Schools dataset'!$K$3:$K$187-'Resale flat dataset'!P190)^2), 0))</f>
        <v>VALOUR PRIMARY SCHOOL</v>
      </c>
      <c r="T190" s="39">
        <f>ACOS(COS(RADIANS(90-O190))*COS(RADIANS(90-_xlfn.XLOOKUP(Q190,'MRT station dataset'!$C$3:$C$179,'MRT station dataset'!$E$3:$E$179)))+SIN(RADIANS(90-O190))*SIN(RADIANS(90-_xlfn.XLOOKUP(Q190,'MRT station dataset'!$C$3:$C$179,'MRT station dataset'!$E$3:$E$179)))*COS(RADIANS(P190-_xlfn.XLOOKUP('Resale flat dataset'!Q190,'MRT station dataset'!$C$3:$C$179,'MRT station dataset'!$F$3:$F$179))))*6371*1000</f>
        <v>154.93655860101831</v>
      </c>
      <c r="U190" s="39">
        <f>ACOS(COS(RADIANS(90-O190))*COS(RADIANS(90-_xlfn.XLOOKUP(R190,'Mall Dataset'!$B$3:$B$157,'Mall Dataset'!$E$3:$E$157,,0)))+SIN(RADIANS(90-O190))*SIN(RADIANS(90-_xlfn.XLOOKUP(R190,'Mall Dataset'!$B$3:$B$157,'Mall Dataset'!$E$3:$E$157,,0)))*COS(RADIANS(P190-_xlfn.XLOOKUP(R190,'Mall Dataset'!$B$3:$B$157,'Mall Dataset'!$F$3:$F$157,,0))))*6371*1000</f>
        <v>667.17161124403606</v>
      </c>
      <c r="V190" s="39">
        <f>ACOS(COS(RADIANS(90-O190))*COS(RADIANS(90-_xlfn.XLOOKUP(S190,'Schools dataset'!$B$3:$B$187,'Schools dataset'!$J$3:$J$187,,0)))+SIN(RADIANS(90-O190))*SIN(RADIANS(90-_xlfn.XLOOKUP(S190,'Schools dataset'!$B$3:$B$187,'Schools dataset'!$J$3:$J$187,,0)))*COS(RADIANS(P190-_xlfn.XLOOKUP(S190,'Schools dataset'!$B$3:$B$187,'Schools dataset'!$K$3:$K$187,,0))))*6371*1000</f>
        <v>334.68461457978418</v>
      </c>
      <c r="W190" s="20">
        <f>_xlfn.XLOOKUP(T190,'HDB Recommender'!$P$10:$P$39,'HDB Recommender'!$Q$10:$Q$39,"&gt;30mins",1)</f>
        <v>3</v>
      </c>
      <c r="X190" s="20">
        <f>_xlfn.XLOOKUP(U190,'HDB Recommender'!$P$10:$P$39,'HDB Recommender'!$Q$10:$Q$39,"&gt;30mins",1)</f>
        <v>9</v>
      </c>
      <c r="Y190" s="20">
        <f>_xlfn.XLOOKUP(V190,'HDB Recommender'!$P$10:$P$39,'HDB Recommender'!$Q$10:$Q$39,"&gt;30mins",1)</f>
        <v>5</v>
      </c>
      <c r="Z190" s="39">
        <f t="shared" si="5"/>
        <v>5.666666666666667</v>
      </c>
      <c r="AA190" s="20" t="str">
        <f t="shared" si="4"/>
        <v>Within 1km</v>
      </c>
    </row>
    <row r="191" spans="2:27" hidden="1">
      <c r="B191" s="35" t="s">
        <v>317</v>
      </c>
      <c r="C191" s="35" t="s">
        <v>630</v>
      </c>
      <c r="D191" s="35" t="s">
        <v>341</v>
      </c>
      <c r="E191" s="35"/>
      <c r="F191" s="35" t="s">
        <v>633</v>
      </c>
      <c r="G191" s="35" t="s">
        <v>323</v>
      </c>
      <c r="H191" s="35">
        <v>113</v>
      </c>
      <c r="I191" s="35" t="s">
        <v>389</v>
      </c>
      <c r="J191" s="36">
        <v>2018</v>
      </c>
      <c r="K191" s="39">
        <v>93.9166666666666</v>
      </c>
      <c r="L191" s="37">
        <v>852888</v>
      </c>
      <c r="M191" s="35" t="s">
        <v>653</v>
      </c>
      <c r="N191" s="27">
        <v>822684</v>
      </c>
      <c r="O191" s="38">
        <v>1.40302713233008</v>
      </c>
      <c r="P191" s="38">
        <v>103.915005575569</v>
      </c>
      <c r="Q191" s="38" t="str" cm="1">
        <f t="array" ref="Q191">INDEX('MRT station dataset'!$C$3:$C$179, MATCH(MIN(SQRT(('MRT station dataset'!$E$3:$E$179-'Resale flat dataset'!O191)^2+('MRT station dataset'!$F$3:$F$179-'Resale flat dataset'!P191)^2)), SQRT(('MRT station dataset'!$E$3:$E$179-'Resale flat dataset'!O191)^2+('MRT station dataset'!$F$3:$F$179-'Resale flat dataset'!P191)^2), 0))</f>
        <v>OASIS LRT STATION</v>
      </c>
      <c r="R191" s="38" t="str" cm="1">
        <f t="array" ref="R191">INDEX('Mall Dataset'!$B$3:$B$157, MATCH(MIN(SQRT(('Mall Dataset'!$E$3:$E$157-'Resale flat dataset'!O191)^2+('Mall Dataset'!$F$3:$F$157-'Resale flat dataset'!P191)^2)), SQRT(('Mall Dataset'!$E$3:$E$157-'Resale flat dataset'!O191)^2+('Mall Dataset'!$F$3:$F$157-'Resale flat dataset'!P191)^2), 0))</f>
        <v>Oasis Terraces</v>
      </c>
      <c r="S191" s="38" t="str" cm="1">
        <f t="array" ref="S191">INDEX('Schools dataset'!$B$3:$B$187, MATCH(MIN(SQRT(('Schools dataset'!$J$3:$J$187-'Resale flat dataset'!O191)^2+('Schools dataset'!$K$3:$K$187-'Resale flat dataset'!P191)^2)), SQRT(('Schools dataset'!$J$3:$J$187-'Resale flat dataset'!O191)^2+('Schools dataset'!$K$3:$K$187-'Resale flat dataset'!P191)^2), 0))</f>
        <v>HORIZON PRIMARY SCHOOL</v>
      </c>
      <c r="T191" s="39">
        <f>ACOS(COS(RADIANS(90-O191))*COS(RADIANS(90-_xlfn.XLOOKUP(Q191,'MRT station dataset'!$C$3:$C$179,'MRT station dataset'!$E$3:$E$179)))+SIN(RADIANS(90-O191))*SIN(RADIANS(90-_xlfn.XLOOKUP(Q191,'MRT station dataset'!$C$3:$C$179,'MRT station dataset'!$E$3:$E$179)))*COS(RADIANS(P191-_xlfn.XLOOKUP('Resale flat dataset'!Q191,'MRT station dataset'!$C$3:$C$179,'MRT station dataset'!$F$3:$F$179))))*6371*1000</f>
        <v>268.74261278169053</v>
      </c>
      <c r="U191" s="39">
        <f>ACOS(COS(RADIANS(90-O191))*COS(RADIANS(90-_xlfn.XLOOKUP(R191,'Mall Dataset'!$B$3:$B$157,'Mall Dataset'!$E$3:$E$157,,0)))+SIN(RADIANS(90-O191))*SIN(RADIANS(90-_xlfn.XLOOKUP(R191,'Mall Dataset'!$B$3:$B$157,'Mall Dataset'!$E$3:$E$157,,0)))*COS(RADIANS(P191-_xlfn.XLOOKUP(R191,'Mall Dataset'!$B$3:$B$157,'Mall Dataset'!$F$3:$F$157,,0))))*6371*1000</f>
        <v>200.91765636112081</v>
      </c>
      <c r="V191" s="39">
        <f>ACOS(COS(RADIANS(90-O191))*COS(RADIANS(90-_xlfn.XLOOKUP(S191,'Schools dataset'!$B$3:$B$187,'Schools dataset'!$J$3:$J$187,,0)))+SIN(RADIANS(90-O191))*SIN(RADIANS(90-_xlfn.XLOOKUP(S191,'Schools dataset'!$B$3:$B$187,'Schools dataset'!$J$3:$J$187,,0)))*COS(RADIANS(P191-_xlfn.XLOOKUP(S191,'Schools dataset'!$B$3:$B$187,'Schools dataset'!$K$3:$K$187,,0))))*6371*1000</f>
        <v>424.92449739397563</v>
      </c>
      <c r="W191" s="20">
        <f>_xlfn.XLOOKUP(T191,'HDB Recommender'!$P$10:$P$39,'HDB Recommender'!$Q$10:$Q$39,"&gt;30mins",1)</f>
        <v>4</v>
      </c>
      <c r="X191" s="20">
        <f>_xlfn.XLOOKUP(U191,'HDB Recommender'!$P$10:$P$39,'HDB Recommender'!$Q$10:$Q$39,"&gt;30mins",1)</f>
        <v>3</v>
      </c>
      <c r="Y191" s="20">
        <f>_xlfn.XLOOKUP(V191,'HDB Recommender'!$P$10:$P$39,'HDB Recommender'!$Q$10:$Q$39,"&gt;30mins",1)</f>
        <v>6</v>
      </c>
      <c r="Z191" s="39">
        <f t="shared" si="5"/>
        <v>4.333333333333333</v>
      </c>
      <c r="AA191" s="20" t="str">
        <f t="shared" si="4"/>
        <v>Within 1km</v>
      </c>
    </row>
    <row r="192" spans="2:27" hidden="1">
      <c r="B192" s="35" t="s">
        <v>317</v>
      </c>
      <c r="C192" s="35" t="s">
        <v>630</v>
      </c>
      <c r="D192" s="35" t="s">
        <v>341</v>
      </c>
      <c r="E192" s="35">
        <v>130</v>
      </c>
      <c r="F192" s="35" t="s">
        <v>633</v>
      </c>
      <c r="G192" s="35" t="s">
        <v>349</v>
      </c>
      <c r="H192" s="35">
        <v>111</v>
      </c>
      <c r="I192" s="35" t="s">
        <v>389</v>
      </c>
      <c r="J192" s="36">
        <v>2003</v>
      </c>
      <c r="K192" s="39">
        <v>79.1666666666666</v>
      </c>
      <c r="L192" s="37">
        <v>528000</v>
      </c>
      <c r="M192" s="35" t="s">
        <v>654</v>
      </c>
      <c r="N192" s="27">
        <v>820130</v>
      </c>
      <c r="O192" s="38">
        <v>1.39317299390016</v>
      </c>
      <c r="P192" s="38">
        <v>103.91005533231299</v>
      </c>
      <c r="Q192" s="38" t="str" cm="1">
        <f t="array" ref="Q192">INDEX('MRT station dataset'!$C$3:$C$179, MATCH(MIN(SQRT(('MRT station dataset'!$E$3:$E$179-'Resale flat dataset'!O192)^2+('MRT station dataset'!$F$3:$F$179-'Resale flat dataset'!P192)^2)), SQRT(('MRT station dataset'!$E$3:$E$179-'Resale flat dataset'!O192)^2+('MRT station dataset'!$F$3:$F$179-'Resale flat dataset'!P192)^2), 0))</f>
        <v>CORAL EDGE LRT STATION</v>
      </c>
      <c r="R192" s="38" t="str" cm="1">
        <f t="array" ref="R192">INDEX('Mall Dataset'!$B$3:$B$157, MATCH(MIN(SQRT(('Mall Dataset'!$E$3:$E$157-'Resale flat dataset'!O192)^2+('Mall Dataset'!$F$3:$F$157-'Resale flat dataset'!P192)^2)), SQRT(('Mall Dataset'!$E$3:$E$157-'Resale flat dataset'!O192)^2+('Mall Dataset'!$F$3:$F$157-'Resale flat dataset'!P192)^2), 0))</f>
        <v>Punggol Plaza</v>
      </c>
      <c r="S192" s="38" t="str" cm="1">
        <f t="array" ref="S192">INDEX('Schools dataset'!$B$3:$B$187, MATCH(MIN(SQRT(('Schools dataset'!$J$3:$J$187-'Resale flat dataset'!O192)^2+('Schools dataset'!$K$3:$K$187-'Resale flat dataset'!P192)^2)), SQRT(('Schools dataset'!$J$3:$J$187-'Resale flat dataset'!O192)^2+('Schools dataset'!$K$3:$K$187-'Resale flat dataset'!P192)^2), 0))</f>
        <v>MEE TOH SCHOOL</v>
      </c>
      <c r="T192" s="39">
        <f>ACOS(COS(RADIANS(90-O192))*COS(RADIANS(90-_xlfn.XLOOKUP(Q192,'MRT station dataset'!$C$3:$C$179,'MRT station dataset'!$E$3:$E$179)))+SIN(RADIANS(90-O192))*SIN(RADIANS(90-_xlfn.XLOOKUP(Q192,'MRT station dataset'!$C$3:$C$179,'MRT station dataset'!$E$3:$E$179)))*COS(RADIANS(P192-_xlfn.XLOOKUP('Resale flat dataset'!Q192,'MRT station dataset'!$C$3:$C$179,'MRT station dataset'!$F$3:$F$179))))*6371*1000</f>
        <v>294.19502231154968</v>
      </c>
      <c r="U192" s="39">
        <f>ACOS(COS(RADIANS(90-O192))*COS(RADIANS(90-_xlfn.XLOOKUP(R192,'Mall Dataset'!$B$3:$B$157,'Mall Dataset'!$E$3:$E$157,,0)))+SIN(RADIANS(90-O192))*SIN(RADIANS(90-_xlfn.XLOOKUP(R192,'Mall Dataset'!$B$3:$B$157,'Mall Dataset'!$E$3:$E$157,,0)))*COS(RADIANS(P192-_xlfn.XLOOKUP(R192,'Mall Dataset'!$B$3:$B$157,'Mall Dataset'!$F$3:$F$157,,0))))*6371*1000</f>
        <v>353.01968515739566</v>
      </c>
      <c r="V192" s="39">
        <f>ACOS(COS(RADIANS(90-O192))*COS(RADIANS(90-_xlfn.XLOOKUP(S192,'Schools dataset'!$B$3:$B$187,'Schools dataset'!$J$3:$J$187,,0)))+SIN(RADIANS(90-O192))*SIN(RADIANS(90-_xlfn.XLOOKUP(S192,'Schools dataset'!$B$3:$B$187,'Schools dataset'!$J$3:$J$187,,0)))*COS(RADIANS(P192-_xlfn.XLOOKUP(S192,'Schools dataset'!$B$3:$B$187,'Schools dataset'!$K$3:$K$187,,0))))*6371*1000</f>
        <v>228.87699344325486</v>
      </c>
      <c r="W192" s="20">
        <f>_xlfn.XLOOKUP(T192,'HDB Recommender'!$P$10:$P$39,'HDB Recommender'!$Q$10:$Q$39,"&gt;30mins",1)</f>
        <v>4</v>
      </c>
      <c r="X192" s="20">
        <f>_xlfn.XLOOKUP(U192,'HDB Recommender'!$P$10:$P$39,'HDB Recommender'!$Q$10:$Q$39,"&gt;30mins",1)</f>
        <v>5</v>
      </c>
      <c r="Y192" s="20">
        <f>_xlfn.XLOOKUP(V192,'HDB Recommender'!$P$10:$P$39,'HDB Recommender'!$Q$10:$Q$39,"&gt;30mins",1)</f>
        <v>4</v>
      </c>
      <c r="Z192" s="39">
        <f t="shared" si="5"/>
        <v>4.333333333333333</v>
      </c>
      <c r="AA192" s="20" t="str">
        <f t="shared" si="4"/>
        <v>Within 1km</v>
      </c>
    </row>
    <row r="193" spans="2:27" hidden="1">
      <c r="B193" s="35" t="s">
        <v>317</v>
      </c>
      <c r="C193" s="35" t="s">
        <v>630</v>
      </c>
      <c r="D193" s="35" t="s">
        <v>341</v>
      </c>
      <c r="E193" s="35"/>
      <c r="F193" s="35" t="s">
        <v>633</v>
      </c>
      <c r="G193" s="35" t="s">
        <v>323</v>
      </c>
      <c r="H193" s="35">
        <v>110</v>
      </c>
      <c r="I193" s="35" t="s">
        <v>326</v>
      </c>
      <c r="J193" s="36">
        <v>2003</v>
      </c>
      <c r="K193" s="39">
        <v>78.4166666666666</v>
      </c>
      <c r="L193" s="37">
        <v>598000</v>
      </c>
      <c r="M193" s="35" t="s">
        <v>655</v>
      </c>
      <c r="N193" s="27">
        <v>823126</v>
      </c>
      <c r="O193" s="38">
        <v>1.3939705305707899</v>
      </c>
      <c r="P193" s="38">
        <v>103.910663559632</v>
      </c>
      <c r="Q193" s="38" t="str" cm="1">
        <f t="array" ref="Q193">INDEX('MRT station dataset'!$C$3:$C$179, MATCH(MIN(SQRT(('MRT station dataset'!$E$3:$E$179-'Resale flat dataset'!O193)^2+('MRT station dataset'!$F$3:$F$179-'Resale flat dataset'!P193)^2)), SQRT(('MRT station dataset'!$E$3:$E$179-'Resale flat dataset'!O193)^2+('MRT station dataset'!$F$3:$F$179-'Resale flat dataset'!P193)^2), 0))</f>
        <v>CORAL EDGE LRT STATION</v>
      </c>
      <c r="R193" s="38" t="str" cm="1">
        <f t="array" ref="R193">INDEX('Mall Dataset'!$B$3:$B$157, MATCH(MIN(SQRT(('Mall Dataset'!$E$3:$E$157-'Resale flat dataset'!O193)^2+('Mall Dataset'!$F$3:$F$157-'Resale flat dataset'!P193)^2)), SQRT(('Mall Dataset'!$E$3:$E$157-'Resale flat dataset'!O193)^2+('Mall Dataset'!$F$3:$F$157-'Resale flat dataset'!P193)^2), 0))</f>
        <v>Punggol Plaza</v>
      </c>
      <c r="S193" s="38" t="str" cm="1">
        <f t="array" ref="S193">INDEX('Schools dataset'!$B$3:$B$187, MATCH(MIN(SQRT(('Schools dataset'!$J$3:$J$187-'Resale flat dataset'!O193)^2+('Schools dataset'!$K$3:$K$187-'Resale flat dataset'!P193)^2)), SQRT(('Schools dataset'!$J$3:$J$187-'Resale flat dataset'!O193)^2+('Schools dataset'!$K$3:$K$187-'Resale flat dataset'!P193)^2), 0))</f>
        <v>MEE TOH SCHOOL</v>
      </c>
      <c r="T193" s="39">
        <f>ACOS(COS(RADIANS(90-O193))*COS(RADIANS(90-_xlfn.XLOOKUP(Q193,'MRT station dataset'!$C$3:$C$179,'MRT station dataset'!$E$3:$E$179)))+SIN(RADIANS(90-O193))*SIN(RADIANS(90-_xlfn.XLOOKUP(Q193,'MRT station dataset'!$C$3:$C$179,'MRT station dataset'!$E$3:$E$179)))*COS(RADIANS(P193-_xlfn.XLOOKUP('Resale flat dataset'!Q193,'MRT station dataset'!$C$3:$C$179,'MRT station dataset'!$F$3:$F$179))))*6371*1000</f>
        <v>215.40145472508087</v>
      </c>
      <c r="U193" s="39">
        <f>ACOS(COS(RADIANS(90-O193))*COS(RADIANS(90-_xlfn.XLOOKUP(R193,'Mall Dataset'!$B$3:$B$157,'Mall Dataset'!$E$3:$E$157,,0)))+SIN(RADIANS(90-O193))*SIN(RADIANS(90-_xlfn.XLOOKUP(R193,'Mall Dataset'!$B$3:$B$157,'Mall Dataset'!$E$3:$E$157,,0)))*COS(RADIANS(P193-_xlfn.XLOOKUP(R193,'Mall Dataset'!$B$3:$B$157,'Mall Dataset'!$F$3:$F$157,,0))))*6371*1000</f>
        <v>266.63784747533771</v>
      </c>
      <c r="V193" s="39">
        <f>ACOS(COS(RADIANS(90-O193))*COS(RADIANS(90-_xlfn.XLOOKUP(S193,'Schools dataset'!$B$3:$B$187,'Schools dataset'!$J$3:$J$187,,0)))+SIN(RADIANS(90-O193))*SIN(RADIANS(90-_xlfn.XLOOKUP(S193,'Schools dataset'!$B$3:$B$187,'Schools dataset'!$J$3:$J$187,,0)))*COS(RADIANS(P193-_xlfn.XLOOKUP(S193,'Schools dataset'!$B$3:$B$187,'Schools dataset'!$K$3:$K$187,,0))))*6371*1000</f>
        <v>241.55174238798915</v>
      </c>
      <c r="W193" s="20">
        <f>_xlfn.XLOOKUP(T193,'HDB Recommender'!$P$10:$P$39,'HDB Recommender'!$Q$10:$Q$39,"&gt;30mins",1)</f>
        <v>3</v>
      </c>
      <c r="X193" s="20">
        <f>_xlfn.XLOOKUP(U193,'HDB Recommender'!$P$10:$P$39,'HDB Recommender'!$Q$10:$Q$39,"&gt;30mins",1)</f>
        <v>4</v>
      </c>
      <c r="Y193" s="20">
        <f>_xlfn.XLOOKUP(V193,'HDB Recommender'!$P$10:$P$39,'HDB Recommender'!$Q$10:$Q$39,"&gt;30mins",1)</f>
        <v>4</v>
      </c>
      <c r="Z193" s="39">
        <f t="shared" si="5"/>
        <v>3.6666666666666665</v>
      </c>
      <c r="AA193" s="20" t="str">
        <f t="shared" si="4"/>
        <v>Within 1km</v>
      </c>
    </row>
    <row r="194" spans="2:27" hidden="1">
      <c r="B194" s="35" t="s">
        <v>317</v>
      </c>
      <c r="C194" s="35" t="s">
        <v>630</v>
      </c>
      <c r="D194" s="35" t="s">
        <v>341</v>
      </c>
      <c r="E194" s="35"/>
      <c r="F194" s="35" t="s">
        <v>633</v>
      </c>
      <c r="G194" s="35" t="s">
        <v>191</v>
      </c>
      <c r="H194" s="35">
        <v>113</v>
      </c>
      <c r="I194" s="35" t="s">
        <v>389</v>
      </c>
      <c r="J194" s="36">
        <v>2018</v>
      </c>
      <c r="K194" s="39">
        <v>93.9166666666666</v>
      </c>
      <c r="L194" s="37">
        <v>758000</v>
      </c>
      <c r="M194" s="35" t="s">
        <v>653</v>
      </c>
      <c r="N194" s="27">
        <v>822684</v>
      </c>
      <c r="O194" s="38">
        <v>1.40302713233008</v>
      </c>
      <c r="P194" s="38">
        <v>103.915005575569</v>
      </c>
      <c r="Q194" s="38" t="str" cm="1">
        <f t="array" ref="Q194">INDEX('MRT station dataset'!$C$3:$C$179, MATCH(MIN(SQRT(('MRT station dataset'!$E$3:$E$179-'Resale flat dataset'!O194)^2+('MRT station dataset'!$F$3:$F$179-'Resale flat dataset'!P194)^2)), SQRT(('MRT station dataset'!$E$3:$E$179-'Resale flat dataset'!O194)^2+('MRT station dataset'!$F$3:$F$179-'Resale flat dataset'!P194)^2), 0))</f>
        <v>OASIS LRT STATION</v>
      </c>
      <c r="R194" s="38" t="str" cm="1">
        <f t="array" ref="R194">INDEX('Mall Dataset'!$B$3:$B$157, MATCH(MIN(SQRT(('Mall Dataset'!$E$3:$E$157-'Resale flat dataset'!O194)^2+('Mall Dataset'!$F$3:$F$157-'Resale flat dataset'!P194)^2)), SQRT(('Mall Dataset'!$E$3:$E$157-'Resale flat dataset'!O194)^2+('Mall Dataset'!$F$3:$F$157-'Resale flat dataset'!P194)^2), 0))</f>
        <v>Oasis Terraces</v>
      </c>
      <c r="S194" s="38" t="str" cm="1">
        <f t="array" ref="S194">INDEX('Schools dataset'!$B$3:$B$187, MATCH(MIN(SQRT(('Schools dataset'!$J$3:$J$187-'Resale flat dataset'!O194)^2+('Schools dataset'!$K$3:$K$187-'Resale flat dataset'!P194)^2)), SQRT(('Schools dataset'!$J$3:$J$187-'Resale flat dataset'!O194)^2+('Schools dataset'!$K$3:$K$187-'Resale flat dataset'!P194)^2), 0))</f>
        <v>HORIZON PRIMARY SCHOOL</v>
      </c>
      <c r="T194" s="39">
        <f>ACOS(COS(RADIANS(90-O194))*COS(RADIANS(90-_xlfn.XLOOKUP(Q194,'MRT station dataset'!$C$3:$C$179,'MRT station dataset'!$E$3:$E$179)))+SIN(RADIANS(90-O194))*SIN(RADIANS(90-_xlfn.XLOOKUP(Q194,'MRT station dataset'!$C$3:$C$179,'MRT station dataset'!$E$3:$E$179)))*COS(RADIANS(P194-_xlfn.XLOOKUP('Resale flat dataset'!Q194,'MRT station dataset'!$C$3:$C$179,'MRT station dataset'!$F$3:$F$179))))*6371*1000</f>
        <v>268.74261278169053</v>
      </c>
      <c r="U194" s="39">
        <f>ACOS(COS(RADIANS(90-O194))*COS(RADIANS(90-_xlfn.XLOOKUP(R194,'Mall Dataset'!$B$3:$B$157,'Mall Dataset'!$E$3:$E$157,,0)))+SIN(RADIANS(90-O194))*SIN(RADIANS(90-_xlfn.XLOOKUP(R194,'Mall Dataset'!$B$3:$B$157,'Mall Dataset'!$E$3:$E$157,,0)))*COS(RADIANS(P194-_xlfn.XLOOKUP(R194,'Mall Dataset'!$B$3:$B$157,'Mall Dataset'!$F$3:$F$157,,0))))*6371*1000</f>
        <v>200.91765636112081</v>
      </c>
      <c r="V194" s="39">
        <f>ACOS(COS(RADIANS(90-O194))*COS(RADIANS(90-_xlfn.XLOOKUP(S194,'Schools dataset'!$B$3:$B$187,'Schools dataset'!$J$3:$J$187,,0)))+SIN(RADIANS(90-O194))*SIN(RADIANS(90-_xlfn.XLOOKUP(S194,'Schools dataset'!$B$3:$B$187,'Schools dataset'!$J$3:$J$187,,0)))*COS(RADIANS(P194-_xlfn.XLOOKUP(S194,'Schools dataset'!$B$3:$B$187,'Schools dataset'!$K$3:$K$187,,0))))*6371*1000</f>
        <v>424.92449739397563</v>
      </c>
      <c r="W194" s="20">
        <f>_xlfn.XLOOKUP(T194,'HDB Recommender'!$P$10:$P$39,'HDB Recommender'!$Q$10:$Q$39,"&gt;30mins",1)</f>
        <v>4</v>
      </c>
      <c r="X194" s="20">
        <f>_xlfn.XLOOKUP(U194,'HDB Recommender'!$P$10:$P$39,'HDB Recommender'!$Q$10:$Q$39,"&gt;30mins",1)</f>
        <v>3</v>
      </c>
      <c r="Y194" s="20">
        <f>_xlfn.XLOOKUP(V194,'HDB Recommender'!$P$10:$P$39,'HDB Recommender'!$Q$10:$Q$39,"&gt;30mins",1)</f>
        <v>6</v>
      </c>
      <c r="Z194" s="39">
        <f t="shared" si="5"/>
        <v>4.333333333333333</v>
      </c>
      <c r="AA194" s="20" t="str">
        <f t="shared" si="4"/>
        <v>Within 1km</v>
      </c>
    </row>
    <row r="195" spans="2:27" hidden="1">
      <c r="B195" s="35" t="s">
        <v>317</v>
      </c>
      <c r="C195" s="35" t="s">
        <v>630</v>
      </c>
      <c r="D195" s="35" t="s">
        <v>341</v>
      </c>
      <c r="E195" s="35"/>
      <c r="F195" s="35" t="s">
        <v>638</v>
      </c>
      <c r="G195" s="35" t="s">
        <v>323</v>
      </c>
      <c r="H195" s="35">
        <v>111</v>
      </c>
      <c r="I195" s="35" t="s">
        <v>389</v>
      </c>
      <c r="J195" s="36">
        <v>2005</v>
      </c>
      <c r="K195" s="39">
        <v>80.3333333333333</v>
      </c>
      <c r="L195" s="37">
        <v>608888</v>
      </c>
      <c r="M195" s="35" t="s">
        <v>656</v>
      </c>
      <c r="N195" s="27">
        <v>821641</v>
      </c>
      <c r="O195" s="38">
        <v>1.39855482327723</v>
      </c>
      <c r="P195" s="38">
        <v>103.91700159159799</v>
      </c>
      <c r="Q195" s="38" t="str" cm="1">
        <f t="array" ref="Q195">INDEX('MRT station dataset'!$C$3:$C$179, MATCH(MIN(SQRT(('MRT station dataset'!$E$3:$E$179-'Resale flat dataset'!O195)^2+('MRT station dataset'!$F$3:$F$179-'Resale flat dataset'!P195)^2)), SQRT(('MRT station dataset'!$E$3:$E$179-'Resale flat dataset'!O195)^2+('MRT station dataset'!$F$3:$F$179-'Resale flat dataset'!P195)^2), 0))</f>
        <v>KADALOOR LRT STATION</v>
      </c>
      <c r="R195" s="38" t="str" cm="1">
        <f t="array" ref="R195">INDEX('Mall Dataset'!$B$3:$B$157, MATCH(MIN(SQRT(('Mall Dataset'!$E$3:$E$157-'Resale flat dataset'!O195)^2+('Mall Dataset'!$F$3:$F$157-'Resale flat dataset'!P195)^2)), SQRT(('Mall Dataset'!$E$3:$E$157-'Resale flat dataset'!O195)^2+('Mall Dataset'!$F$3:$F$157-'Resale flat dataset'!P195)^2), 0))</f>
        <v>Oasis Terraces</v>
      </c>
      <c r="S195" s="38" t="str" cm="1">
        <f t="array" ref="S195">INDEX('Schools dataset'!$B$3:$B$187, MATCH(MIN(SQRT(('Schools dataset'!$J$3:$J$187-'Resale flat dataset'!O195)^2+('Schools dataset'!$K$3:$K$187-'Resale flat dataset'!P195)^2)), SQRT(('Schools dataset'!$J$3:$J$187-'Resale flat dataset'!O195)^2+('Schools dataset'!$K$3:$K$187-'Resale flat dataset'!P195)^2), 0))</f>
        <v>WATERWAY PRIMARY SCHOOL</v>
      </c>
      <c r="T195" s="39">
        <f>ACOS(COS(RADIANS(90-O195))*COS(RADIANS(90-_xlfn.XLOOKUP(Q195,'MRT station dataset'!$C$3:$C$179,'MRT station dataset'!$E$3:$E$179)))+SIN(RADIANS(90-O195))*SIN(RADIANS(90-_xlfn.XLOOKUP(Q195,'MRT station dataset'!$C$3:$C$179,'MRT station dataset'!$E$3:$E$179)))*COS(RADIANS(P195-_xlfn.XLOOKUP('Resale flat dataset'!Q195,'MRT station dataset'!$C$3:$C$179,'MRT station dataset'!$F$3:$F$179))))*6371*1000</f>
        <v>128.90168487766252</v>
      </c>
      <c r="U195" s="39">
        <f>ACOS(COS(RADIANS(90-O195))*COS(RADIANS(90-_xlfn.XLOOKUP(R195,'Mall Dataset'!$B$3:$B$157,'Mall Dataset'!$E$3:$E$157,,0)))+SIN(RADIANS(90-O195))*SIN(RADIANS(90-_xlfn.XLOOKUP(R195,'Mall Dataset'!$B$3:$B$157,'Mall Dataset'!$E$3:$E$157,,0)))*COS(RADIANS(P195-_xlfn.XLOOKUP(R195,'Mall Dataset'!$B$3:$B$157,'Mall Dataset'!$F$3:$F$157,,0))))*6371*1000</f>
        <v>630.80352950403835</v>
      </c>
      <c r="V195" s="39">
        <f>ACOS(COS(RADIANS(90-O195))*COS(RADIANS(90-_xlfn.XLOOKUP(S195,'Schools dataset'!$B$3:$B$187,'Schools dataset'!$J$3:$J$187,,0)))+SIN(RADIANS(90-O195))*SIN(RADIANS(90-_xlfn.XLOOKUP(S195,'Schools dataset'!$B$3:$B$187,'Schools dataset'!$J$3:$J$187,,0)))*COS(RADIANS(P195-_xlfn.XLOOKUP(S195,'Schools dataset'!$B$3:$B$187,'Schools dataset'!$K$3:$K$187,,0))))*6371*1000</f>
        <v>180.07797184261909</v>
      </c>
      <c r="W195" s="20">
        <f>_xlfn.XLOOKUP(T195,'HDB Recommender'!$P$10:$P$39,'HDB Recommender'!$Q$10:$Q$39,"&gt;30mins",1)</f>
        <v>2</v>
      </c>
      <c r="X195" s="20">
        <f>_xlfn.XLOOKUP(U195,'HDB Recommender'!$P$10:$P$39,'HDB Recommender'!$Q$10:$Q$39,"&gt;30mins",1)</f>
        <v>9</v>
      </c>
      <c r="Y195" s="20">
        <f>_xlfn.XLOOKUP(V195,'HDB Recommender'!$P$10:$P$39,'HDB Recommender'!$Q$10:$Q$39,"&gt;30mins",1)</f>
        <v>3</v>
      </c>
      <c r="Z195" s="39">
        <f t="shared" si="5"/>
        <v>4.666666666666667</v>
      </c>
      <c r="AA195" s="20" t="str">
        <f t="shared" ref="AA195:AA258" si="6">IF(V195&lt;1000, "Within 1km", IF(V195&lt;=2000, "between 1km and 2km", "more than 2km"))</f>
        <v>Within 1km</v>
      </c>
    </row>
    <row r="196" spans="2:27" hidden="1">
      <c r="B196" s="35" t="s">
        <v>317</v>
      </c>
      <c r="C196" s="35" t="s">
        <v>630</v>
      </c>
      <c r="D196" s="35" t="s">
        <v>341</v>
      </c>
      <c r="E196" s="35"/>
      <c r="F196" s="35" t="s">
        <v>638</v>
      </c>
      <c r="G196" s="35" t="s">
        <v>184</v>
      </c>
      <c r="H196" s="35">
        <v>110</v>
      </c>
      <c r="I196" s="35" t="s">
        <v>326</v>
      </c>
      <c r="J196" s="36">
        <v>2016</v>
      </c>
      <c r="K196" s="39">
        <v>91.8333333333333</v>
      </c>
      <c r="L196" s="37">
        <v>705000</v>
      </c>
      <c r="M196" s="35" t="s">
        <v>657</v>
      </c>
      <c r="N196" s="27">
        <v>823663</v>
      </c>
      <c r="O196" s="38">
        <v>1.40036549350585</v>
      </c>
      <c r="P196" s="38">
        <v>103.91763192338</v>
      </c>
      <c r="Q196" s="38" t="str" cm="1">
        <f t="array" ref="Q196">INDEX('MRT station dataset'!$C$3:$C$179, MATCH(MIN(SQRT(('MRT station dataset'!$E$3:$E$179-'Resale flat dataset'!O196)^2+('MRT station dataset'!$F$3:$F$179-'Resale flat dataset'!P196)^2)), SQRT(('MRT station dataset'!$E$3:$E$179-'Resale flat dataset'!O196)^2+('MRT station dataset'!$F$3:$F$179-'Resale flat dataset'!P196)^2), 0))</f>
        <v>KADALOOR LRT STATION</v>
      </c>
      <c r="R196" s="38" t="str" cm="1">
        <f t="array" ref="R196">INDEX('Mall Dataset'!$B$3:$B$157, MATCH(MIN(SQRT(('Mall Dataset'!$E$3:$E$157-'Resale flat dataset'!O196)^2+('Mall Dataset'!$F$3:$F$157-'Resale flat dataset'!P196)^2)), SQRT(('Mall Dataset'!$E$3:$E$157-'Resale flat dataset'!O196)^2+('Mall Dataset'!$F$3:$F$157-'Resale flat dataset'!P196)^2), 0))</f>
        <v>Oasis Terraces</v>
      </c>
      <c r="S196" s="38" t="str" cm="1">
        <f t="array" ref="S196">INDEX('Schools dataset'!$B$3:$B$187, MATCH(MIN(SQRT(('Schools dataset'!$J$3:$J$187-'Resale flat dataset'!O196)^2+('Schools dataset'!$K$3:$K$187-'Resale flat dataset'!P196)^2)), SQRT(('Schools dataset'!$J$3:$J$187-'Resale flat dataset'!O196)^2+('Schools dataset'!$K$3:$K$187-'Resale flat dataset'!P196)^2), 0))</f>
        <v>WATERWAY PRIMARY SCHOOL</v>
      </c>
      <c r="T196" s="39">
        <f>ACOS(COS(RADIANS(90-O196))*COS(RADIANS(90-_xlfn.XLOOKUP(Q196,'MRT station dataset'!$C$3:$C$179,'MRT station dataset'!$E$3:$E$179)))+SIN(RADIANS(90-O196))*SIN(RADIANS(90-_xlfn.XLOOKUP(Q196,'MRT station dataset'!$C$3:$C$179,'MRT station dataset'!$E$3:$E$179)))*COS(RADIANS(P196-_xlfn.XLOOKUP('Resale flat dataset'!Q196,'MRT station dataset'!$C$3:$C$179,'MRT station dataset'!$F$3:$F$179))))*6371*1000</f>
        <v>151.9130005259459</v>
      </c>
      <c r="U196" s="39">
        <f>ACOS(COS(RADIANS(90-O196))*COS(RADIANS(90-_xlfn.XLOOKUP(R196,'Mall Dataset'!$B$3:$B$157,'Mall Dataset'!$E$3:$E$157,,0)))+SIN(RADIANS(90-O196))*SIN(RADIANS(90-_xlfn.XLOOKUP(R196,'Mall Dataset'!$B$3:$B$157,'Mall Dataset'!$E$3:$E$157,,0)))*COS(RADIANS(P196-_xlfn.XLOOKUP(R196,'Mall Dataset'!$B$3:$B$157,'Mall Dataset'!$F$3:$F$157,,0))))*6371*1000</f>
        <v>559.60161211073591</v>
      </c>
      <c r="V196" s="39">
        <f>ACOS(COS(RADIANS(90-O196))*COS(RADIANS(90-_xlfn.XLOOKUP(S196,'Schools dataset'!$B$3:$B$187,'Schools dataset'!$J$3:$J$187,,0)))+SIN(RADIANS(90-O196))*SIN(RADIANS(90-_xlfn.XLOOKUP(S196,'Schools dataset'!$B$3:$B$187,'Schools dataset'!$J$3:$J$187,,0)))*COS(RADIANS(P196-_xlfn.XLOOKUP(S196,'Schools dataset'!$B$3:$B$187,'Schools dataset'!$K$3:$K$187,,0))))*6371*1000</f>
        <v>195.11317141256646</v>
      </c>
      <c r="W196" s="20">
        <f>_xlfn.XLOOKUP(T196,'HDB Recommender'!$P$10:$P$39,'HDB Recommender'!$Q$10:$Q$39,"&gt;30mins",1)</f>
        <v>3</v>
      </c>
      <c r="X196" s="20">
        <f>_xlfn.XLOOKUP(U196,'HDB Recommender'!$P$10:$P$39,'HDB Recommender'!$Q$10:$Q$39,"&gt;30mins",1)</f>
        <v>8</v>
      </c>
      <c r="Y196" s="20">
        <f>_xlfn.XLOOKUP(V196,'HDB Recommender'!$P$10:$P$39,'HDB Recommender'!$Q$10:$Q$39,"&gt;30mins",1)</f>
        <v>3</v>
      </c>
      <c r="Z196" s="39">
        <f t="shared" ref="Z196:Z259" si="7">AVERAGE(W196:Y196)</f>
        <v>4.666666666666667</v>
      </c>
      <c r="AA196" s="20" t="str">
        <f t="shared" si="6"/>
        <v>Within 1km</v>
      </c>
    </row>
    <row r="197" spans="2:27" hidden="1">
      <c r="B197" s="35" t="s">
        <v>317</v>
      </c>
      <c r="C197" s="35" t="s">
        <v>630</v>
      </c>
      <c r="D197" s="35" t="s">
        <v>341</v>
      </c>
      <c r="E197" s="35"/>
      <c r="F197" s="35" t="s">
        <v>638</v>
      </c>
      <c r="G197" s="35" t="s">
        <v>191</v>
      </c>
      <c r="H197" s="35">
        <v>113</v>
      </c>
      <c r="I197" s="35" t="s">
        <v>389</v>
      </c>
      <c r="J197" s="36">
        <v>2016</v>
      </c>
      <c r="K197" s="39">
        <v>92</v>
      </c>
      <c r="L197" s="37">
        <v>860000</v>
      </c>
      <c r="M197" s="35" t="s">
        <v>658</v>
      </c>
      <c r="N197" s="27">
        <v>823679</v>
      </c>
      <c r="O197" s="38">
        <v>1.4064138077833099</v>
      </c>
      <c r="P197" s="38">
        <v>103.908805683601</v>
      </c>
      <c r="Q197" s="38" t="str" cm="1">
        <f t="array" ref="Q197">INDEX('MRT station dataset'!$C$3:$C$179, MATCH(MIN(SQRT(('MRT station dataset'!$E$3:$E$179-'Resale flat dataset'!O197)^2+('MRT station dataset'!$F$3:$F$179-'Resale flat dataset'!P197)^2)), SQRT(('MRT station dataset'!$E$3:$E$179-'Resale flat dataset'!O197)^2+('MRT station dataset'!$F$3:$F$179-'Resale flat dataset'!P197)^2), 0))</f>
        <v>DAMAI LRT STATION</v>
      </c>
      <c r="R197" s="38" t="str" cm="1">
        <f t="array" ref="R197">INDEX('Mall Dataset'!$B$3:$B$157, MATCH(MIN(SQRT(('Mall Dataset'!$E$3:$E$157-'Resale flat dataset'!O197)^2+('Mall Dataset'!$F$3:$F$157-'Resale flat dataset'!P197)^2)), SQRT(('Mall Dataset'!$E$3:$E$157-'Resale flat dataset'!O197)^2+('Mall Dataset'!$F$3:$F$157-'Resale flat dataset'!P197)^2), 0))</f>
        <v>Oasis Terraces</v>
      </c>
      <c r="S197" s="38" t="str" cm="1">
        <f t="array" ref="S197">INDEX('Schools dataset'!$B$3:$B$187, MATCH(MIN(SQRT(('Schools dataset'!$J$3:$J$187-'Resale flat dataset'!O197)^2+('Schools dataset'!$K$3:$K$187-'Resale flat dataset'!P197)^2)), SQRT(('Schools dataset'!$J$3:$J$187-'Resale flat dataset'!O197)^2+('Schools dataset'!$K$3:$K$187-'Resale flat dataset'!P197)^2), 0))</f>
        <v>OASIS PRIMARY SCHOOL</v>
      </c>
      <c r="T197" s="39">
        <f>ACOS(COS(RADIANS(90-O197))*COS(RADIANS(90-_xlfn.XLOOKUP(Q197,'MRT station dataset'!$C$3:$C$179,'MRT station dataset'!$E$3:$E$179)))+SIN(RADIANS(90-O197))*SIN(RADIANS(90-_xlfn.XLOOKUP(Q197,'MRT station dataset'!$C$3:$C$179,'MRT station dataset'!$E$3:$E$179)))*COS(RADIANS(P197-_xlfn.XLOOKUP('Resale flat dataset'!Q197,'MRT station dataset'!$C$3:$C$179,'MRT station dataset'!$F$3:$F$179))))*6371*1000</f>
        <v>136.89215691980405</v>
      </c>
      <c r="U197" s="39">
        <f>ACOS(COS(RADIANS(90-O197))*COS(RADIANS(90-_xlfn.XLOOKUP(R197,'Mall Dataset'!$B$3:$B$157,'Mall Dataset'!$E$3:$E$157,,0)))+SIN(RADIANS(90-O197))*SIN(RADIANS(90-_xlfn.XLOOKUP(R197,'Mall Dataset'!$B$3:$B$157,'Mall Dataset'!$E$3:$E$157,,0)))*COS(RADIANS(P197-_xlfn.XLOOKUP(R197,'Mall Dataset'!$B$3:$B$157,'Mall Dataset'!$F$3:$F$157,,0))))*6371*1000</f>
        <v>635.2208899542984</v>
      </c>
      <c r="V197" s="39">
        <f>ACOS(COS(RADIANS(90-O197))*COS(RADIANS(90-_xlfn.XLOOKUP(S197,'Schools dataset'!$B$3:$B$187,'Schools dataset'!$J$3:$J$187,,0)))+SIN(RADIANS(90-O197))*SIN(RADIANS(90-_xlfn.XLOOKUP(S197,'Schools dataset'!$B$3:$B$187,'Schools dataset'!$J$3:$J$187,,0)))*COS(RADIANS(P197-_xlfn.XLOOKUP(S197,'Schools dataset'!$B$3:$B$187,'Schools dataset'!$K$3:$K$187,,0))))*6371*1000</f>
        <v>305.15028476294168</v>
      </c>
      <c r="W197" s="20">
        <f>_xlfn.XLOOKUP(T197,'HDB Recommender'!$P$10:$P$39,'HDB Recommender'!$Q$10:$Q$39,"&gt;30mins",1)</f>
        <v>2</v>
      </c>
      <c r="X197" s="20">
        <f>_xlfn.XLOOKUP(U197,'HDB Recommender'!$P$10:$P$39,'HDB Recommender'!$Q$10:$Q$39,"&gt;30mins",1)</f>
        <v>9</v>
      </c>
      <c r="Y197" s="20">
        <f>_xlfn.XLOOKUP(V197,'HDB Recommender'!$P$10:$P$39,'HDB Recommender'!$Q$10:$Q$39,"&gt;30mins",1)</f>
        <v>5</v>
      </c>
      <c r="Z197" s="39">
        <f t="shared" si="7"/>
        <v>5.333333333333333</v>
      </c>
      <c r="AA197" s="20" t="str">
        <f t="shared" si="6"/>
        <v>Within 1km</v>
      </c>
    </row>
    <row r="198" spans="2:27" hidden="1">
      <c r="B198" s="35" t="s">
        <v>317</v>
      </c>
      <c r="C198" s="35" t="s">
        <v>630</v>
      </c>
      <c r="D198" s="35" t="s">
        <v>341</v>
      </c>
      <c r="E198" s="35"/>
      <c r="F198" s="35" t="s">
        <v>659</v>
      </c>
      <c r="G198" s="35" t="s">
        <v>184</v>
      </c>
      <c r="H198" s="35">
        <v>113</v>
      </c>
      <c r="I198" s="35" t="s">
        <v>326</v>
      </c>
      <c r="J198" s="36">
        <v>2018</v>
      </c>
      <c r="K198" s="39">
        <v>94.1666666666666</v>
      </c>
      <c r="L198" s="37">
        <v>750000</v>
      </c>
      <c r="M198" s="35" t="s">
        <v>660</v>
      </c>
      <c r="N198" s="27">
        <v>821658</v>
      </c>
      <c r="O198" s="38">
        <v>1.40017361074941</v>
      </c>
      <c r="P198" s="38">
        <v>103.919720354546</v>
      </c>
      <c r="Q198" s="38" t="str" cm="1">
        <f t="array" ref="Q198">INDEX('MRT station dataset'!$C$3:$C$179, MATCH(MIN(SQRT(('MRT station dataset'!$E$3:$E$179-'Resale flat dataset'!O198)^2+('MRT station dataset'!$F$3:$F$179-'Resale flat dataset'!P198)^2)), SQRT(('MRT station dataset'!$E$3:$E$179-'Resale flat dataset'!O198)^2+('MRT station dataset'!$F$3:$F$179-'Resale flat dataset'!P198)^2), 0))</f>
        <v>KADALOOR LRT STATION</v>
      </c>
      <c r="R198" s="38" t="str" cm="1">
        <f t="array" ref="R198">INDEX('Mall Dataset'!$B$3:$B$157, MATCH(MIN(SQRT(('Mall Dataset'!$E$3:$E$157-'Resale flat dataset'!O198)^2+('Mall Dataset'!$F$3:$F$157-'Resale flat dataset'!P198)^2)), SQRT(('Mall Dataset'!$E$3:$E$157-'Resale flat dataset'!O198)^2+('Mall Dataset'!$F$3:$F$157-'Resale flat dataset'!P198)^2), 0))</f>
        <v>Oasis Terraces</v>
      </c>
      <c r="S198" s="38" t="str" cm="1">
        <f t="array" ref="S198">INDEX('Schools dataset'!$B$3:$B$187, MATCH(MIN(SQRT(('Schools dataset'!$J$3:$J$187-'Resale flat dataset'!O198)^2+('Schools dataset'!$K$3:$K$187-'Resale flat dataset'!P198)^2)), SQRT(('Schools dataset'!$J$3:$J$187-'Resale flat dataset'!O198)^2+('Schools dataset'!$K$3:$K$187-'Resale flat dataset'!P198)^2), 0))</f>
        <v>WATERWAY PRIMARY SCHOOL</v>
      </c>
      <c r="T198" s="39">
        <f>ACOS(COS(RADIANS(90-O198))*COS(RADIANS(90-_xlfn.XLOOKUP(Q198,'MRT station dataset'!$C$3:$C$179,'MRT station dataset'!$E$3:$E$179)))+SIN(RADIANS(90-O198))*SIN(RADIANS(90-_xlfn.XLOOKUP(Q198,'MRT station dataset'!$C$3:$C$179,'MRT station dataset'!$E$3:$E$179)))*COS(RADIANS(P198-_xlfn.XLOOKUP('Resale flat dataset'!Q198,'MRT station dataset'!$C$3:$C$179,'MRT station dataset'!$F$3:$F$179))))*6371*1000</f>
        <v>363.61799280901573</v>
      </c>
      <c r="U198" s="39">
        <f>ACOS(COS(RADIANS(90-O198))*COS(RADIANS(90-_xlfn.XLOOKUP(R198,'Mall Dataset'!$B$3:$B$157,'Mall Dataset'!$E$3:$E$157,,0)))+SIN(RADIANS(90-O198))*SIN(RADIANS(90-_xlfn.XLOOKUP(R198,'Mall Dataset'!$B$3:$B$157,'Mall Dataset'!$E$3:$E$157,,0)))*COS(RADIANS(P198-_xlfn.XLOOKUP(R198,'Mall Dataset'!$B$3:$B$157,'Mall Dataset'!$F$3:$F$157,,0))))*6371*1000</f>
        <v>779.05588832199624</v>
      </c>
      <c r="V198" s="39">
        <f>ACOS(COS(RADIANS(90-O198))*COS(RADIANS(90-_xlfn.XLOOKUP(S198,'Schools dataset'!$B$3:$B$187,'Schools dataset'!$J$3:$J$187,,0)))+SIN(RADIANS(90-O198))*SIN(RADIANS(90-_xlfn.XLOOKUP(S198,'Schools dataset'!$B$3:$B$187,'Schools dataset'!$J$3:$J$187,,0)))*COS(RADIANS(P198-_xlfn.XLOOKUP(S198,'Schools dataset'!$B$3:$B$187,'Schools dataset'!$K$3:$K$187,,0))))*6371*1000</f>
        <v>190.24152556585494</v>
      </c>
      <c r="W198" s="20">
        <f>_xlfn.XLOOKUP(T198,'HDB Recommender'!$P$10:$P$39,'HDB Recommender'!$Q$10:$Q$39,"&gt;30mins",1)</f>
        <v>5</v>
      </c>
      <c r="X198" s="20">
        <f>_xlfn.XLOOKUP(U198,'HDB Recommender'!$P$10:$P$39,'HDB Recommender'!$Q$10:$Q$39,"&gt;30mins",1)</f>
        <v>11</v>
      </c>
      <c r="Y198" s="20">
        <f>_xlfn.XLOOKUP(V198,'HDB Recommender'!$P$10:$P$39,'HDB Recommender'!$Q$10:$Q$39,"&gt;30mins",1)</f>
        <v>3</v>
      </c>
      <c r="Z198" s="39">
        <f t="shared" si="7"/>
        <v>6.333333333333333</v>
      </c>
      <c r="AA198" s="20" t="str">
        <f t="shared" si="6"/>
        <v>Within 1km</v>
      </c>
    </row>
    <row r="199" spans="2:27" hidden="1">
      <c r="B199" s="35" t="s">
        <v>317</v>
      </c>
      <c r="C199" s="35" t="s">
        <v>630</v>
      </c>
      <c r="D199" s="35" t="s">
        <v>341</v>
      </c>
      <c r="E199" s="35"/>
      <c r="F199" s="35" t="s">
        <v>661</v>
      </c>
      <c r="G199" s="35" t="s">
        <v>346</v>
      </c>
      <c r="H199" s="35">
        <v>113</v>
      </c>
      <c r="I199" s="35" t="s">
        <v>326</v>
      </c>
      <c r="J199" s="36">
        <v>2018</v>
      </c>
      <c r="K199" s="39">
        <v>94.1666666666666</v>
      </c>
      <c r="L199" s="37">
        <v>745000</v>
      </c>
      <c r="M199" s="35" t="s">
        <v>662</v>
      </c>
      <c r="N199" s="27">
        <v>822231</v>
      </c>
      <c r="O199" s="38">
        <v>1.40212735474243</v>
      </c>
      <c r="P199" s="38">
        <v>103.891464755643</v>
      </c>
      <c r="Q199" s="38" t="str" cm="1">
        <f t="array" ref="Q199">INDEX('MRT station dataset'!$C$3:$C$179, MATCH(MIN(SQRT(('MRT station dataset'!$E$3:$E$179-'Resale flat dataset'!O199)^2+('MRT station dataset'!$F$3:$F$179-'Resale flat dataset'!P199)^2)), SQRT(('MRT station dataset'!$E$3:$E$179-'Resale flat dataset'!O199)^2+('MRT station dataset'!$F$3:$F$179-'Resale flat dataset'!P199)^2), 0))</f>
        <v>FARMWAY LRT STATION</v>
      </c>
      <c r="R199" s="38" t="str" cm="1">
        <f t="array" ref="R199">INDEX('Mall Dataset'!$B$3:$B$157, MATCH(MIN(SQRT(('Mall Dataset'!$E$3:$E$157-'Resale flat dataset'!O199)^2+('Mall Dataset'!$F$3:$F$157-'Resale flat dataset'!P199)^2)), SQRT(('Mall Dataset'!$E$3:$E$157-'Resale flat dataset'!O199)^2+('Mall Dataset'!$F$3:$F$157-'Resale flat dataset'!P199)^2), 0))</f>
        <v>Compass One</v>
      </c>
      <c r="S199" s="38" t="str" cm="1">
        <f t="array" ref="S199">INDEX('Schools dataset'!$B$3:$B$187, MATCH(MIN(SQRT(('Schools dataset'!$J$3:$J$187-'Resale flat dataset'!O199)^2+('Schools dataset'!$K$3:$K$187-'Resale flat dataset'!P199)^2)), SQRT(('Schools dataset'!$J$3:$J$187-'Resale flat dataset'!O199)^2+('Schools dataset'!$K$3:$K$187-'Resale flat dataset'!P199)^2), 0))</f>
        <v>SPRINGDALE PRIMARY SCHOOL</v>
      </c>
      <c r="T199" s="39">
        <f>ACOS(COS(RADIANS(90-O199))*COS(RADIANS(90-_xlfn.XLOOKUP(Q199,'MRT station dataset'!$C$3:$C$179,'MRT station dataset'!$E$3:$E$179)))+SIN(RADIANS(90-O199))*SIN(RADIANS(90-_xlfn.XLOOKUP(Q199,'MRT station dataset'!$C$3:$C$179,'MRT station dataset'!$E$3:$E$179)))*COS(RADIANS(P199-_xlfn.XLOOKUP('Resale flat dataset'!Q199,'MRT station dataset'!$C$3:$C$179,'MRT station dataset'!$F$3:$F$179))))*6371*1000</f>
        <v>598.41257777041164</v>
      </c>
      <c r="U199" s="39">
        <f>ACOS(COS(RADIANS(90-O199))*COS(RADIANS(90-_xlfn.XLOOKUP(R199,'Mall Dataset'!$B$3:$B$157,'Mall Dataset'!$E$3:$E$157,,0)))+SIN(RADIANS(90-O199))*SIN(RADIANS(90-_xlfn.XLOOKUP(R199,'Mall Dataset'!$B$3:$B$157,'Mall Dataset'!$E$3:$E$157,,0)))*COS(RADIANS(P199-_xlfn.XLOOKUP(R199,'Mall Dataset'!$B$3:$B$157,'Mall Dataset'!$F$3:$F$157,,0))))*6371*1000</f>
        <v>1189.7532454636334</v>
      </c>
      <c r="V199" s="39">
        <f>ACOS(COS(RADIANS(90-O199))*COS(RADIANS(90-_xlfn.XLOOKUP(S199,'Schools dataset'!$B$3:$B$187,'Schools dataset'!$J$3:$J$187,,0)))+SIN(RADIANS(90-O199))*SIN(RADIANS(90-_xlfn.XLOOKUP(S199,'Schools dataset'!$B$3:$B$187,'Schools dataset'!$J$3:$J$187,,0)))*COS(RADIANS(P199-_xlfn.XLOOKUP(S199,'Schools dataset'!$B$3:$B$187,'Schools dataset'!$K$3:$K$187,,0))))*6371*1000</f>
        <v>794.12905810444317</v>
      </c>
      <c r="W199" s="20">
        <f>_xlfn.XLOOKUP(T199,'HDB Recommender'!$P$10:$P$39,'HDB Recommender'!$Q$10:$Q$39,"&gt;30mins",1)</f>
        <v>8</v>
      </c>
      <c r="X199" s="20">
        <f>_xlfn.XLOOKUP(U199,'HDB Recommender'!$P$10:$P$39,'HDB Recommender'!$Q$10:$Q$39,"&gt;30mins",1)</f>
        <v>16</v>
      </c>
      <c r="Y199" s="20">
        <f>_xlfn.XLOOKUP(V199,'HDB Recommender'!$P$10:$P$39,'HDB Recommender'!$Q$10:$Q$39,"&gt;30mins",1)</f>
        <v>11</v>
      </c>
      <c r="Z199" s="39">
        <f t="shared" si="7"/>
        <v>11.666666666666666</v>
      </c>
      <c r="AA199" s="20" t="str">
        <f t="shared" si="6"/>
        <v>Within 1km</v>
      </c>
    </row>
    <row r="200" spans="2:27" hidden="1">
      <c r="B200" s="35" t="s">
        <v>317</v>
      </c>
      <c r="C200" s="35" t="s">
        <v>630</v>
      </c>
      <c r="D200" s="35" t="s">
        <v>341</v>
      </c>
      <c r="E200" s="35"/>
      <c r="F200" s="35" t="s">
        <v>650</v>
      </c>
      <c r="G200" s="35" t="s">
        <v>349</v>
      </c>
      <c r="H200" s="35">
        <v>121</v>
      </c>
      <c r="I200" s="35" t="s">
        <v>389</v>
      </c>
      <c r="J200" s="36">
        <v>2019</v>
      </c>
      <c r="K200" s="39">
        <v>94.5</v>
      </c>
      <c r="L200" s="37">
        <v>860000</v>
      </c>
      <c r="M200" s="35" t="s">
        <v>663</v>
      </c>
      <c r="N200" s="27">
        <v>821322</v>
      </c>
      <c r="O200" s="38">
        <v>1.41139447142604</v>
      </c>
      <c r="P200" s="38">
        <v>103.897032401459</v>
      </c>
      <c r="Q200" s="38" t="str" cm="1">
        <f t="array" ref="Q200">INDEX('MRT station dataset'!$C$3:$C$179, MATCH(MIN(SQRT(('MRT station dataset'!$E$3:$E$179-'Resale flat dataset'!O200)^2+('MRT station dataset'!$F$3:$F$179-'Resale flat dataset'!P200)^2)), SQRT(('MRT station dataset'!$E$3:$E$179-'Resale flat dataset'!O200)^2+('MRT station dataset'!$F$3:$F$179-'Resale flat dataset'!P200)^2), 0))</f>
        <v>SUMANG LRT STATION</v>
      </c>
      <c r="R200" s="38" t="str" cm="1">
        <f t="array" ref="R200">INDEX('Mall Dataset'!$B$3:$B$157, MATCH(MIN(SQRT(('Mall Dataset'!$E$3:$E$157-'Resale flat dataset'!O200)^2+('Mall Dataset'!$F$3:$F$157-'Resale flat dataset'!P200)^2)), SQRT(('Mall Dataset'!$E$3:$E$157-'Resale flat dataset'!O200)^2+('Mall Dataset'!$F$3:$F$157-'Resale flat dataset'!P200)^2), 0))</f>
        <v>Waterway Point</v>
      </c>
      <c r="S200" s="38" t="str" cm="1">
        <f t="array" ref="S200">INDEX('Schools dataset'!$B$3:$B$187, MATCH(MIN(SQRT(('Schools dataset'!$J$3:$J$187-'Resale flat dataset'!O200)^2+('Schools dataset'!$K$3:$K$187-'Resale flat dataset'!P200)^2)), SQRT(('Schools dataset'!$J$3:$J$187-'Resale flat dataset'!O200)^2+('Schools dataset'!$K$3:$K$187-'Resale flat dataset'!P200)^2), 0))</f>
        <v>PUNGGOL COVE PRIMARY SCHOOL</v>
      </c>
      <c r="T200" s="39">
        <f>ACOS(COS(RADIANS(90-O200))*COS(RADIANS(90-_xlfn.XLOOKUP(Q200,'MRT station dataset'!$C$3:$C$179,'MRT station dataset'!$E$3:$E$179)))+SIN(RADIANS(90-O200))*SIN(RADIANS(90-_xlfn.XLOOKUP(Q200,'MRT station dataset'!$C$3:$C$179,'MRT station dataset'!$E$3:$E$179)))*COS(RADIANS(P200-_xlfn.XLOOKUP('Resale flat dataset'!Q200,'MRT station dataset'!$C$3:$C$179,'MRT station dataset'!$F$3:$F$179))))*6371*1000</f>
        <v>365.9959146625298</v>
      </c>
      <c r="U200" s="39">
        <f>ACOS(COS(RADIANS(90-O200))*COS(RADIANS(90-_xlfn.XLOOKUP(R200,'Mall Dataset'!$B$3:$B$157,'Mall Dataset'!$E$3:$E$157,,0)))+SIN(RADIANS(90-O200))*SIN(RADIANS(90-_xlfn.XLOOKUP(R200,'Mall Dataset'!$B$3:$B$157,'Mall Dataset'!$E$3:$E$157,,0)))*COS(RADIANS(P200-_xlfn.XLOOKUP(R200,'Mall Dataset'!$B$3:$B$157,'Mall Dataset'!$F$3:$F$157,,0))))*6371*1000</f>
        <v>798.38916072370523</v>
      </c>
      <c r="V200" s="39">
        <f>ACOS(COS(RADIANS(90-O200))*COS(RADIANS(90-_xlfn.XLOOKUP(S200,'Schools dataset'!$B$3:$B$187,'Schools dataset'!$J$3:$J$187,,0)))+SIN(RADIANS(90-O200))*SIN(RADIANS(90-_xlfn.XLOOKUP(S200,'Schools dataset'!$B$3:$B$187,'Schools dataset'!$J$3:$J$187,,0)))*COS(RADIANS(P200-_xlfn.XLOOKUP(S200,'Schools dataset'!$B$3:$B$187,'Schools dataset'!$K$3:$K$187,,0))))*6371*1000</f>
        <v>209.17357272526971</v>
      </c>
      <c r="W200" s="20">
        <f>_xlfn.XLOOKUP(T200,'HDB Recommender'!$P$10:$P$39,'HDB Recommender'!$Q$10:$Q$39,"&gt;30mins",1)</f>
        <v>5</v>
      </c>
      <c r="X200" s="20">
        <f>_xlfn.XLOOKUP(U200,'HDB Recommender'!$P$10:$P$39,'HDB Recommender'!$Q$10:$Q$39,"&gt;30mins",1)</f>
        <v>11</v>
      </c>
      <c r="Y200" s="20">
        <f>_xlfn.XLOOKUP(V200,'HDB Recommender'!$P$10:$P$39,'HDB Recommender'!$Q$10:$Q$39,"&gt;30mins",1)</f>
        <v>3</v>
      </c>
      <c r="Z200" s="39">
        <f t="shared" si="7"/>
        <v>6.333333333333333</v>
      </c>
      <c r="AA200" s="20" t="str">
        <f t="shared" si="6"/>
        <v>Within 1km</v>
      </c>
    </row>
    <row r="201" spans="2:27" hidden="1">
      <c r="B201" s="35" t="s">
        <v>317</v>
      </c>
      <c r="C201" s="35" t="s">
        <v>664</v>
      </c>
      <c r="D201" s="35" t="s">
        <v>318</v>
      </c>
      <c r="E201" s="35">
        <v>81</v>
      </c>
      <c r="F201" s="35" t="s">
        <v>665</v>
      </c>
      <c r="G201" s="35" t="s">
        <v>191</v>
      </c>
      <c r="H201" s="35">
        <v>60</v>
      </c>
      <c r="I201" s="35" t="s">
        <v>342</v>
      </c>
      <c r="J201" s="36">
        <v>1967</v>
      </c>
      <c r="K201" s="39">
        <v>42.3333333333333</v>
      </c>
      <c r="L201" s="37">
        <v>340000</v>
      </c>
      <c r="M201" s="35" t="s">
        <v>666</v>
      </c>
      <c r="N201" s="27">
        <v>140081</v>
      </c>
      <c r="O201" s="38">
        <v>1.3037874439370001</v>
      </c>
      <c r="P201" s="38">
        <v>103.800385265974</v>
      </c>
      <c r="Q201" s="38" t="str" cm="1">
        <f t="array" ref="Q201">INDEX('MRT station dataset'!$C$3:$C$179, MATCH(MIN(SQRT(('MRT station dataset'!$E$3:$E$179-'Resale flat dataset'!O201)^2+('MRT station dataset'!$F$3:$F$179-'Resale flat dataset'!P201)^2)), SQRT(('MRT station dataset'!$E$3:$E$179-'Resale flat dataset'!O201)^2+('MRT station dataset'!$F$3:$F$179-'Resale flat dataset'!P201)^2), 0))</f>
        <v>COMMONWEALTH MRT STATION</v>
      </c>
      <c r="R201" s="38" t="str" cm="1">
        <f t="array" ref="R201">INDEX('Mall Dataset'!$B$3:$B$157, MATCH(MIN(SQRT(('Mall Dataset'!$E$3:$E$157-'Resale flat dataset'!O201)^2+('Mall Dataset'!$F$3:$F$157-'Resale flat dataset'!P201)^2)), SQRT(('Mall Dataset'!$E$3:$E$157-'Resale flat dataset'!O201)^2+('Mall Dataset'!$F$3:$F$157-'Resale flat dataset'!P201)^2), 0))</f>
        <v>Rochester Mall</v>
      </c>
      <c r="S201" s="38" t="str" cm="1">
        <f t="array" ref="S201">INDEX('Schools dataset'!$B$3:$B$187, MATCH(MIN(SQRT(('Schools dataset'!$J$3:$J$187-'Resale flat dataset'!O201)^2+('Schools dataset'!$K$3:$K$187-'Resale flat dataset'!P201)^2)), SQRT(('Schools dataset'!$J$3:$J$187-'Resale flat dataset'!O201)^2+('Schools dataset'!$K$3:$K$187-'Resale flat dataset'!P201)^2), 0))</f>
        <v>NEW TOWN PRIMARY SCHOOL</v>
      </c>
      <c r="T201" s="39">
        <f>ACOS(COS(RADIANS(90-O201))*COS(RADIANS(90-_xlfn.XLOOKUP(Q201,'MRT station dataset'!$C$3:$C$179,'MRT station dataset'!$E$3:$E$179)))+SIN(RADIANS(90-O201))*SIN(RADIANS(90-_xlfn.XLOOKUP(Q201,'MRT station dataset'!$C$3:$C$179,'MRT station dataset'!$E$3:$E$179)))*COS(RADIANS(P201-_xlfn.XLOOKUP('Resale flat dataset'!Q201,'MRT station dataset'!$C$3:$C$179,'MRT station dataset'!$F$3:$F$179))))*6371*1000</f>
        <v>278.4558616356465</v>
      </c>
      <c r="U201" s="39">
        <f>ACOS(COS(RADIANS(90-O201))*COS(RADIANS(90-_xlfn.XLOOKUP(R201,'Mall Dataset'!$B$3:$B$157,'Mall Dataset'!$E$3:$E$157,,0)))+SIN(RADIANS(90-O201))*SIN(RADIANS(90-_xlfn.XLOOKUP(R201,'Mall Dataset'!$B$3:$B$157,'Mall Dataset'!$E$3:$E$157,,0)))*COS(RADIANS(P201-_xlfn.XLOOKUP(R201,'Mall Dataset'!$B$3:$B$157,'Mall Dataset'!$F$3:$F$157,,0))))*6371*1000</f>
        <v>1339.3383238079005</v>
      </c>
      <c r="V201" s="39">
        <f>ACOS(COS(RADIANS(90-O201))*COS(RADIANS(90-_xlfn.XLOOKUP(S201,'Schools dataset'!$B$3:$B$187,'Schools dataset'!$J$3:$J$187,,0)))+SIN(RADIANS(90-O201))*SIN(RADIANS(90-_xlfn.XLOOKUP(S201,'Schools dataset'!$B$3:$B$187,'Schools dataset'!$J$3:$J$187,,0)))*COS(RADIANS(P201-_xlfn.XLOOKUP(S201,'Schools dataset'!$B$3:$B$187,'Schools dataset'!$K$3:$K$187,,0))))*6371*1000</f>
        <v>444.58088548506794</v>
      </c>
      <c r="W201" s="20">
        <f>_xlfn.XLOOKUP(T201,'HDB Recommender'!$P$10:$P$39,'HDB Recommender'!$Q$10:$Q$39,"&gt;30mins",1)</f>
        <v>4</v>
      </c>
      <c r="X201" s="20">
        <f>_xlfn.XLOOKUP(U201,'HDB Recommender'!$P$10:$P$39,'HDB Recommender'!$Q$10:$Q$39,"&gt;30mins",1)</f>
        <v>18</v>
      </c>
      <c r="Y201" s="20">
        <f>_xlfn.XLOOKUP(V201,'HDB Recommender'!$P$10:$P$39,'HDB Recommender'!$Q$10:$Q$39,"&gt;30mins",1)</f>
        <v>6</v>
      </c>
      <c r="Z201" s="39">
        <f t="shared" si="7"/>
        <v>9.3333333333333339</v>
      </c>
      <c r="AA201" s="20" t="str">
        <f t="shared" si="6"/>
        <v>Within 1km</v>
      </c>
    </row>
    <row r="202" spans="2:27" hidden="1">
      <c r="B202" s="35" t="s">
        <v>317</v>
      </c>
      <c r="C202" s="35" t="s">
        <v>664</v>
      </c>
      <c r="D202" s="35" t="s">
        <v>318</v>
      </c>
      <c r="E202" s="35">
        <v>40</v>
      </c>
      <c r="F202" s="35" t="s">
        <v>667</v>
      </c>
      <c r="G202" s="35" t="s">
        <v>349</v>
      </c>
      <c r="H202" s="35">
        <v>59</v>
      </c>
      <c r="I202" s="35" t="s">
        <v>326</v>
      </c>
      <c r="J202" s="36">
        <v>1975</v>
      </c>
      <c r="K202" s="39">
        <v>50.75</v>
      </c>
      <c r="L202" s="37">
        <v>350000</v>
      </c>
      <c r="M202" s="35" t="s">
        <v>668</v>
      </c>
      <c r="N202" s="27">
        <v>270040</v>
      </c>
      <c r="O202" s="38">
        <v>1.3071759084319601</v>
      </c>
      <c r="P202" s="38">
        <v>103.793500328714</v>
      </c>
      <c r="Q202" s="38" t="str" cm="1">
        <f t="array" ref="Q202">INDEX('MRT station dataset'!$C$3:$C$179, MATCH(MIN(SQRT(('MRT station dataset'!$E$3:$E$179-'Resale flat dataset'!O202)^2+('MRT station dataset'!$F$3:$F$179-'Resale flat dataset'!P202)^2)), SQRT(('MRT station dataset'!$E$3:$E$179-'Resale flat dataset'!O202)^2+('MRT station dataset'!$F$3:$F$179-'Resale flat dataset'!P202)^2), 0))</f>
        <v>BUONA VISTA MRT STATION</v>
      </c>
      <c r="R202" s="38" t="str" cm="1">
        <f t="array" ref="R202">INDEX('Mall Dataset'!$B$3:$B$157, MATCH(MIN(SQRT(('Mall Dataset'!$E$3:$E$157-'Resale flat dataset'!O202)^2+('Mall Dataset'!$F$3:$F$157-'Resale flat dataset'!P202)^2)), SQRT(('Mall Dataset'!$E$3:$E$157-'Resale flat dataset'!O202)^2+('Mall Dataset'!$F$3:$F$157-'Resale flat dataset'!P202)^2), 0))</f>
        <v>The Star Vista</v>
      </c>
      <c r="S202" s="38" t="str" cm="1">
        <f t="array" ref="S202">INDEX('Schools dataset'!$B$3:$B$187, MATCH(MIN(SQRT(('Schools dataset'!$J$3:$J$187-'Resale flat dataset'!O202)^2+('Schools dataset'!$K$3:$K$187-'Resale flat dataset'!P202)^2)), SQRT(('Schools dataset'!$J$3:$J$187-'Resale flat dataset'!O202)^2+('Schools dataset'!$K$3:$K$187-'Resale flat dataset'!P202)^2), 0))</f>
        <v>NEW TOWN PRIMARY SCHOOL</v>
      </c>
      <c r="T202" s="39">
        <f>ACOS(COS(RADIANS(90-O202))*COS(RADIANS(90-_xlfn.XLOOKUP(Q202,'MRT station dataset'!$C$3:$C$179,'MRT station dataset'!$E$3:$E$179)))+SIN(RADIANS(90-O202))*SIN(RADIANS(90-_xlfn.XLOOKUP(Q202,'MRT station dataset'!$C$3:$C$179,'MRT station dataset'!$E$3:$E$179)))*COS(RADIANS(P202-_xlfn.XLOOKUP('Resale flat dataset'!Q202,'MRT station dataset'!$C$3:$C$179,'MRT station dataset'!$F$3:$F$179))))*6371*1000</f>
        <v>366.89407448996025</v>
      </c>
      <c r="U202" s="39">
        <f>ACOS(COS(RADIANS(90-O202))*COS(RADIANS(90-_xlfn.XLOOKUP(R202,'Mall Dataset'!$B$3:$B$157,'Mall Dataset'!$E$3:$E$157,,0)))+SIN(RADIANS(90-O202))*SIN(RADIANS(90-_xlfn.XLOOKUP(R202,'Mall Dataset'!$B$3:$B$157,'Mall Dataset'!$E$3:$E$157,,0)))*COS(RADIANS(P202-_xlfn.XLOOKUP(R202,'Mall Dataset'!$B$3:$B$157,'Mall Dataset'!$F$3:$F$157,,0))))*6371*1000</f>
        <v>561.44546616465971</v>
      </c>
      <c r="V202" s="39">
        <f>ACOS(COS(RADIANS(90-O202))*COS(RADIANS(90-_xlfn.XLOOKUP(S202,'Schools dataset'!$B$3:$B$187,'Schools dataset'!$J$3:$J$187,,0)))+SIN(RADIANS(90-O202))*SIN(RADIANS(90-_xlfn.XLOOKUP(S202,'Schools dataset'!$B$3:$B$187,'Schools dataset'!$J$3:$J$187,,0)))*COS(RADIANS(P202-_xlfn.XLOOKUP(S202,'Schools dataset'!$B$3:$B$187,'Schools dataset'!$K$3:$K$187,,0))))*6371*1000</f>
        <v>1089.5069884197571</v>
      </c>
      <c r="W202" s="20">
        <f>_xlfn.XLOOKUP(T202,'HDB Recommender'!$P$10:$P$39,'HDB Recommender'!$Q$10:$Q$39,"&gt;30mins",1)</f>
        <v>5</v>
      </c>
      <c r="X202" s="20">
        <f>_xlfn.XLOOKUP(U202,'HDB Recommender'!$P$10:$P$39,'HDB Recommender'!$Q$10:$Q$39,"&gt;30mins",1)</f>
        <v>8</v>
      </c>
      <c r="Y202" s="20">
        <f>_xlfn.XLOOKUP(V202,'HDB Recommender'!$P$10:$P$39,'HDB Recommender'!$Q$10:$Q$39,"&gt;30mins",1)</f>
        <v>15</v>
      </c>
      <c r="Z202" s="39">
        <f t="shared" si="7"/>
        <v>9.3333333333333339</v>
      </c>
      <c r="AA202" s="20" t="str">
        <f t="shared" si="6"/>
        <v>between 1km and 2km</v>
      </c>
    </row>
    <row r="203" spans="2:27" hidden="1">
      <c r="B203" s="35" t="s">
        <v>317</v>
      </c>
      <c r="C203" s="35" t="s">
        <v>664</v>
      </c>
      <c r="D203" s="35" t="s">
        <v>318</v>
      </c>
      <c r="E203" s="35">
        <v>160</v>
      </c>
      <c r="F203" s="35" t="s">
        <v>669</v>
      </c>
      <c r="G203" s="35" t="s">
        <v>349</v>
      </c>
      <c r="H203" s="35">
        <v>72</v>
      </c>
      <c r="I203" s="35" t="s">
        <v>326</v>
      </c>
      <c r="J203" s="36">
        <v>1970</v>
      </c>
      <c r="K203" s="39">
        <v>45.8333333333333</v>
      </c>
      <c r="L203" s="37">
        <v>369000</v>
      </c>
      <c r="M203" s="35" t="s">
        <v>670</v>
      </c>
      <c r="N203" s="27">
        <v>140160</v>
      </c>
      <c r="O203" s="38">
        <v>1.29209690708572</v>
      </c>
      <c r="P203" s="38">
        <v>103.80422982116499</v>
      </c>
      <c r="Q203" s="38" t="str" cm="1">
        <f t="array" ref="Q203">INDEX('MRT station dataset'!$C$3:$C$179, MATCH(MIN(SQRT(('MRT station dataset'!$E$3:$E$179-'Resale flat dataset'!O203)^2+('MRT station dataset'!$F$3:$F$179-'Resale flat dataset'!P203)^2)), SQRT(('MRT station dataset'!$E$3:$E$179-'Resale flat dataset'!O203)^2+('MRT station dataset'!$F$3:$F$179-'Resale flat dataset'!P203)^2), 0))</f>
        <v>QUEENSTOWN MRT STATION</v>
      </c>
      <c r="R203" s="38" t="str" cm="1">
        <f t="array" ref="R203">INDEX('Mall Dataset'!$B$3:$B$157, MATCH(MIN(SQRT(('Mall Dataset'!$E$3:$E$157-'Resale flat dataset'!O203)^2+('Mall Dataset'!$F$3:$F$157-'Resale flat dataset'!P203)^2)), SQRT(('Mall Dataset'!$E$3:$E$157-'Resale flat dataset'!O203)^2+('Mall Dataset'!$F$3:$F$157-'Resale flat dataset'!P203)^2), 0))</f>
        <v>Anchorpoint</v>
      </c>
      <c r="S203" s="38" t="str" cm="1">
        <f t="array" ref="S203">INDEX('Schools dataset'!$B$3:$B$187, MATCH(MIN(SQRT(('Schools dataset'!$J$3:$J$187-'Resale flat dataset'!O203)^2+('Schools dataset'!$K$3:$K$187-'Resale flat dataset'!P203)^2)), SQRT(('Schools dataset'!$J$3:$J$187-'Resale flat dataset'!O203)^2+('Schools dataset'!$K$3:$K$187-'Resale flat dataset'!P203)^2), 0))</f>
        <v>QUEENSTOWN PRIMARY SCHOOL</v>
      </c>
      <c r="T203" s="39">
        <f>ACOS(COS(RADIANS(90-O203))*COS(RADIANS(90-_xlfn.XLOOKUP(Q203,'MRT station dataset'!$C$3:$C$179,'MRT station dataset'!$E$3:$E$179)))+SIN(RADIANS(90-O203))*SIN(RADIANS(90-_xlfn.XLOOKUP(Q203,'MRT station dataset'!$C$3:$C$179,'MRT station dataset'!$E$3:$E$179)))*COS(RADIANS(P203-_xlfn.XLOOKUP('Resale flat dataset'!Q203,'MRT station dataset'!$C$3:$C$179,'MRT station dataset'!$F$3:$F$179))))*6371*1000</f>
        <v>362.79900172677304</v>
      </c>
      <c r="U203" s="39">
        <f>ACOS(COS(RADIANS(90-O203))*COS(RADIANS(90-_xlfn.XLOOKUP(R203,'Mall Dataset'!$B$3:$B$157,'Mall Dataset'!$E$3:$E$157,,0)))+SIN(RADIANS(90-O203))*SIN(RADIANS(90-_xlfn.XLOOKUP(R203,'Mall Dataset'!$B$3:$B$157,'Mall Dataset'!$E$3:$E$157,,0)))*COS(RADIANS(P203-_xlfn.XLOOKUP(R203,'Mall Dataset'!$B$3:$B$157,'Mall Dataset'!$F$3:$F$157,,0))))*6371*1000</f>
        <v>383.53151887527434</v>
      </c>
      <c r="V203" s="39">
        <f>ACOS(COS(RADIANS(90-O203))*COS(RADIANS(90-_xlfn.XLOOKUP(S203,'Schools dataset'!$B$3:$B$187,'Schools dataset'!$J$3:$J$187,,0)))+SIN(RADIANS(90-O203))*SIN(RADIANS(90-_xlfn.XLOOKUP(S203,'Schools dataset'!$B$3:$B$187,'Schools dataset'!$J$3:$J$187,,0)))*COS(RADIANS(P203-_xlfn.XLOOKUP(S203,'Schools dataset'!$B$3:$B$187,'Schools dataset'!$K$3:$K$187,,0))))*6371*1000</f>
        <v>538.58862906983381</v>
      </c>
      <c r="W203" s="20">
        <f>_xlfn.XLOOKUP(T203,'HDB Recommender'!$P$10:$P$39,'HDB Recommender'!$Q$10:$Q$39,"&gt;30mins",1)</f>
        <v>5</v>
      </c>
      <c r="X203" s="20">
        <f>_xlfn.XLOOKUP(U203,'HDB Recommender'!$P$10:$P$39,'HDB Recommender'!$Q$10:$Q$39,"&gt;30mins",1)</f>
        <v>6</v>
      </c>
      <c r="Y203" s="20">
        <f>_xlfn.XLOOKUP(V203,'HDB Recommender'!$P$10:$P$39,'HDB Recommender'!$Q$10:$Q$39,"&gt;30mins",1)</f>
        <v>8</v>
      </c>
      <c r="Z203" s="39">
        <f t="shared" si="7"/>
        <v>6.333333333333333</v>
      </c>
      <c r="AA203" s="20" t="str">
        <f t="shared" si="6"/>
        <v>Within 1km</v>
      </c>
    </row>
    <row r="204" spans="2:27" hidden="1">
      <c r="B204" s="35" t="s">
        <v>317</v>
      </c>
      <c r="C204" s="35" t="s">
        <v>664</v>
      </c>
      <c r="D204" s="35" t="s">
        <v>318</v>
      </c>
      <c r="E204" s="35"/>
      <c r="F204" s="35" t="s">
        <v>671</v>
      </c>
      <c r="G204" s="35" t="s">
        <v>323</v>
      </c>
      <c r="H204" s="35">
        <v>76</v>
      </c>
      <c r="I204" s="35" t="s">
        <v>326</v>
      </c>
      <c r="J204" s="36">
        <v>1973</v>
      </c>
      <c r="K204" s="39">
        <v>48.6666666666666</v>
      </c>
      <c r="L204" s="37">
        <v>420000</v>
      </c>
      <c r="M204" s="35" t="s">
        <v>672</v>
      </c>
      <c r="N204" s="27">
        <v>140023</v>
      </c>
      <c r="O204" s="38">
        <v>1.29429993967601</v>
      </c>
      <c r="P204" s="38">
        <v>103.799725944793</v>
      </c>
      <c r="Q204" s="38" t="str" cm="1">
        <f t="array" ref="Q204">INDEX('MRT station dataset'!$C$3:$C$179, MATCH(MIN(SQRT(('MRT station dataset'!$E$3:$E$179-'Resale flat dataset'!O204)^2+('MRT station dataset'!$F$3:$F$179-'Resale flat dataset'!P204)^2)), SQRT(('MRT station dataset'!$E$3:$E$179-'Resale flat dataset'!O204)^2+('MRT station dataset'!$F$3:$F$179-'Resale flat dataset'!P204)^2), 0))</f>
        <v>QUEENSTOWN MRT STATION</v>
      </c>
      <c r="R204" s="38" t="str" cm="1">
        <f t="array" ref="R204">INDEX('Mall Dataset'!$B$3:$B$157, MATCH(MIN(SQRT(('Mall Dataset'!$E$3:$E$157-'Resale flat dataset'!O204)^2+('Mall Dataset'!$F$3:$F$157-'Resale flat dataset'!P204)^2)), SQRT(('Mall Dataset'!$E$3:$E$157-'Resale flat dataset'!O204)^2+('Mall Dataset'!$F$3:$F$157-'Resale flat dataset'!P204)^2), 0))</f>
        <v>Queensway Shopping Centre</v>
      </c>
      <c r="S204" s="38" t="str" cm="1">
        <f t="array" ref="S204">INDEX('Schools dataset'!$B$3:$B$187, MATCH(MIN(SQRT(('Schools dataset'!$J$3:$J$187-'Resale flat dataset'!O204)^2+('Schools dataset'!$K$3:$K$187-'Resale flat dataset'!P204)^2)), SQRT(('Schools dataset'!$J$3:$J$187-'Resale flat dataset'!O204)^2+('Schools dataset'!$K$3:$K$187-'Resale flat dataset'!P204)^2), 0))</f>
        <v>NEW TOWN PRIMARY SCHOOL</v>
      </c>
      <c r="T204" s="39">
        <f>ACOS(COS(RADIANS(90-O204))*COS(RADIANS(90-_xlfn.XLOOKUP(Q204,'MRT station dataset'!$C$3:$C$179,'MRT station dataset'!$E$3:$E$179)))+SIN(RADIANS(90-O204))*SIN(RADIANS(90-_xlfn.XLOOKUP(Q204,'MRT station dataset'!$C$3:$C$179,'MRT station dataset'!$E$3:$E$179)))*COS(RADIANS(P204-_xlfn.XLOOKUP('Resale flat dataset'!Q204,'MRT station dataset'!$C$3:$C$179,'MRT station dataset'!$F$3:$F$179))))*6371*1000</f>
        <v>689.58403559964609</v>
      </c>
      <c r="U204" s="39">
        <f>ACOS(COS(RADIANS(90-O204))*COS(RADIANS(90-_xlfn.XLOOKUP(R204,'Mall Dataset'!$B$3:$B$157,'Mall Dataset'!$E$3:$E$157,,0)))+SIN(RADIANS(90-O204))*SIN(RADIANS(90-_xlfn.XLOOKUP(R204,'Mall Dataset'!$B$3:$B$157,'Mall Dataset'!$E$3:$E$157,,0)))*COS(RADIANS(P204-_xlfn.XLOOKUP(R204,'Mall Dataset'!$B$3:$B$157,'Mall Dataset'!$F$3:$F$157,,0))))*6371*1000</f>
        <v>847.39109292927651</v>
      </c>
      <c r="V204" s="39">
        <f>ACOS(COS(RADIANS(90-O204))*COS(RADIANS(90-_xlfn.XLOOKUP(S204,'Schools dataset'!$B$3:$B$187,'Schools dataset'!$J$3:$J$187,,0)))+SIN(RADIANS(90-O204))*SIN(RADIANS(90-_xlfn.XLOOKUP(S204,'Schools dataset'!$B$3:$B$187,'Schools dataset'!$J$3:$J$187,,0)))*COS(RADIANS(P204-_xlfn.XLOOKUP(S204,'Schools dataset'!$B$3:$B$187,'Schools dataset'!$K$3:$K$187,,0))))*6371*1000</f>
        <v>613.42023884336231</v>
      </c>
      <c r="W204" s="20">
        <f>_xlfn.XLOOKUP(T204,'HDB Recommender'!$P$10:$P$39,'HDB Recommender'!$Q$10:$Q$39,"&gt;30mins",1)</f>
        <v>10</v>
      </c>
      <c r="X204" s="20">
        <f>_xlfn.XLOOKUP(U204,'HDB Recommender'!$P$10:$P$39,'HDB Recommender'!$Q$10:$Q$39,"&gt;30mins",1)</f>
        <v>12</v>
      </c>
      <c r="Y204" s="20">
        <f>_xlfn.XLOOKUP(V204,'HDB Recommender'!$P$10:$P$39,'HDB Recommender'!$Q$10:$Q$39,"&gt;30mins",1)</f>
        <v>9</v>
      </c>
      <c r="Z204" s="39">
        <f t="shared" si="7"/>
        <v>10.333333333333334</v>
      </c>
      <c r="AA204" s="20" t="str">
        <f t="shared" si="6"/>
        <v>Within 1km</v>
      </c>
    </row>
    <row r="205" spans="2:27" hidden="1">
      <c r="B205" s="35" t="s">
        <v>317</v>
      </c>
      <c r="C205" s="35" t="s">
        <v>664</v>
      </c>
      <c r="D205" s="35" t="s">
        <v>20</v>
      </c>
      <c r="E205" s="35">
        <v>30</v>
      </c>
      <c r="F205" s="35" t="s">
        <v>673</v>
      </c>
      <c r="G205" s="35" t="s">
        <v>674</v>
      </c>
      <c r="H205" s="35">
        <v>93</v>
      </c>
      <c r="I205" s="35" t="s">
        <v>335</v>
      </c>
      <c r="J205" s="36">
        <v>2018</v>
      </c>
      <c r="K205" s="39">
        <v>93.75</v>
      </c>
      <c r="L205" s="37">
        <v>985000</v>
      </c>
      <c r="M205" s="35" t="s">
        <v>675</v>
      </c>
      <c r="N205" s="27">
        <v>272030</v>
      </c>
      <c r="O205" s="38">
        <v>1.30881985260159</v>
      </c>
      <c r="P205" s="38">
        <v>103.78383897179999</v>
      </c>
      <c r="Q205" s="38" t="str" cm="1">
        <f t="array" ref="Q205">INDEX('MRT station dataset'!$C$3:$C$179, MATCH(MIN(SQRT(('MRT station dataset'!$E$3:$E$179-'Resale flat dataset'!O205)^2+('MRT station dataset'!$F$3:$F$179-'Resale flat dataset'!P205)^2)), SQRT(('MRT station dataset'!$E$3:$E$179-'Resale flat dataset'!O205)^2+('MRT station dataset'!$F$3:$F$179-'Resale flat dataset'!P205)^2), 0))</f>
        <v>DOVER MRT STATION</v>
      </c>
      <c r="R205" s="38" t="str" cm="1">
        <f t="array" ref="R205">INDEX('Mall Dataset'!$B$3:$B$157, MATCH(MIN(SQRT(('Mall Dataset'!$E$3:$E$157-'Resale flat dataset'!O205)^2+('Mall Dataset'!$F$3:$F$157-'Resale flat dataset'!P205)^2)), SQRT(('Mall Dataset'!$E$3:$E$157-'Resale flat dataset'!O205)^2+('Mall Dataset'!$F$3:$F$157-'Resale flat dataset'!P205)^2), 0))</f>
        <v>The Star Vista</v>
      </c>
      <c r="S205" s="38" t="str" cm="1">
        <f t="array" ref="S205">INDEX('Schools dataset'!$B$3:$B$187, MATCH(MIN(SQRT(('Schools dataset'!$J$3:$J$187-'Resale flat dataset'!O205)^2+('Schools dataset'!$K$3:$K$187-'Resale flat dataset'!P205)^2)), SQRT(('Schools dataset'!$J$3:$J$187-'Resale flat dataset'!O205)^2+('Schools dataset'!$K$3:$K$187-'Resale flat dataset'!P205)^2), 0))</f>
        <v>HENRY PARK PRIMARY SCHOOL</v>
      </c>
      <c r="T205" s="39">
        <f>ACOS(COS(RADIANS(90-O205))*COS(RADIANS(90-_xlfn.XLOOKUP(Q205,'MRT station dataset'!$C$3:$C$179,'MRT station dataset'!$E$3:$E$179)))+SIN(RADIANS(90-O205))*SIN(RADIANS(90-_xlfn.XLOOKUP(Q205,'MRT station dataset'!$C$3:$C$179,'MRT station dataset'!$E$3:$E$179)))*COS(RADIANS(P205-_xlfn.XLOOKUP('Resale flat dataset'!Q205,'MRT station dataset'!$C$3:$C$179,'MRT station dataset'!$F$3:$F$179))))*6371*1000</f>
        <v>649.22639639172769</v>
      </c>
      <c r="U205" s="39">
        <f>ACOS(COS(RADIANS(90-O205))*COS(RADIANS(90-_xlfn.XLOOKUP(R205,'Mall Dataset'!$B$3:$B$157,'Mall Dataset'!$E$3:$E$157,,0)))+SIN(RADIANS(90-O205))*SIN(RADIANS(90-_xlfn.XLOOKUP(R205,'Mall Dataset'!$B$3:$B$157,'Mall Dataset'!$E$3:$E$157,,0)))*COS(RADIANS(P205-_xlfn.XLOOKUP(R205,'Mall Dataset'!$B$3:$B$157,'Mall Dataset'!$F$3:$F$157,,0))))*6371*1000</f>
        <v>560.26608832979764</v>
      </c>
      <c r="V205" s="39">
        <f>ACOS(COS(RADIANS(90-O205))*COS(RADIANS(90-_xlfn.XLOOKUP(S205,'Schools dataset'!$B$3:$B$187,'Schools dataset'!$J$3:$J$187,,0)))+SIN(RADIANS(90-O205))*SIN(RADIANS(90-_xlfn.XLOOKUP(S205,'Schools dataset'!$B$3:$B$187,'Schools dataset'!$J$3:$J$187,,0)))*COS(RADIANS(P205-_xlfn.XLOOKUP(S205,'Schools dataset'!$B$3:$B$187,'Schools dataset'!$K$3:$K$187,,0))))*6371*1000</f>
        <v>875.09263426538155</v>
      </c>
      <c r="W205" s="20">
        <f>_xlfn.XLOOKUP(T205,'HDB Recommender'!$P$10:$P$39,'HDB Recommender'!$Q$10:$Q$39,"&gt;30mins",1)</f>
        <v>9</v>
      </c>
      <c r="X205" s="20">
        <f>_xlfn.XLOOKUP(U205,'HDB Recommender'!$P$10:$P$39,'HDB Recommender'!$Q$10:$Q$39,"&gt;30mins",1)</f>
        <v>8</v>
      </c>
      <c r="Y205" s="20">
        <f>_xlfn.XLOOKUP(V205,'HDB Recommender'!$P$10:$P$39,'HDB Recommender'!$Q$10:$Q$39,"&gt;30mins",1)</f>
        <v>12</v>
      </c>
      <c r="Z205" s="39">
        <f t="shared" si="7"/>
        <v>9.6666666666666661</v>
      </c>
      <c r="AA205" s="20" t="str">
        <f t="shared" si="6"/>
        <v>Within 1km</v>
      </c>
    </row>
    <row r="206" spans="2:27" hidden="1">
      <c r="B206" s="35" t="s">
        <v>317</v>
      </c>
      <c r="C206" s="35" t="s">
        <v>664</v>
      </c>
      <c r="D206" s="35" t="s">
        <v>20</v>
      </c>
      <c r="E206" s="35"/>
      <c r="F206" s="35" t="s">
        <v>676</v>
      </c>
      <c r="G206" s="35" t="s">
        <v>189</v>
      </c>
      <c r="H206" s="35">
        <v>104</v>
      </c>
      <c r="I206" s="35" t="s">
        <v>335</v>
      </c>
      <c r="J206" s="36">
        <v>1998</v>
      </c>
      <c r="K206" s="39">
        <v>74.25</v>
      </c>
      <c r="L206" s="37">
        <v>880000</v>
      </c>
      <c r="M206" s="35" t="s">
        <v>677</v>
      </c>
      <c r="N206" s="27">
        <v>272003</v>
      </c>
      <c r="O206" s="38">
        <v>1.30872888811713</v>
      </c>
      <c r="P206" s="38">
        <v>103.796738854783</v>
      </c>
      <c r="Q206" s="38" t="str" cm="1">
        <f t="array" ref="Q206">INDEX('MRT station dataset'!$C$3:$C$179, MATCH(MIN(SQRT(('MRT station dataset'!$E$3:$E$179-'Resale flat dataset'!O206)^2+('MRT station dataset'!$F$3:$F$179-'Resale flat dataset'!P206)^2)), SQRT(('MRT station dataset'!$E$3:$E$179-'Resale flat dataset'!O206)^2+('MRT station dataset'!$F$3:$F$179-'Resale flat dataset'!P206)^2), 0))</f>
        <v>HOLLAND VILLAGE MRT STATION</v>
      </c>
      <c r="R206" s="38" t="str" cm="1">
        <f t="array" ref="R206">INDEX('Mall Dataset'!$B$3:$B$157, MATCH(MIN(SQRT(('Mall Dataset'!$E$3:$E$157-'Resale flat dataset'!O206)^2+('Mall Dataset'!$F$3:$F$157-'Resale flat dataset'!P206)^2)), SQRT(('Mall Dataset'!$E$3:$E$157-'Resale flat dataset'!O206)^2+('Mall Dataset'!$F$3:$F$157-'Resale flat dataset'!P206)^2), 0))</f>
        <v>The Star Vista</v>
      </c>
      <c r="S206" s="38" t="str" cm="1">
        <f t="array" ref="S206">INDEX('Schools dataset'!$B$3:$B$187, MATCH(MIN(SQRT(('Schools dataset'!$J$3:$J$187-'Resale flat dataset'!O206)^2+('Schools dataset'!$K$3:$K$187-'Resale flat dataset'!P206)^2)), SQRT(('Schools dataset'!$J$3:$J$187-'Resale flat dataset'!O206)^2+('Schools dataset'!$K$3:$K$187-'Resale flat dataset'!P206)^2), 0))</f>
        <v>NEW TOWN PRIMARY SCHOOL</v>
      </c>
      <c r="T206" s="39">
        <f>ACOS(COS(RADIANS(90-O206))*COS(RADIANS(90-_xlfn.XLOOKUP(Q206,'MRT station dataset'!$C$3:$C$179,'MRT station dataset'!$E$3:$E$179)))+SIN(RADIANS(90-O206))*SIN(RADIANS(90-_xlfn.XLOOKUP(Q206,'MRT station dataset'!$C$3:$C$179,'MRT station dataset'!$E$3:$E$179)))*COS(RADIANS(P206-_xlfn.XLOOKUP('Resale flat dataset'!Q206,'MRT station dataset'!$C$3:$C$179,'MRT station dataset'!$F$3:$F$179))))*6371*1000</f>
        <v>346.70607378986659</v>
      </c>
      <c r="U206" s="39">
        <f>ACOS(COS(RADIANS(90-O206))*COS(RADIANS(90-_xlfn.XLOOKUP(R206,'Mall Dataset'!$B$3:$B$157,'Mall Dataset'!$E$3:$E$157,,0)))+SIN(RADIANS(90-O206))*SIN(RADIANS(90-_xlfn.XLOOKUP(R206,'Mall Dataset'!$B$3:$B$157,'Mall Dataset'!$E$3:$E$157,,0)))*COS(RADIANS(P206-_xlfn.XLOOKUP(R206,'Mall Dataset'!$B$3:$B$157,'Mall Dataset'!$F$3:$F$157,,0))))*6371*1000</f>
        <v>944.31578346082085</v>
      </c>
      <c r="V206" s="39">
        <f>ACOS(COS(RADIANS(90-O206))*COS(RADIANS(90-_xlfn.XLOOKUP(S206,'Schools dataset'!$B$3:$B$187,'Schools dataset'!$J$3:$J$187,,0)))+SIN(RADIANS(90-O206))*SIN(RADIANS(90-_xlfn.XLOOKUP(S206,'Schools dataset'!$B$3:$B$187,'Schools dataset'!$J$3:$J$187,,0)))*COS(RADIANS(P206-_xlfn.XLOOKUP(S206,'Schools dataset'!$B$3:$B$187,'Schools dataset'!$K$3:$K$187,,0))))*6371*1000</f>
        <v>1054.4378254325914</v>
      </c>
      <c r="W206" s="20">
        <f>_xlfn.XLOOKUP(T206,'HDB Recommender'!$P$10:$P$39,'HDB Recommender'!$Q$10:$Q$39,"&gt;30mins",1)</f>
        <v>5</v>
      </c>
      <c r="X206" s="20">
        <f>_xlfn.XLOOKUP(U206,'HDB Recommender'!$P$10:$P$39,'HDB Recommender'!$Q$10:$Q$39,"&gt;30mins",1)</f>
        <v>13</v>
      </c>
      <c r="Y206" s="20">
        <f>_xlfn.XLOOKUP(V206,'HDB Recommender'!$P$10:$P$39,'HDB Recommender'!$Q$10:$Q$39,"&gt;30mins",1)</f>
        <v>15</v>
      </c>
      <c r="Z206" s="39">
        <f t="shared" si="7"/>
        <v>11</v>
      </c>
      <c r="AA206" s="20" t="str">
        <f t="shared" si="6"/>
        <v>between 1km and 2km</v>
      </c>
    </row>
    <row r="207" spans="2:27" hidden="1">
      <c r="B207" s="35" t="s">
        <v>317</v>
      </c>
      <c r="C207" s="35" t="s">
        <v>664</v>
      </c>
      <c r="D207" s="35" t="s">
        <v>20</v>
      </c>
      <c r="E207" s="35"/>
      <c r="F207" s="35" t="s">
        <v>678</v>
      </c>
      <c r="G207" s="35" t="s">
        <v>349</v>
      </c>
      <c r="H207" s="35">
        <v>96</v>
      </c>
      <c r="I207" s="35" t="s">
        <v>335</v>
      </c>
      <c r="J207" s="36">
        <v>2011</v>
      </c>
      <c r="K207" s="39">
        <v>86.9166666666666</v>
      </c>
      <c r="L207" s="37">
        <v>828000</v>
      </c>
      <c r="M207" s="35" t="s">
        <v>679</v>
      </c>
      <c r="N207" s="27">
        <v>143062</v>
      </c>
      <c r="O207" s="38">
        <v>1.2944605758846</v>
      </c>
      <c r="P207" s="38">
        <v>103.810978956227</v>
      </c>
      <c r="Q207" s="38" t="str" cm="1">
        <f t="array" ref="Q207">INDEX('MRT station dataset'!$C$3:$C$179, MATCH(MIN(SQRT(('MRT station dataset'!$E$3:$E$179-'Resale flat dataset'!O207)^2+('MRT station dataset'!$F$3:$F$179-'Resale flat dataset'!P207)^2)), SQRT(('MRT station dataset'!$E$3:$E$179-'Resale flat dataset'!O207)^2+('MRT station dataset'!$F$3:$F$179-'Resale flat dataset'!P207)^2), 0))</f>
        <v>QUEENSTOWN MRT STATION</v>
      </c>
      <c r="R207" s="38" t="str" cm="1">
        <f t="array" ref="R207">INDEX('Mall Dataset'!$B$3:$B$157, MATCH(MIN(SQRT(('Mall Dataset'!$E$3:$E$157-'Resale flat dataset'!O207)^2+('Mall Dataset'!$F$3:$F$157-'Resale flat dataset'!P207)^2)), SQRT(('Mall Dataset'!$E$3:$E$157-'Resale flat dataset'!O207)^2+('Mall Dataset'!$F$3:$F$157-'Resale flat dataset'!P207)^2), 0))</f>
        <v>Anchorpoint</v>
      </c>
      <c r="S207" s="38" t="str" cm="1">
        <f t="array" ref="S207">INDEX('Schools dataset'!$B$3:$B$187, MATCH(MIN(SQRT(('Schools dataset'!$J$3:$J$187-'Resale flat dataset'!O207)^2+('Schools dataset'!$K$3:$K$187-'Resale flat dataset'!P207)^2)), SQRT(('Schools dataset'!$J$3:$J$187-'Resale flat dataset'!O207)^2+('Schools dataset'!$K$3:$K$187-'Resale flat dataset'!P207)^2), 0))</f>
        <v>QUEENSTOWN PRIMARY SCHOOL</v>
      </c>
      <c r="T207" s="39">
        <f>ACOS(COS(RADIANS(90-O207))*COS(RADIANS(90-_xlfn.XLOOKUP(Q207,'MRT station dataset'!$C$3:$C$179,'MRT station dataset'!$E$3:$E$179)))+SIN(RADIANS(90-O207))*SIN(RADIANS(90-_xlfn.XLOOKUP(Q207,'MRT station dataset'!$C$3:$C$179,'MRT station dataset'!$E$3:$E$179)))*COS(RADIANS(P207-_xlfn.XLOOKUP('Resale flat dataset'!Q207,'MRT station dataset'!$C$3:$C$179,'MRT station dataset'!$F$3:$F$179))))*6371*1000</f>
        <v>566.72031475643553</v>
      </c>
      <c r="U207" s="39">
        <f>ACOS(COS(RADIANS(90-O207))*COS(RADIANS(90-_xlfn.XLOOKUP(R207,'Mall Dataset'!$B$3:$B$157,'Mall Dataset'!$E$3:$E$157,,0)))+SIN(RADIANS(90-O207))*SIN(RADIANS(90-_xlfn.XLOOKUP(R207,'Mall Dataset'!$B$3:$B$157,'Mall Dataset'!$E$3:$E$157,,0)))*COS(RADIANS(P207-_xlfn.XLOOKUP(R207,'Mall Dataset'!$B$3:$B$157,'Mall Dataset'!$F$3:$F$157,,0))))*6371*1000</f>
        <v>856.77334510282094</v>
      </c>
      <c r="V207" s="39">
        <f>ACOS(COS(RADIANS(90-O207))*COS(RADIANS(90-_xlfn.XLOOKUP(S207,'Schools dataset'!$B$3:$B$187,'Schools dataset'!$J$3:$J$187,,0)))+SIN(RADIANS(90-O207))*SIN(RADIANS(90-_xlfn.XLOOKUP(S207,'Schools dataset'!$B$3:$B$187,'Schools dataset'!$J$3:$J$187,,0)))*COS(RADIANS(P207-_xlfn.XLOOKUP(S207,'Schools dataset'!$B$3:$B$187,'Schools dataset'!$K$3:$K$187,,0))))*6371*1000</f>
        <v>388.83396950005067</v>
      </c>
      <c r="W207" s="20">
        <f>_xlfn.XLOOKUP(T207,'HDB Recommender'!$P$10:$P$39,'HDB Recommender'!$Q$10:$Q$39,"&gt;30mins",1)</f>
        <v>8</v>
      </c>
      <c r="X207" s="20">
        <f>_xlfn.XLOOKUP(U207,'HDB Recommender'!$P$10:$P$39,'HDB Recommender'!$Q$10:$Q$39,"&gt;30mins",1)</f>
        <v>12</v>
      </c>
      <c r="Y207" s="20">
        <f>_xlfn.XLOOKUP(V207,'HDB Recommender'!$P$10:$P$39,'HDB Recommender'!$Q$10:$Q$39,"&gt;30mins",1)</f>
        <v>6</v>
      </c>
      <c r="Z207" s="39">
        <f t="shared" si="7"/>
        <v>8.6666666666666661</v>
      </c>
      <c r="AA207" s="20" t="str">
        <f t="shared" si="6"/>
        <v>Within 1km</v>
      </c>
    </row>
    <row r="208" spans="2:27" hidden="1">
      <c r="B208" s="35" t="s">
        <v>317</v>
      </c>
      <c r="C208" s="35" t="s">
        <v>680</v>
      </c>
      <c r="D208" s="35" t="s">
        <v>395</v>
      </c>
      <c r="E208" s="35"/>
      <c r="F208" s="35" t="s">
        <v>681</v>
      </c>
      <c r="G208" s="35" t="s">
        <v>184</v>
      </c>
      <c r="H208" s="35">
        <v>47</v>
      </c>
      <c r="I208" s="35" t="s">
        <v>335</v>
      </c>
      <c r="J208" s="36">
        <v>2019</v>
      </c>
      <c r="K208" s="39">
        <v>94.6666666666666</v>
      </c>
      <c r="L208" s="37">
        <v>345000</v>
      </c>
      <c r="M208" s="35" t="s">
        <v>682</v>
      </c>
      <c r="N208" s="27">
        <v>751363</v>
      </c>
      <c r="O208" s="38">
        <v>1.4457601658532799</v>
      </c>
      <c r="P208" s="38">
        <v>103.814267716736</v>
      </c>
      <c r="Q208" s="38" t="str" cm="1">
        <f t="array" ref="Q208">INDEX('MRT station dataset'!$C$3:$C$179, MATCH(MIN(SQRT(('MRT station dataset'!$E$3:$E$179-'Resale flat dataset'!O208)^2+('MRT station dataset'!$F$3:$F$179-'Resale flat dataset'!P208)^2)), SQRT(('MRT station dataset'!$E$3:$E$179-'Resale flat dataset'!O208)^2+('MRT station dataset'!$F$3:$F$179-'Resale flat dataset'!P208)^2), 0))</f>
        <v>SEMBAWANG MRT STATION</v>
      </c>
      <c r="R208" s="38" t="str" cm="1">
        <f t="array" ref="R208">INDEX('Mall Dataset'!$B$3:$B$157, MATCH(MIN(SQRT(('Mall Dataset'!$E$3:$E$157-'Resale flat dataset'!O208)^2+('Mall Dataset'!$F$3:$F$157-'Resale flat dataset'!P208)^2)), SQRT(('Mall Dataset'!$E$3:$E$157-'Resale flat dataset'!O208)^2+('Mall Dataset'!$F$3:$F$157-'Resale flat dataset'!P208)^2), 0))</f>
        <v>Sun Plaza</v>
      </c>
      <c r="S208" s="38" t="str" cm="1">
        <f t="array" ref="S208">INDEX('Schools dataset'!$B$3:$B$187, MATCH(MIN(SQRT(('Schools dataset'!$J$3:$J$187-'Resale flat dataset'!O208)^2+('Schools dataset'!$K$3:$K$187-'Resale flat dataset'!P208)^2)), SQRT(('Schools dataset'!$J$3:$J$187-'Resale flat dataset'!O208)^2+('Schools dataset'!$K$3:$K$187-'Resale flat dataset'!P208)^2), 0))</f>
        <v>CANBERRA PRIMARY SCHOOL</v>
      </c>
      <c r="T208" s="39">
        <f>ACOS(COS(RADIANS(90-O208))*COS(RADIANS(90-_xlfn.XLOOKUP(Q208,'MRT station dataset'!$C$3:$C$179,'MRT station dataset'!$E$3:$E$179)))+SIN(RADIANS(90-O208))*SIN(RADIANS(90-_xlfn.XLOOKUP(Q208,'MRT station dataset'!$C$3:$C$179,'MRT station dataset'!$E$3:$E$179)))*COS(RADIANS(P208-_xlfn.XLOOKUP('Resale flat dataset'!Q208,'MRT station dataset'!$C$3:$C$179,'MRT station dataset'!$F$3:$F$179))))*6371*1000</f>
        <v>737.5216519699876</v>
      </c>
      <c r="U208" s="39">
        <f>ACOS(COS(RADIANS(90-O208))*COS(RADIANS(90-_xlfn.XLOOKUP(R208,'Mall Dataset'!$B$3:$B$157,'Mall Dataset'!$E$3:$E$157,,0)))+SIN(RADIANS(90-O208))*SIN(RADIANS(90-_xlfn.XLOOKUP(R208,'Mall Dataset'!$B$3:$B$157,'Mall Dataset'!$E$3:$E$157,,0)))*COS(RADIANS(P208-_xlfn.XLOOKUP(R208,'Mall Dataset'!$B$3:$B$157,'Mall Dataset'!$F$3:$F$157,,0))))*6371*1000</f>
        <v>645.63904826330031</v>
      </c>
      <c r="V208" s="39">
        <f>ACOS(COS(RADIANS(90-O208))*COS(RADIANS(90-_xlfn.XLOOKUP(S208,'Schools dataset'!$B$3:$B$187,'Schools dataset'!$J$3:$J$187,,0)))+SIN(RADIANS(90-O208))*SIN(RADIANS(90-_xlfn.XLOOKUP(S208,'Schools dataset'!$B$3:$B$187,'Schools dataset'!$J$3:$J$187,,0)))*COS(RADIANS(P208-_xlfn.XLOOKUP(S208,'Schools dataset'!$B$3:$B$187,'Schools dataset'!$K$3:$K$187,,0))))*6371*1000</f>
        <v>634.67723795090137</v>
      </c>
      <c r="W208" s="20">
        <f>_xlfn.XLOOKUP(T208,'HDB Recommender'!$P$10:$P$39,'HDB Recommender'!$Q$10:$Q$39,"&gt;30mins",1)</f>
        <v>10</v>
      </c>
      <c r="X208" s="20">
        <f>_xlfn.XLOOKUP(U208,'HDB Recommender'!$P$10:$P$39,'HDB Recommender'!$Q$10:$Q$39,"&gt;30mins",1)</f>
        <v>9</v>
      </c>
      <c r="Y208" s="20">
        <f>_xlfn.XLOOKUP(V208,'HDB Recommender'!$P$10:$P$39,'HDB Recommender'!$Q$10:$Q$39,"&gt;30mins",1)</f>
        <v>9</v>
      </c>
      <c r="Z208" s="39">
        <f t="shared" si="7"/>
        <v>9.3333333333333339</v>
      </c>
      <c r="AA208" s="20" t="str">
        <f t="shared" si="6"/>
        <v>Within 1km</v>
      </c>
    </row>
    <row r="209" spans="2:27" hidden="1">
      <c r="B209" s="35" t="s">
        <v>317</v>
      </c>
      <c r="C209" s="35" t="s">
        <v>680</v>
      </c>
      <c r="D209" s="35" t="s">
        <v>318</v>
      </c>
      <c r="E209" s="35"/>
      <c r="F209" s="35" t="s">
        <v>683</v>
      </c>
      <c r="G209" s="35" t="s">
        <v>323</v>
      </c>
      <c r="H209" s="35">
        <v>68</v>
      </c>
      <c r="I209" s="35" t="s">
        <v>335</v>
      </c>
      <c r="J209" s="36">
        <v>2018</v>
      </c>
      <c r="K209" s="39">
        <v>94.0833333333333</v>
      </c>
      <c r="L209" s="37">
        <v>470000</v>
      </c>
      <c r="M209" s="35" t="s">
        <v>684</v>
      </c>
      <c r="N209" s="27">
        <v>752128</v>
      </c>
      <c r="O209" s="38">
        <v>1.44514889153347</v>
      </c>
      <c r="P209" s="38">
        <v>103.833925659353</v>
      </c>
      <c r="Q209" s="38" t="str" cm="1">
        <f t="array" ref="Q209">INDEX('MRT station dataset'!$C$3:$C$179, MATCH(MIN(SQRT(('MRT station dataset'!$E$3:$E$179-'Resale flat dataset'!O209)^2+('MRT station dataset'!$F$3:$F$179-'Resale flat dataset'!P209)^2)), SQRT(('MRT station dataset'!$E$3:$E$179-'Resale flat dataset'!O209)^2+('MRT station dataset'!$F$3:$F$179-'Resale flat dataset'!P209)^2), 0))</f>
        <v>CANBERRA MRT STATION</v>
      </c>
      <c r="R209" s="38" t="str" cm="1">
        <f t="array" ref="R209">INDEX('Mall Dataset'!$B$3:$B$157, MATCH(MIN(SQRT(('Mall Dataset'!$E$3:$E$157-'Resale flat dataset'!O209)^2+('Mall Dataset'!$F$3:$F$157-'Resale flat dataset'!P209)^2)), SQRT(('Mall Dataset'!$E$3:$E$157-'Resale flat dataset'!O209)^2+('Mall Dataset'!$F$3:$F$157-'Resale flat dataset'!P209)^2), 0))</f>
        <v>Canberra Plaza</v>
      </c>
      <c r="S209" s="38" t="str" cm="1">
        <f t="array" ref="S209">INDEX('Schools dataset'!$B$3:$B$187, MATCH(MIN(SQRT(('Schools dataset'!$J$3:$J$187-'Resale flat dataset'!O209)^2+('Schools dataset'!$K$3:$K$187-'Resale flat dataset'!P209)^2)), SQRT(('Schools dataset'!$J$3:$J$187-'Resale flat dataset'!O209)^2+('Schools dataset'!$K$3:$K$187-'Resale flat dataset'!P209)^2), 0))</f>
        <v>CHONGFU SCHOOL</v>
      </c>
      <c r="T209" s="39">
        <f>ACOS(COS(RADIANS(90-O209))*COS(RADIANS(90-_xlfn.XLOOKUP(Q209,'MRT station dataset'!$C$3:$C$179,'MRT station dataset'!$E$3:$E$179)))+SIN(RADIANS(90-O209))*SIN(RADIANS(90-_xlfn.XLOOKUP(Q209,'MRT station dataset'!$C$3:$C$179,'MRT station dataset'!$E$3:$E$179)))*COS(RADIANS(P209-_xlfn.XLOOKUP('Resale flat dataset'!Q209,'MRT station dataset'!$C$3:$C$179,'MRT station dataset'!$F$3:$F$179))))*6371*1000</f>
        <v>522.05765437083016</v>
      </c>
      <c r="U209" s="39">
        <f>ACOS(COS(RADIANS(90-O209))*COS(RADIANS(90-_xlfn.XLOOKUP(R209,'Mall Dataset'!$B$3:$B$157,'Mall Dataset'!$E$3:$E$157,,0)))+SIN(RADIANS(90-O209))*SIN(RADIANS(90-_xlfn.XLOOKUP(R209,'Mall Dataset'!$B$3:$B$157,'Mall Dataset'!$E$3:$E$157,,0)))*COS(RADIANS(P209-_xlfn.XLOOKUP(R209,'Mall Dataset'!$B$3:$B$157,'Mall Dataset'!$F$3:$F$157,,0))))*6371*1000</f>
        <v>438.39886104196046</v>
      </c>
      <c r="V209" s="39">
        <f>ACOS(COS(RADIANS(90-O209))*COS(RADIANS(90-_xlfn.XLOOKUP(S209,'Schools dataset'!$B$3:$B$187,'Schools dataset'!$J$3:$J$187,,0)))+SIN(RADIANS(90-O209))*SIN(RADIANS(90-_xlfn.XLOOKUP(S209,'Schools dataset'!$B$3:$B$187,'Schools dataset'!$J$3:$J$187,,0)))*COS(RADIANS(P209-_xlfn.XLOOKUP(S209,'Schools dataset'!$B$3:$B$187,'Schools dataset'!$K$3:$K$187,,0))))*6371*1000</f>
        <v>938.03501330660799</v>
      </c>
      <c r="W209" s="20">
        <f>_xlfn.XLOOKUP(T209,'HDB Recommender'!$P$10:$P$39,'HDB Recommender'!$Q$10:$Q$39,"&gt;30mins",1)</f>
        <v>7</v>
      </c>
      <c r="X209" s="20">
        <f>_xlfn.XLOOKUP(U209,'HDB Recommender'!$P$10:$P$39,'HDB Recommender'!$Q$10:$Q$39,"&gt;30mins",1)</f>
        <v>6</v>
      </c>
      <c r="Y209" s="20">
        <f>_xlfn.XLOOKUP(V209,'HDB Recommender'!$P$10:$P$39,'HDB Recommender'!$Q$10:$Q$39,"&gt;30mins",1)</f>
        <v>13</v>
      </c>
      <c r="Z209" s="39">
        <f t="shared" si="7"/>
        <v>8.6666666666666661</v>
      </c>
      <c r="AA209" s="20" t="str">
        <f t="shared" si="6"/>
        <v>Within 1km</v>
      </c>
    </row>
    <row r="210" spans="2:27" hidden="1">
      <c r="B210" s="35" t="s">
        <v>317</v>
      </c>
      <c r="C210" s="35" t="s">
        <v>680</v>
      </c>
      <c r="D210" s="35" t="s">
        <v>318</v>
      </c>
      <c r="E210" s="35"/>
      <c r="F210" s="35" t="s">
        <v>683</v>
      </c>
      <c r="G210" s="35" t="s">
        <v>189</v>
      </c>
      <c r="H210" s="35">
        <v>67</v>
      </c>
      <c r="I210" s="35" t="s">
        <v>335</v>
      </c>
      <c r="J210" s="36">
        <v>2018</v>
      </c>
      <c r="K210" s="39">
        <v>93.8333333333333</v>
      </c>
      <c r="L210" s="37">
        <v>430000</v>
      </c>
      <c r="M210" s="35" t="s">
        <v>685</v>
      </c>
      <c r="N210" s="27">
        <v>751107</v>
      </c>
      <c r="O210" s="38">
        <v>1.4499047462200001</v>
      </c>
      <c r="P210" s="38">
        <v>103.83297924096399</v>
      </c>
      <c r="Q210" s="38" t="str" cm="1">
        <f t="array" ref="Q210">INDEX('MRT station dataset'!$C$3:$C$179, MATCH(MIN(SQRT(('MRT station dataset'!$E$3:$E$179-'Resale flat dataset'!O210)^2+('MRT station dataset'!$F$3:$F$179-'Resale flat dataset'!P210)^2)), SQRT(('MRT station dataset'!$E$3:$E$179-'Resale flat dataset'!O210)^2+('MRT station dataset'!$F$3:$F$179-'Resale flat dataset'!P210)^2), 0))</f>
        <v>CANBERRA MRT STATION</v>
      </c>
      <c r="R210" s="38" t="str" cm="1">
        <f t="array" ref="R210">INDEX('Mall Dataset'!$B$3:$B$157, MATCH(MIN(SQRT(('Mall Dataset'!$E$3:$E$157-'Resale flat dataset'!O210)^2+('Mall Dataset'!$F$3:$F$157-'Resale flat dataset'!P210)^2)), SQRT(('Mall Dataset'!$E$3:$E$157-'Resale flat dataset'!O210)^2+('Mall Dataset'!$F$3:$F$157-'Resale flat dataset'!P210)^2), 0))</f>
        <v>Canberra Plaza</v>
      </c>
      <c r="S210" s="38" t="str" cm="1">
        <f t="array" ref="S210">INDEX('Schools dataset'!$B$3:$B$187, MATCH(MIN(SQRT(('Schools dataset'!$J$3:$J$187-'Resale flat dataset'!O210)^2+('Schools dataset'!$K$3:$K$187-'Resale flat dataset'!P210)^2)), SQRT(('Schools dataset'!$J$3:$J$187-'Resale flat dataset'!O210)^2+('Schools dataset'!$K$3:$K$187-'Resale flat dataset'!P210)^2), 0))</f>
        <v>WELLINGTON PRIMARY SCHOOL</v>
      </c>
      <c r="T210" s="39">
        <f>ACOS(COS(RADIANS(90-O210))*COS(RADIANS(90-_xlfn.XLOOKUP(Q210,'MRT station dataset'!$C$3:$C$179,'MRT station dataset'!$E$3:$E$179)))+SIN(RADIANS(90-O210))*SIN(RADIANS(90-_xlfn.XLOOKUP(Q210,'MRT station dataset'!$C$3:$C$179,'MRT station dataset'!$E$3:$E$179)))*COS(RADIANS(P210-_xlfn.XLOOKUP('Resale flat dataset'!Q210,'MRT station dataset'!$C$3:$C$179,'MRT station dataset'!$F$3:$F$179))))*6371*1000</f>
        <v>839.87980124541696</v>
      </c>
      <c r="U210" s="39">
        <f>ACOS(COS(RADIANS(90-O210))*COS(RADIANS(90-_xlfn.XLOOKUP(R210,'Mall Dataset'!$B$3:$B$157,'Mall Dataset'!$E$3:$E$157,,0)))+SIN(RADIANS(90-O210))*SIN(RADIANS(90-_xlfn.XLOOKUP(R210,'Mall Dataset'!$B$3:$B$157,'Mall Dataset'!$E$3:$E$157,,0)))*COS(RADIANS(P210-_xlfn.XLOOKUP(R210,'Mall Dataset'!$B$3:$B$157,'Mall Dataset'!$F$3:$F$157,,0))))*6371*1000</f>
        <v>770.47732675997781</v>
      </c>
      <c r="V210" s="39">
        <f>ACOS(COS(RADIANS(90-O210))*COS(RADIANS(90-_xlfn.XLOOKUP(S210,'Schools dataset'!$B$3:$B$187,'Schools dataset'!$J$3:$J$187,,0)))+SIN(RADIANS(90-O210))*SIN(RADIANS(90-_xlfn.XLOOKUP(S210,'Schools dataset'!$B$3:$B$187,'Schools dataset'!$J$3:$J$187,,0)))*COS(RADIANS(P210-_xlfn.XLOOKUP(S210,'Schools dataset'!$B$3:$B$187,'Schools dataset'!$K$3:$K$187,,0))))*6371*1000</f>
        <v>1179.7923815586748</v>
      </c>
      <c r="W210" s="20">
        <f>_xlfn.XLOOKUP(T210,'HDB Recommender'!$P$10:$P$39,'HDB Recommender'!$Q$10:$Q$39,"&gt;30mins",1)</f>
        <v>12</v>
      </c>
      <c r="X210" s="20">
        <f>_xlfn.XLOOKUP(U210,'HDB Recommender'!$P$10:$P$39,'HDB Recommender'!$Q$10:$Q$39,"&gt;30mins",1)</f>
        <v>11</v>
      </c>
      <c r="Y210" s="20">
        <f>_xlfn.XLOOKUP(V210,'HDB Recommender'!$P$10:$P$39,'HDB Recommender'!$Q$10:$Q$39,"&gt;30mins",1)</f>
        <v>16</v>
      </c>
      <c r="Z210" s="39">
        <f t="shared" si="7"/>
        <v>13</v>
      </c>
      <c r="AA210" s="20" t="str">
        <f t="shared" si="6"/>
        <v>between 1km and 2km</v>
      </c>
    </row>
    <row r="211" spans="2:27" hidden="1">
      <c r="B211" s="35" t="s">
        <v>317</v>
      </c>
      <c r="C211" s="35" t="s">
        <v>680</v>
      </c>
      <c r="D211" s="35" t="s">
        <v>318</v>
      </c>
      <c r="E211" s="35"/>
      <c r="F211" s="35" t="s">
        <v>683</v>
      </c>
      <c r="G211" s="35" t="s">
        <v>189</v>
      </c>
      <c r="H211" s="35">
        <v>68</v>
      </c>
      <c r="I211" s="35" t="s">
        <v>335</v>
      </c>
      <c r="J211" s="36">
        <v>2018</v>
      </c>
      <c r="K211" s="39">
        <v>94.0833333333333</v>
      </c>
      <c r="L211" s="37">
        <v>440000</v>
      </c>
      <c r="M211" s="35" t="s">
        <v>686</v>
      </c>
      <c r="N211" s="27">
        <v>752129</v>
      </c>
      <c r="O211" s="38">
        <v>1.4448701734316201</v>
      </c>
      <c r="P211" s="38">
        <v>103.83297416400499</v>
      </c>
      <c r="Q211" s="38" t="str" cm="1">
        <f t="array" ref="Q211">INDEX('MRT station dataset'!$C$3:$C$179, MATCH(MIN(SQRT(('MRT station dataset'!$E$3:$E$179-'Resale flat dataset'!O211)^2+('MRT station dataset'!$F$3:$F$179-'Resale flat dataset'!P211)^2)), SQRT(('MRT station dataset'!$E$3:$E$179-'Resale flat dataset'!O211)^2+('MRT station dataset'!$F$3:$F$179-'Resale flat dataset'!P211)^2), 0))</f>
        <v>CANBERRA MRT STATION</v>
      </c>
      <c r="R211" s="38" t="str" cm="1">
        <f t="array" ref="R211">INDEX('Mall Dataset'!$B$3:$B$157, MATCH(MIN(SQRT(('Mall Dataset'!$E$3:$E$157-'Resale flat dataset'!O211)^2+('Mall Dataset'!$F$3:$F$157-'Resale flat dataset'!P211)^2)), SQRT(('Mall Dataset'!$E$3:$E$157-'Resale flat dataset'!O211)^2+('Mall Dataset'!$F$3:$F$157-'Resale flat dataset'!P211)^2), 0))</f>
        <v>Canberra Plaza</v>
      </c>
      <c r="S211" s="38" t="str" cm="1">
        <f t="array" ref="S211">INDEX('Schools dataset'!$B$3:$B$187, MATCH(MIN(SQRT(('Schools dataset'!$J$3:$J$187-'Resale flat dataset'!O211)^2+('Schools dataset'!$K$3:$K$187-'Resale flat dataset'!P211)^2)), SQRT(('Schools dataset'!$J$3:$J$187-'Resale flat dataset'!O211)^2+('Schools dataset'!$K$3:$K$187-'Resale flat dataset'!P211)^2), 0))</f>
        <v>CHONGFU SCHOOL</v>
      </c>
      <c r="T211" s="39">
        <f>ACOS(COS(RADIANS(90-O211))*COS(RADIANS(90-_xlfn.XLOOKUP(Q211,'MRT station dataset'!$C$3:$C$179,'MRT station dataset'!$E$3:$E$179)))+SIN(RADIANS(90-O211))*SIN(RADIANS(90-_xlfn.XLOOKUP(Q211,'MRT station dataset'!$C$3:$C$179,'MRT station dataset'!$E$3:$E$179)))*COS(RADIANS(P211-_xlfn.XLOOKUP('Resale flat dataset'!Q211,'MRT station dataset'!$C$3:$C$179,'MRT station dataset'!$F$3:$F$179))))*6371*1000</f>
        <v>413.7714965839798</v>
      </c>
      <c r="U211" s="39">
        <f>ACOS(COS(RADIANS(90-O211))*COS(RADIANS(90-_xlfn.XLOOKUP(R211,'Mall Dataset'!$B$3:$B$157,'Mall Dataset'!$E$3:$E$157,,0)))+SIN(RADIANS(90-O211))*SIN(RADIANS(90-_xlfn.XLOOKUP(R211,'Mall Dataset'!$B$3:$B$157,'Mall Dataset'!$E$3:$E$157,,0)))*COS(RADIANS(P211-_xlfn.XLOOKUP(R211,'Mall Dataset'!$B$3:$B$157,'Mall Dataset'!$F$3:$F$157,,0))))*6371*1000</f>
        <v>329.7834308699492</v>
      </c>
      <c r="V211" s="39">
        <f>ACOS(COS(RADIANS(90-O211))*COS(RADIANS(90-_xlfn.XLOOKUP(S211,'Schools dataset'!$B$3:$B$187,'Schools dataset'!$J$3:$J$187,,0)))+SIN(RADIANS(90-O211))*SIN(RADIANS(90-_xlfn.XLOOKUP(S211,'Schools dataset'!$B$3:$B$187,'Schools dataset'!$J$3:$J$187,,0)))*COS(RADIANS(P211-_xlfn.XLOOKUP(S211,'Schools dataset'!$B$3:$B$187,'Schools dataset'!$K$3:$K$187,,0))))*6371*1000</f>
        <v>983.33782382959998</v>
      </c>
      <c r="W211" s="20">
        <f>_xlfn.XLOOKUP(T211,'HDB Recommender'!$P$10:$P$39,'HDB Recommender'!$Q$10:$Q$39,"&gt;30mins",1)</f>
        <v>6</v>
      </c>
      <c r="X211" s="20">
        <f>_xlfn.XLOOKUP(U211,'HDB Recommender'!$P$10:$P$39,'HDB Recommender'!$Q$10:$Q$39,"&gt;30mins",1)</f>
        <v>5</v>
      </c>
      <c r="Y211" s="20">
        <f>_xlfn.XLOOKUP(V211,'HDB Recommender'!$P$10:$P$39,'HDB Recommender'!$Q$10:$Q$39,"&gt;30mins",1)</f>
        <v>14</v>
      </c>
      <c r="Z211" s="39">
        <f t="shared" si="7"/>
        <v>8.3333333333333339</v>
      </c>
      <c r="AA211" s="20" t="str">
        <f t="shared" si="6"/>
        <v>Within 1km</v>
      </c>
    </row>
    <row r="212" spans="2:27" hidden="1">
      <c r="B212" s="35" t="s">
        <v>317</v>
      </c>
      <c r="C212" s="35" t="s">
        <v>680</v>
      </c>
      <c r="D212" s="35" t="s">
        <v>20</v>
      </c>
      <c r="E212" s="35"/>
      <c r="F212" s="35" t="s">
        <v>687</v>
      </c>
      <c r="G212" s="35" t="s">
        <v>323</v>
      </c>
      <c r="H212" s="35">
        <v>93</v>
      </c>
      <c r="I212" s="35" t="s">
        <v>335</v>
      </c>
      <c r="J212" s="36">
        <v>2018</v>
      </c>
      <c r="K212" s="39">
        <v>93.4166666666666</v>
      </c>
      <c r="L212" s="37">
        <v>618000</v>
      </c>
      <c r="M212" s="35" t="s">
        <v>688</v>
      </c>
      <c r="N212" s="27">
        <v>752119</v>
      </c>
      <c r="O212" s="38">
        <v>1.4463701393172901</v>
      </c>
      <c r="P212" s="38">
        <v>103.831574876885</v>
      </c>
      <c r="Q212" s="38" t="str" cm="1">
        <f t="array" ref="Q212">INDEX('MRT station dataset'!$C$3:$C$179, MATCH(MIN(SQRT(('MRT station dataset'!$E$3:$E$179-'Resale flat dataset'!O212)^2+('MRT station dataset'!$F$3:$F$179-'Resale flat dataset'!P212)^2)), SQRT(('MRT station dataset'!$E$3:$E$179-'Resale flat dataset'!O212)^2+('MRT station dataset'!$F$3:$F$179-'Resale flat dataset'!P212)^2), 0))</f>
        <v>CANBERRA MRT STATION</v>
      </c>
      <c r="R212" s="38" t="str" cm="1">
        <f t="array" ref="R212">INDEX('Mall Dataset'!$B$3:$B$157, MATCH(MIN(SQRT(('Mall Dataset'!$E$3:$E$157-'Resale flat dataset'!O212)^2+('Mall Dataset'!$F$3:$F$157-'Resale flat dataset'!P212)^2)), SQRT(('Mall Dataset'!$E$3:$E$157-'Resale flat dataset'!O212)^2+('Mall Dataset'!$F$3:$F$157-'Resale flat dataset'!P212)^2), 0))</f>
        <v>Canberra Plaza</v>
      </c>
      <c r="S212" s="38" t="str" cm="1">
        <f t="array" ref="S212">INDEX('Schools dataset'!$B$3:$B$187, MATCH(MIN(SQRT(('Schools dataset'!$J$3:$J$187-'Resale flat dataset'!O212)^2+('Schools dataset'!$K$3:$K$187-'Resale flat dataset'!P212)^2)), SQRT(('Schools dataset'!$J$3:$J$187-'Resale flat dataset'!O212)^2+('Schools dataset'!$K$3:$K$187-'Resale flat dataset'!P212)^2), 0))</f>
        <v>WELLINGTON PRIMARY SCHOOL</v>
      </c>
      <c r="T212" s="39">
        <f>ACOS(COS(RADIANS(90-O212))*COS(RADIANS(90-_xlfn.XLOOKUP(Q212,'MRT station dataset'!$C$3:$C$179,'MRT station dataset'!$E$3:$E$179)))+SIN(RADIANS(90-O212))*SIN(RADIANS(90-_xlfn.XLOOKUP(Q212,'MRT station dataset'!$C$3:$C$179,'MRT station dataset'!$E$3:$E$179)))*COS(RADIANS(P212-_xlfn.XLOOKUP('Resale flat dataset'!Q212,'MRT station dataset'!$C$3:$C$179,'MRT station dataset'!$F$3:$F$179))))*6371*1000</f>
        <v>419.11403091962131</v>
      </c>
      <c r="U212" s="39">
        <f>ACOS(COS(RADIANS(90-O212))*COS(RADIANS(90-_xlfn.XLOOKUP(R212,'Mall Dataset'!$B$3:$B$157,'Mall Dataset'!$E$3:$E$157,,0)))+SIN(RADIANS(90-O212))*SIN(RADIANS(90-_xlfn.XLOOKUP(R212,'Mall Dataset'!$B$3:$B$157,'Mall Dataset'!$E$3:$E$157,,0)))*COS(RADIANS(P212-_xlfn.XLOOKUP(R212,'Mall Dataset'!$B$3:$B$157,'Mall Dataset'!$F$3:$F$157,,0))))*6371*1000</f>
        <v>347.64366345747908</v>
      </c>
      <c r="V212" s="39">
        <f>ACOS(COS(RADIANS(90-O212))*COS(RADIANS(90-_xlfn.XLOOKUP(S212,'Schools dataset'!$B$3:$B$187,'Schools dataset'!$J$3:$J$187,,0)))+SIN(RADIANS(90-O212))*SIN(RADIANS(90-_xlfn.XLOOKUP(S212,'Schools dataset'!$B$3:$B$187,'Schools dataset'!$J$3:$J$187,,0)))*COS(RADIANS(P212-_xlfn.XLOOKUP(S212,'Schools dataset'!$B$3:$B$187,'Schools dataset'!$K$3:$K$187,,0))))*6371*1000</f>
        <v>1167.5817978667621</v>
      </c>
      <c r="W212" s="20">
        <f>_xlfn.XLOOKUP(T212,'HDB Recommender'!$P$10:$P$39,'HDB Recommender'!$Q$10:$Q$39,"&gt;30mins",1)</f>
        <v>6</v>
      </c>
      <c r="X212" s="20">
        <f>_xlfn.XLOOKUP(U212,'HDB Recommender'!$P$10:$P$39,'HDB Recommender'!$Q$10:$Q$39,"&gt;30mins",1)</f>
        <v>5</v>
      </c>
      <c r="Y212" s="20">
        <f>_xlfn.XLOOKUP(V212,'HDB Recommender'!$P$10:$P$39,'HDB Recommender'!$Q$10:$Q$39,"&gt;30mins",1)</f>
        <v>16</v>
      </c>
      <c r="Z212" s="39">
        <f t="shared" si="7"/>
        <v>9</v>
      </c>
      <c r="AA212" s="20" t="str">
        <f t="shared" si="6"/>
        <v>between 1km and 2km</v>
      </c>
    </row>
    <row r="213" spans="2:27" hidden="1">
      <c r="B213" s="35" t="s">
        <v>317</v>
      </c>
      <c r="C213" s="35" t="s">
        <v>680</v>
      </c>
      <c r="D213" s="35" t="s">
        <v>20</v>
      </c>
      <c r="E213" s="35"/>
      <c r="F213" s="35" t="s">
        <v>683</v>
      </c>
      <c r="G213" s="35" t="s">
        <v>191</v>
      </c>
      <c r="H213" s="35">
        <v>93</v>
      </c>
      <c r="I213" s="35" t="s">
        <v>335</v>
      </c>
      <c r="J213" s="36">
        <v>2018</v>
      </c>
      <c r="K213" s="39">
        <v>94.0833333333333</v>
      </c>
      <c r="L213" s="37">
        <v>590000</v>
      </c>
      <c r="M213" s="35" t="s">
        <v>689</v>
      </c>
      <c r="N213" s="27">
        <v>753128</v>
      </c>
      <c r="O213" s="38">
        <v>1.44466202296921</v>
      </c>
      <c r="P213" s="38">
        <v>103.833900949952</v>
      </c>
      <c r="Q213" s="38" t="str" cm="1">
        <f t="array" ref="Q213">INDEX('MRT station dataset'!$C$3:$C$179, MATCH(MIN(SQRT(('MRT station dataset'!$E$3:$E$179-'Resale flat dataset'!O213)^2+('MRT station dataset'!$F$3:$F$179-'Resale flat dataset'!P213)^2)), SQRT(('MRT station dataset'!$E$3:$E$179-'Resale flat dataset'!O213)^2+('MRT station dataset'!$F$3:$F$179-'Resale flat dataset'!P213)^2), 0))</f>
        <v>CANBERRA MRT STATION</v>
      </c>
      <c r="R213" s="38" t="str" cm="1">
        <f t="array" ref="R213">INDEX('Mall Dataset'!$B$3:$B$157, MATCH(MIN(SQRT(('Mall Dataset'!$E$3:$E$157-'Resale flat dataset'!O213)^2+('Mall Dataset'!$F$3:$F$157-'Resale flat dataset'!P213)^2)), SQRT(('Mall Dataset'!$E$3:$E$157-'Resale flat dataset'!O213)^2+('Mall Dataset'!$F$3:$F$157-'Resale flat dataset'!P213)^2), 0))</f>
        <v>Canberra Plaza</v>
      </c>
      <c r="S213" s="38" t="str" cm="1">
        <f t="array" ref="S213">INDEX('Schools dataset'!$B$3:$B$187, MATCH(MIN(SQRT(('Schools dataset'!$J$3:$J$187-'Resale flat dataset'!O213)^2+('Schools dataset'!$K$3:$K$187-'Resale flat dataset'!P213)^2)), SQRT(('Schools dataset'!$J$3:$J$187-'Resale flat dataset'!O213)^2+('Schools dataset'!$K$3:$K$187-'Resale flat dataset'!P213)^2), 0))</f>
        <v>CHONGFU SCHOOL</v>
      </c>
      <c r="T213" s="39">
        <f>ACOS(COS(RADIANS(90-O213))*COS(RADIANS(90-_xlfn.XLOOKUP(Q213,'MRT station dataset'!$C$3:$C$179,'MRT station dataset'!$E$3:$E$179)))+SIN(RADIANS(90-O213))*SIN(RADIANS(90-_xlfn.XLOOKUP(Q213,'MRT station dataset'!$C$3:$C$179,'MRT station dataset'!$E$3:$E$179)))*COS(RADIANS(P213-_xlfn.XLOOKUP('Resale flat dataset'!Q213,'MRT station dataset'!$C$3:$C$179,'MRT station dataset'!$F$3:$F$179))))*6371*1000</f>
        <v>498.2313428401859</v>
      </c>
      <c r="U213" s="39">
        <f>ACOS(COS(RADIANS(90-O213))*COS(RADIANS(90-_xlfn.XLOOKUP(R213,'Mall Dataset'!$B$3:$B$157,'Mall Dataset'!$E$3:$E$157,,0)))+SIN(RADIANS(90-O213))*SIN(RADIANS(90-_xlfn.XLOOKUP(R213,'Mall Dataset'!$B$3:$B$157,'Mall Dataset'!$E$3:$E$157,,0)))*COS(RADIANS(P213-_xlfn.XLOOKUP(R213,'Mall Dataset'!$B$3:$B$157,'Mall Dataset'!$F$3:$F$157,,0))))*6371*1000</f>
        <v>415.97945883656439</v>
      </c>
      <c r="V213" s="39">
        <f>ACOS(COS(RADIANS(90-O213))*COS(RADIANS(90-_xlfn.XLOOKUP(S213,'Schools dataset'!$B$3:$B$187,'Schools dataset'!$J$3:$J$187,,0)))+SIN(RADIANS(90-O213))*SIN(RADIANS(90-_xlfn.XLOOKUP(S213,'Schools dataset'!$B$3:$B$187,'Schools dataset'!$J$3:$J$187,,0)))*COS(RADIANS(P213-_xlfn.XLOOKUP(S213,'Schools dataset'!$B$3:$B$187,'Schools dataset'!$K$3:$K$187,,0))))*6371*1000</f>
        <v>897.48881944482787</v>
      </c>
      <c r="W213" s="20">
        <f>_xlfn.XLOOKUP(T213,'HDB Recommender'!$P$10:$P$39,'HDB Recommender'!$Q$10:$Q$39,"&gt;30mins",1)</f>
        <v>7</v>
      </c>
      <c r="X213" s="20">
        <f>_xlfn.XLOOKUP(U213,'HDB Recommender'!$P$10:$P$39,'HDB Recommender'!$Q$10:$Q$39,"&gt;30mins",1)</f>
        <v>6</v>
      </c>
      <c r="Y213" s="20">
        <f>_xlfn.XLOOKUP(V213,'HDB Recommender'!$P$10:$P$39,'HDB Recommender'!$Q$10:$Q$39,"&gt;30mins",1)</f>
        <v>12</v>
      </c>
      <c r="Z213" s="39">
        <f t="shared" si="7"/>
        <v>8.3333333333333339</v>
      </c>
      <c r="AA213" s="20" t="str">
        <f t="shared" si="6"/>
        <v>Within 1km</v>
      </c>
    </row>
    <row r="214" spans="2:27" hidden="1">
      <c r="B214" s="35" t="s">
        <v>317</v>
      </c>
      <c r="C214" s="35" t="s">
        <v>680</v>
      </c>
      <c r="D214" s="35" t="s">
        <v>20</v>
      </c>
      <c r="E214" s="35"/>
      <c r="F214" s="35" t="s">
        <v>683</v>
      </c>
      <c r="G214" s="35" t="s">
        <v>349</v>
      </c>
      <c r="H214" s="35">
        <v>93</v>
      </c>
      <c r="I214" s="35" t="s">
        <v>335</v>
      </c>
      <c r="J214" s="36">
        <v>2018</v>
      </c>
      <c r="K214" s="39">
        <v>93.8333333333333</v>
      </c>
      <c r="L214" s="37">
        <v>525000</v>
      </c>
      <c r="M214" s="35" t="s">
        <v>690</v>
      </c>
      <c r="N214" s="27">
        <v>753107</v>
      </c>
      <c r="O214" s="38">
        <v>1.44855782306648</v>
      </c>
      <c r="P214" s="38">
        <v>103.83386478600001</v>
      </c>
      <c r="Q214" s="38" t="str" cm="1">
        <f t="array" ref="Q214">INDEX('MRT station dataset'!$C$3:$C$179, MATCH(MIN(SQRT(('MRT station dataset'!$E$3:$E$179-'Resale flat dataset'!O214)^2+('MRT station dataset'!$F$3:$F$179-'Resale flat dataset'!P214)^2)), SQRT(('MRT station dataset'!$E$3:$E$179-'Resale flat dataset'!O214)^2+('MRT station dataset'!$F$3:$F$179-'Resale flat dataset'!P214)^2), 0))</f>
        <v>CANBERRA MRT STATION</v>
      </c>
      <c r="R214" s="38" t="str" cm="1">
        <f t="array" ref="R214">INDEX('Mall Dataset'!$B$3:$B$157, MATCH(MIN(SQRT(('Mall Dataset'!$E$3:$E$157-'Resale flat dataset'!O214)^2+('Mall Dataset'!$F$3:$F$157-'Resale flat dataset'!P214)^2)), SQRT(('Mall Dataset'!$E$3:$E$157-'Resale flat dataset'!O214)^2+('Mall Dataset'!$F$3:$F$157-'Resale flat dataset'!P214)^2), 0))</f>
        <v>Canberra Plaza</v>
      </c>
      <c r="S214" s="38" t="str" cm="1">
        <f t="array" ref="S214">INDEX('Schools dataset'!$B$3:$B$187, MATCH(MIN(SQRT(('Schools dataset'!$J$3:$J$187-'Resale flat dataset'!O214)^2+('Schools dataset'!$K$3:$K$187-'Resale flat dataset'!P214)^2)), SQRT(('Schools dataset'!$J$3:$J$187-'Resale flat dataset'!O214)^2+('Schools dataset'!$K$3:$K$187-'Resale flat dataset'!P214)^2), 0))</f>
        <v>CHONGFU SCHOOL</v>
      </c>
      <c r="T214" s="39">
        <f>ACOS(COS(RADIANS(90-O214))*COS(RADIANS(90-_xlfn.XLOOKUP(Q214,'MRT station dataset'!$C$3:$C$179,'MRT station dataset'!$E$3:$E$179)))+SIN(RADIANS(90-O214))*SIN(RADIANS(90-_xlfn.XLOOKUP(Q214,'MRT station dataset'!$C$3:$C$179,'MRT station dataset'!$E$3:$E$179)))*COS(RADIANS(P214-_xlfn.XLOOKUP('Resale flat dataset'!Q214,'MRT station dataset'!$C$3:$C$179,'MRT station dataset'!$F$3:$F$179))))*6371*1000</f>
        <v>763.30463946338</v>
      </c>
      <c r="U214" s="39">
        <f>ACOS(COS(RADIANS(90-O214))*COS(RADIANS(90-_xlfn.XLOOKUP(R214,'Mall Dataset'!$B$3:$B$157,'Mall Dataset'!$E$3:$E$157,,0)))+SIN(RADIANS(90-O214))*SIN(RADIANS(90-_xlfn.XLOOKUP(R214,'Mall Dataset'!$B$3:$B$157,'Mall Dataset'!$E$3:$E$157,,0)))*COS(RADIANS(P214-_xlfn.XLOOKUP(R214,'Mall Dataset'!$B$3:$B$157,'Mall Dataset'!$F$3:$F$157,,0))))*6371*1000</f>
        <v>685.50635681517599</v>
      </c>
      <c r="V214" s="39">
        <f>ACOS(COS(RADIANS(90-O214))*COS(RADIANS(90-_xlfn.XLOOKUP(S214,'Schools dataset'!$B$3:$B$187,'Schools dataset'!$J$3:$J$187,,0)))+SIN(RADIANS(90-O214))*SIN(RADIANS(90-_xlfn.XLOOKUP(S214,'Schools dataset'!$B$3:$B$187,'Schools dataset'!$J$3:$J$187,,0)))*COS(RADIANS(P214-_xlfn.XLOOKUP(S214,'Schools dataset'!$B$3:$B$187,'Schools dataset'!$K$3:$K$187,,0))))*6371*1000</f>
        <v>1262.9511141267469</v>
      </c>
      <c r="W214" s="20">
        <f>_xlfn.XLOOKUP(T214,'HDB Recommender'!$P$10:$P$39,'HDB Recommender'!$Q$10:$Q$39,"&gt;30mins",1)</f>
        <v>11</v>
      </c>
      <c r="X214" s="20">
        <f>_xlfn.XLOOKUP(U214,'HDB Recommender'!$P$10:$P$39,'HDB Recommender'!$Q$10:$Q$39,"&gt;30mins",1)</f>
        <v>10</v>
      </c>
      <c r="Y214" s="20">
        <f>_xlfn.XLOOKUP(V214,'HDB Recommender'!$P$10:$P$39,'HDB Recommender'!$Q$10:$Q$39,"&gt;30mins",1)</f>
        <v>17</v>
      </c>
      <c r="Z214" s="39">
        <f t="shared" si="7"/>
        <v>12.666666666666666</v>
      </c>
      <c r="AA214" s="20" t="str">
        <f t="shared" si="6"/>
        <v>between 1km and 2km</v>
      </c>
    </row>
    <row r="215" spans="2:27" hidden="1">
      <c r="B215" s="35" t="s">
        <v>317</v>
      </c>
      <c r="C215" s="35" t="s">
        <v>680</v>
      </c>
      <c r="D215" s="35" t="s">
        <v>20</v>
      </c>
      <c r="E215" s="35"/>
      <c r="F215" s="35" t="s">
        <v>691</v>
      </c>
      <c r="G215" s="35" t="s">
        <v>184</v>
      </c>
      <c r="H215" s="35">
        <v>93</v>
      </c>
      <c r="I215" s="35" t="s">
        <v>335</v>
      </c>
      <c r="J215" s="36">
        <v>2018</v>
      </c>
      <c r="K215" s="39">
        <v>93.6666666666666</v>
      </c>
      <c r="L215" s="37">
        <v>623888</v>
      </c>
      <c r="M215" s="35" t="s">
        <v>692</v>
      </c>
      <c r="N215" s="27">
        <v>753108</v>
      </c>
      <c r="O215" s="38">
        <v>1.4473533014919899</v>
      </c>
      <c r="P215" s="38">
        <v>103.831796158318</v>
      </c>
      <c r="Q215" s="38" t="str" cm="1">
        <f t="array" ref="Q215">INDEX('MRT station dataset'!$C$3:$C$179, MATCH(MIN(SQRT(('MRT station dataset'!$E$3:$E$179-'Resale flat dataset'!O215)^2+('MRT station dataset'!$F$3:$F$179-'Resale flat dataset'!P215)^2)), SQRT(('MRT station dataset'!$E$3:$E$179-'Resale flat dataset'!O215)^2+('MRT station dataset'!$F$3:$F$179-'Resale flat dataset'!P215)^2), 0))</f>
        <v>CANBERRA MRT STATION</v>
      </c>
      <c r="R215" s="38" t="str" cm="1">
        <f t="array" ref="R215">INDEX('Mall Dataset'!$B$3:$B$157, MATCH(MIN(SQRT(('Mall Dataset'!$E$3:$E$157-'Resale flat dataset'!O215)^2+('Mall Dataset'!$F$3:$F$157-'Resale flat dataset'!P215)^2)), SQRT(('Mall Dataset'!$E$3:$E$157-'Resale flat dataset'!O215)^2+('Mall Dataset'!$F$3:$F$157-'Resale flat dataset'!P215)^2), 0))</f>
        <v>Canberra Plaza</v>
      </c>
      <c r="S215" s="38" t="str" cm="1">
        <f t="array" ref="S215">INDEX('Schools dataset'!$B$3:$B$187, MATCH(MIN(SQRT(('Schools dataset'!$J$3:$J$187-'Resale flat dataset'!O215)^2+('Schools dataset'!$K$3:$K$187-'Resale flat dataset'!P215)^2)), SQRT(('Schools dataset'!$J$3:$J$187-'Resale flat dataset'!O215)^2+('Schools dataset'!$K$3:$K$187-'Resale flat dataset'!P215)^2), 0))</f>
        <v>WELLINGTON PRIMARY SCHOOL</v>
      </c>
      <c r="T215" s="39">
        <f>ACOS(COS(RADIANS(90-O215))*COS(RADIANS(90-_xlfn.XLOOKUP(Q215,'MRT station dataset'!$C$3:$C$179,'MRT station dataset'!$E$3:$E$179)))+SIN(RADIANS(90-O215))*SIN(RADIANS(90-_xlfn.XLOOKUP(Q215,'MRT station dataset'!$C$3:$C$179,'MRT station dataset'!$E$3:$E$179)))*COS(RADIANS(P215-_xlfn.XLOOKUP('Resale flat dataset'!Q215,'MRT station dataset'!$C$3:$C$179,'MRT station dataset'!$F$3:$F$179))))*6371*1000</f>
        <v>527.22882502818584</v>
      </c>
      <c r="U215" s="39">
        <f>ACOS(COS(RADIANS(90-O215))*COS(RADIANS(90-_xlfn.XLOOKUP(R215,'Mall Dataset'!$B$3:$B$157,'Mall Dataset'!$E$3:$E$157,,0)))+SIN(RADIANS(90-O215))*SIN(RADIANS(90-_xlfn.XLOOKUP(R215,'Mall Dataset'!$B$3:$B$157,'Mall Dataset'!$E$3:$E$157,,0)))*COS(RADIANS(P215-_xlfn.XLOOKUP(R215,'Mall Dataset'!$B$3:$B$157,'Mall Dataset'!$F$3:$F$157,,0))))*6371*1000</f>
        <v>458.28641199895804</v>
      </c>
      <c r="V215" s="39">
        <f>ACOS(COS(RADIANS(90-O215))*COS(RADIANS(90-_xlfn.XLOOKUP(S215,'Schools dataset'!$B$3:$B$187,'Schools dataset'!$J$3:$J$187,,0)))+SIN(RADIANS(90-O215))*SIN(RADIANS(90-_xlfn.XLOOKUP(S215,'Schools dataset'!$B$3:$B$187,'Schools dataset'!$J$3:$J$187,,0)))*COS(RADIANS(P215-_xlfn.XLOOKUP(S215,'Schools dataset'!$B$3:$B$187,'Schools dataset'!$K$3:$K$187,,0))))*6371*1000</f>
        <v>1138.4726524839882</v>
      </c>
      <c r="W215" s="20">
        <f>_xlfn.XLOOKUP(T215,'HDB Recommender'!$P$10:$P$39,'HDB Recommender'!$Q$10:$Q$39,"&gt;30mins",1)</f>
        <v>8</v>
      </c>
      <c r="X215" s="20">
        <f>_xlfn.XLOOKUP(U215,'HDB Recommender'!$P$10:$P$39,'HDB Recommender'!$Q$10:$Q$39,"&gt;30mins",1)</f>
        <v>7</v>
      </c>
      <c r="Y215" s="20">
        <f>_xlfn.XLOOKUP(V215,'HDB Recommender'!$P$10:$P$39,'HDB Recommender'!$Q$10:$Q$39,"&gt;30mins",1)</f>
        <v>16</v>
      </c>
      <c r="Z215" s="39">
        <f t="shared" si="7"/>
        <v>10.333333333333334</v>
      </c>
      <c r="AA215" s="20" t="str">
        <f t="shared" si="6"/>
        <v>between 1km and 2km</v>
      </c>
    </row>
    <row r="216" spans="2:27" hidden="1">
      <c r="B216" s="35" t="s">
        <v>317</v>
      </c>
      <c r="C216" s="35" t="s">
        <v>680</v>
      </c>
      <c r="D216" s="35" t="s">
        <v>20</v>
      </c>
      <c r="E216" s="35"/>
      <c r="F216" s="35" t="s">
        <v>691</v>
      </c>
      <c r="G216" s="35" t="s">
        <v>189</v>
      </c>
      <c r="H216" s="35">
        <v>93</v>
      </c>
      <c r="I216" s="35" t="s">
        <v>335</v>
      </c>
      <c r="J216" s="36">
        <v>2018</v>
      </c>
      <c r="K216" s="39">
        <v>93.6666666666666</v>
      </c>
      <c r="L216" s="37">
        <v>570000</v>
      </c>
      <c r="M216" s="35" t="s">
        <v>693</v>
      </c>
      <c r="N216" s="27">
        <v>752108</v>
      </c>
      <c r="O216" s="38">
        <v>1.4481895167335199</v>
      </c>
      <c r="P216" s="38">
        <v>103.831856910403</v>
      </c>
      <c r="Q216" s="38" t="str" cm="1">
        <f t="array" ref="Q216">INDEX('MRT station dataset'!$C$3:$C$179, MATCH(MIN(SQRT(('MRT station dataset'!$E$3:$E$179-'Resale flat dataset'!O216)^2+('MRT station dataset'!$F$3:$F$179-'Resale flat dataset'!P216)^2)), SQRT(('MRT station dataset'!$E$3:$E$179-'Resale flat dataset'!O216)^2+('MRT station dataset'!$F$3:$F$179-'Resale flat dataset'!P216)^2), 0))</f>
        <v>CANBERRA MRT STATION</v>
      </c>
      <c r="R216" s="38" t="str" cm="1">
        <f t="array" ref="R216">INDEX('Mall Dataset'!$B$3:$B$157, MATCH(MIN(SQRT(('Mall Dataset'!$E$3:$E$157-'Resale flat dataset'!O216)^2+('Mall Dataset'!$F$3:$F$157-'Resale flat dataset'!P216)^2)), SQRT(('Mall Dataset'!$E$3:$E$157-'Resale flat dataset'!O216)^2+('Mall Dataset'!$F$3:$F$157-'Resale flat dataset'!P216)^2), 0))</f>
        <v>Canberra Plaza</v>
      </c>
      <c r="S216" s="38" t="str" cm="1">
        <f t="array" ref="S216">INDEX('Schools dataset'!$B$3:$B$187, MATCH(MIN(SQRT(('Schools dataset'!$J$3:$J$187-'Resale flat dataset'!O216)^2+('Schools dataset'!$K$3:$K$187-'Resale flat dataset'!P216)^2)), SQRT(('Schools dataset'!$J$3:$J$187-'Resale flat dataset'!O216)^2+('Schools dataset'!$K$3:$K$187-'Resale flat dataset'!P216)^2), 0))</f>
        <v>WELLINGTON PRIMARY SCHOOL</v>
      </c>
      <c r="T216" s="39">
        <f>ACOS(COS(RADIANS(90-O216))*COS(RADIANS(90-_xlfn.XLOOKUP(Q216,'MRT station dataset'!$C$3:$C$179,'MRT station dataset'!$E$3:$E$179)))+SIN(RADIANS(90-O216))*SIN(RADIANS(90-_xlfn.XLOOKUP(Q216,'MRT station dataset'!$C$3:$C$179,'MRT station dataset'!$E$3:$E$179)))*COS(RADIANS(P216-_xlfn.XLOOKUP('Resale flat dataset'!Q216,'MRT station dataset'!$C$3:$C$179,'MRT station dataset'!$F$3:$F$179))))*6371*1000</f>
        <v>614.62216856017562</v>
      </c>
      <c r="U216" s="39">
        <f>ACOS(COS(RADIANS(90-O216))*COS(RADIANS(90-_xlfn.XLOOKUP(R216,'Mall Dataset'!$B$3:$B$157,'Mall Dataset'!$E$3:$E$157,,0)))+SIN(RADIANS(90-O216))*SIN(RADIANS(90-_xlfn.XLOOKUP(R216,'Mall Dataset'!$B$3:$B$157,'Mall Dataset'!$E$3:$E$157,,0)))*COS(RADIANS(P216-_xlfn.XLOOKUP(R216,'Mall Dataset'!$B$3:$B$157,'Mall Dataset'!$F$3:$F$157,,0))))*6371*1000</f>
        <v>548.33429090531752</v>
      </c>
      <c r="V216" s="39">
        <f>ACOS(COS(RADIANS(90-O216))*COS(RADIANS(90-_xlfn.XLOOKUP(S216,'Schools dataset'!$B$3:$B$187,'Schools dataset'!$J$3:$J$187,,0)))+SIN(RADIANS(90-O216))*SIN(RADIANS(90-_xlfn.XLOOKUP(S216,'Schools dataset'!$B$3:$B$187,'Schools dataset'!$J$3:$J$187,,0)))*COS(RADIANS(P216-_xlfn.XLOOKUP(S216,'Schools dataset'!$B$3:$B$187,'Schools dataset'!$K$3:$K$187,,0))))*6371*1000</f>
        <v>1108.6780592590071</v>
      </c>
      <c r="W216" s="20">
        <f>_xlfn.XLOOKUP(T216,'HDB Recommender'!$P$10:$P$39,'HDB Recommender'!$Q$10:$Q$39,"&gt;30mins",1)</f>
        <v>9</v>
      </c>
      <c r="X216" s="20">
        <f>_xlfn.XLOOKUP(U216,'HDB Recommender'!$P$10:$P$39,'HDB Recommender'!$Q$10:$Q$39,"&gt;30mins",1)</f>
        <v>8</v>
      </c>
      <c r="Y216" s="20">
        <f>_xlfn.XLOOKUP(V216,'HDB Recommender'!$P$10:$P$39,'HDB Recommender'!$Q$10:$Q$39,"&gt;30mins",1)</f>
        <v>15</v>
      </c>
      <c r="Z216" s="39">
        <f t="shared" si="7"/>
        <v>10.666666666666666</v>
      </c>
      <c r="AA216" s="20" t="str">
        <f t="shared" si="6"/>
        <v>between 1km and 2km</v>
      </c>
    </row>
    <row r="217" spans="2:27" hidden="1">
      <c r="B217" s="35" t="s">
        <v>317</v>
      </c>
      <c r="C217" s="35" t="s">
        <v>680</v>
      </c>
      <c r="D217" s="35" t="s">
        <v>20</v>
      </c>
      <c r="E217" s="35"/>
      <c r="F217" s="35" t="s">
        <v>691</v>
      </c>
      <c r="G217" s="35" t="s">
        <v>349</v>
      </c>
      <c r="H217" s="35">
        <v>93</v>
      </c>
      <c r="I217" s="35" t="s">
        <v>335</v>
      </c>
      <c r="J217" s="36">
        <v>2018</v>
      </c>
      <c r="K217" s="39">
        <v>93.8333333333333</v>
      </c>
      <c r="L217" s="37">
        <v>545000</v>
      </c>
      <c r="M217" s="35" t="s">
        <v>694</v>
      </c>
      <c r="N217" s="27">
        <v>754115</v>
      </c>
      <c r="O217" s="38">
        <v>1.4455435718776799</v>
      </c>
      <c r="P217" s="38">
        <v>103.828991632152</v>
      </c>
      <c r="Q217" s="38" t="str" cm="1">
        <f t="array" ref="Q217">INDEX('MRT station dataset'!$C$3:$C$179, MATCH(MIN(SQRT(('MRT station dataset'!$E$3:$E$179-'Resale flat dataset'!O217)^2+('MRT station dataset'!$F$3:$F$179-'Resale flat dataset'!P217)^2)), SQRT(('MRT station dataset'!$E$3:$E$179-'Resale flat dataset'!O217)^2+('MRT station dataset'!$F$3:$F$179-'Resale flat dataset'!P217)^2), 0))</f>
        <v>CANBERRA MRT STATION</v>
      </c>
      <c r="R217" s="38" t="str" cm="1">
        <f t="array" ref="R217">INDEX('Mall Dataset'!$B$3:$B$157, MATCH(MIN(SQRT(('Mall Dataset'!$E$3:$E$157-'Resale flat dataset'!O217)^2+('Mall Dataset'!$F$3:$F$157-'Resale flat dataset'!P217)^2)), SQRT(('Mall Dataset'!$E$3:$E$157-'Resale flat dataset'!O217)^2+('Mall Dataset'!$F$3:$F$157-'Resale flat dataset'!P217)^2), 0))</f>
        <v>Canberra Plaza</v>
      </c>
      <c r="S217" s="38" t="str" cm="1">
        <f t="array" ref="S217">INDEX('Schools dataset'!$B$3:$B$187, MATCH(MIN(SQRT(('Schools dataset'!$J$3:$J$187-'Resale flat dataset'!O217)^2+('Schools dataset'!$K$3:$K$187-'Resale flat dataset'!P217)^2)), SQRT(('Schools dataset'!$J$3:$J$187-'Resale flat dataset'!O217)^2+('Schools dataset'!$K$3:$K$187-'Resale flat dataset'!P217)^2), 0))</f>
        <v>SEMBAWANG PRIMARY SCHOOL</v>
      </c>
      <c r="T217" s="39">
        <f>ACOS(COS(RADIANS(90-O217))*COS(RADIANS(90-_xlfn.XLOOKUP(Q217,'MRT station dataset'!$C$3:$C$179,'MRT station dataset'!$E$3:$E$179)))+SIN(RADIANS(90-O217))*SIN(RADIANS(90-_xlfn.XLOOKUP(Q217,'MRT station dataset'!$C$3:$C$179,'MRT station dataset'!$E$3:$E$179)))*COS(RADIANS(P217-_xlfn.XLOOKUP('Resale flat dataset'!Q217,'MRT station dataset'!$C$3:$C$179,'MRT station dataset'!$F$3:$F$179))))*6371*1000</f>
        <v>282.89243756304239</v>
      </c>
      <c r="U217" s="39">
        <f>ACOS(COS(RADIANS(90-O217))*COS(RADIANS(90-_xlfn.XLOOKUP(R217,'Mall Dataset'!$B$3:$B$157,'Mall Dataset'!$E$3:$E$157,,0)))+SIN(RADIANS(90-O217))*SIN(RADIANS(90-_xlfn.XLOOKUP(R217,'Mall Dataset'!$B$3:$B$157,'Mall Dataset'!$E$3:$E$157,,0)))*COS(RADIANS(P217-_xlfn.XLOOKUP(R217,'Mall Dataset'!$B$3:$B$157,'Mall Dataset'!$F$3:$F$157,,0))))*6371*1000</f>
        <v>272.96625563447031</v>
      </c>
      <c r="V217" s="39">
        <f>ACOS(COS(RADIANS(90-O217))*COS(RADIANS(90-_xlfn.XLOOKUP(S217,'Schools dataset'!$B$3:$B$187,'Schools dataset'!$J$3:$J$187,,0)))+SIN(RADIANS(90-O217))*SIN(RADIANS(90-_xlfn.XLOOKUP(S217,'Schools dataset'!$B$3:$B$187,'Schools dataset'!$J$3:$J$187,,0)))*COS(RADIANS(P217-_xlfn.XLOOKUP(S217,'Schools dataset'!$B$3:$B$187,'Schools dataset'!$K$3:$K$187,,0))))*6371*1000</f>
        <v>887.69702621392116</v>
      </c>
      <c r="W217" s="20">
        <f>_xlfn.XLOOKUP(T217,'HDB Recommender'!$P$10:$P$39,'HDB Recommender'!$Q$10:$Q$39,"&gt;30mins",1)</f>
        <v>4</v>
      </c>
      <c r="X217" s="20">
        <f>_xlfn.XLOOKUP(U217,'HDB Recommender'!$P$10:$P$39,'HDB Recommender'!$Q$10:$Q$39,"&gt;30mins",1)</f>
        <v>4</v>
      </c>
      <c r="Y217" s="20">
        <f>_xlfn.XLOOKUP(V217,'HDB Recommender'!$P$10:$P$39,'HDB Recommender'!$Q$10:$Q$39,"&gt;30mins",1)</f>
        <v>12</v>
      </c>
      <c r="Z217" s="39">
        <f t="shared" si="7"/>
        <v>6.666666666666667</v>
      </c>
      <c r="AA217" s="20" t="str">
        <f t="shared" si="6"/>
        <v>Within 1km</v>
      </c>
    </row>
    <row r="218" spans="2:27" hidden="1">
      <c r="B218" s="35" t="s">
        <v>317</v>
      </c>
      <c r="C218" s="35" t="s">
        <v>680</v>
      </c>
      <c r="D218" s="35" t="s">
        <v>20</v>
      </c>
      <c r="E218" s="35"/>
      <c r="F218" s="35" t="s">
        <v>681</v>
      </c>
      <c r="G218" s="35" t="s">
        <v>184</v>
      </c>
      <c r="H218" s="35">
        <v>93</v>
      </c>
      <c r="I218" s="35" t="s">
        <v>335</v>
      </c>
      <c r="J218" s="36">
        <v>2019</v>
      </c>
      <c r="K218" s="39">
        <v>94.6666666666666</v>
      </c>
      <c r="L218" s="37">
        <v>585000</v>
      </c>
      <c r="M218" s="35" t="s">
        <v>695</v>
      </c>
      <c r="N218" s="27">
        <v>753362</v>
      </c>
      <c r="O218" s="38">
        <v>1.44668372388674</v>
      </c>
      <c r="P218" s="38">
        <v>103.813225771052</v>
      </c>
      <c r="Q218" s="38" t="str" cm="1">
        <f t="array" ref="Q218">INDEX('MRT station dataset'!$C$3:$C$179, MATCH(MIN(SQRT(('MRT station dataset'!$E$3:$E$179-'Resale flat dataset'!O218)^2+('MRT station dataset'!$F$3:$F$179-'Resale flat dataset'!P218)^2)), SQRT(('MRT station dataset'!$E$3:$E$179-'Resale flat dataset'!O218)^2+('MRT station dataset'!$F$3:$F$179-'Resale flat dataset'!P218)^2), 0))</f>
        <v>SEMBAWANG MRT STATION</v>
      </c>
      <c r="R218" s="38" t="str" cm="1">
        <f t="array" ref="R218">INDEX('Mall Dataset'!$B$3:$B$157, MATCH(MIN(SQRT(('Mall Dataset'!$E$3:$E$157-'Resale flat dataset'!O218)^2+('Mall Dataset'!$F$3:$F$157-'Resale flat dataset'!P218)^2)), SQRT(('Mall Dataset'!$E$3:$E$157-'Resale flat dataset'!O218)^2+('Mall Dataset'!$F$3:$F$157-'Resale flat dataset'!P218)^2), 0))</f>
        <v>Sun Plaza</v>
      </c>
      <c r="S218" s="38" t="str" cm="1">
        <f t="array" ref="S218">INDEX('Schools dataset'!$B$3:$B$187, MATCH(MIN(SQRT(('Schools dataset'!$J$3:$J$187-'Resale flat dataset'!O218)^2+('Schools dataset'!$K$3:$K$187-'Resale flat dataset'!P218)^2)), SQRT(('Schools dataset'!$J$3:$J$187-'Resale flat dataset'!O218)^2+('Schools dataset'!$K$3:$K$187-'Resale flat dataset'!P218)^2), 0))</f>
        <v>CANBERRA PRIMARY SCHOOL</v>
      </c>
      <c r="T218" s="39">
        <f>ACOS(COS(RADIANS(90-O218))*COS(RADIANS(90-_xlfn.XLOOKUP(Q218,'MRT station dataset'!$C$3:$C$179,'MRT station dataset'!$E$3:$E$179)))+SIN(RADIANS(90-O218))*SIN(RADIANS(90-_xlfn.XLOOKUP(Q218,'MRT station dataset'!$C$3:$C$179,'MRT station dataset'!$E$3:$E$179)))*COS(RADIANS(P218-_xlfn.XLOOKUP('Resale flat dataset'!Q218,'MRT station dataset'!$C$3:$C$179,'MRT station dataset'!$F$3:$F$179))))*6371*1000</f>
        <v>799.51602511705983</v>
      </c>
      <c r="U218" s="39">
        <f>ACOS(COS(RADIANS(90-O218))*COS(RADIANS(90-_xlfn.XLOOKUP(R218,'Mall Dataset'!$B$3:$B$157,'Mall Dataset'!$E$3:$E$157,,0)))+SIN(RADIANS(90-O218))*SIN(RADIANS(90-_xlfn.XLOOKUP(R218,'Mall Dataset'!$B$3:$B$157,'Mall Dataset'!$E$3:$E$157,,0)))*COS(RADIANS(P218-_xlfn.XLOOKUP(R218,'Mall Dataset'!$B$3:$B$157,'Mall Dataset'!$F$3:$F$157,,0))))*6371*1000</f>
        <v>720.91455637108413</v>
      </c>
      <c r="V218" s="39">
        <f>ACOS(COS(RADIANS(90-O218))*COS(RADIANS(90-_xlfn.XLOOKUP(S218,'Schools dataset'!$B$3:$B$187,'Schools dataset'!$J$3:$J$187,,0)))+SIN(RADIANS(90-O218))*SIN(RADIANS(90-_xlfn.XLOOKUP(S218,'Schools dataset'!$B$3:$B$187,'Schools dataset'!$J$3:$J$187,,0)))*COS(RADIANS(P218-_xlfn.XLOOKUP(S218,'Schools dataset'!$B$3:$B$187,'Schools dataset'!$K$3:$K$187,,0))))*6371*1000</f>
        <v>586.12815415409659</v>
      </c>
      <c r="W218" s="20">
        <f>_xlfn.XLOOKUP(T218,'HDB Recommender'!$P$10:$P$39,'HDB Recommender'!$Q$10:$Q$39,"&gt;30mins",1)</f>
        <v>11</v>
      </c>
      <c r="X218" s="20">
        <f>_xlfn.XLOOKUP(U218,'HDB Recommender'!$P$10:$P$39,'HDB Recommender'!$Q$10:$Q$39,"&gt;30mins",1)</f>
        <v>10</v>
      </c>
      <c r="Y218" s="20">
        <f>_xlfn.XLOOKUP(V218,'HDB Recommender'!$P$10:$P$39,'HDB Recommender'!$Q$10:$Q$39,"&gt;30mins",1)</f>
        <v>8</v>
      </c>
      <c r="Z218" s="39">
        <f t="shared" si="7"/>
        <v>9.6666666666666661</v>
      </c>
      <c r="AA218" s="20" t="str">
        <f t="shared" si="6"/>
        <v>Within 1km</v>
      </c>
    </row>
    <row r="219" spans="2:27" hidden="1">
      <c r="B219" s="35" t="s">
        <v>317</v>
      </c>
      <c r="C219" s="35" t="s">
        <v>680</v>
      </c>
      <c r="D219" s="35" t="s">
        <v>20</v>
      </c>
      <c r="E219" s="35">
        <v>318</v>
      </c>
      <c r="F219" s="35" t="s">
        <v>696</v>
      </c>
      <c r="G219" s="35" t="s">
        <v>184</v>
      </c>
      <c r="H219" s="35">
        <v>100</v>
      </c>
      <c r="I219" s="35" t="s">
        <v>335</v>
      </c>
      <c r="J219" s="36">
        <v>1999</v>
      </c>
      <c r="K219" s="39">
        <v>74.5833333333333</v>
      </c>
      <c r="L219" s="37">
        <v>503000</v>
      </c>
      <c r="M219" s="35" t="s">
        <v>697</v>
      </c>
      <c r="N219" s="27">
        <v>750318</v>
      </c>
      <c r="O219" s="38">
        <v>1.44623076981756</v>
      </c>
      <c r="P219" s="38">
        <v>103.819993931128</v>
      </c>
      <c r="Q219" s="38" t="str" cm="1">
        <f t="array" ref="Q219">INDEX('MRT station dataset'!$C$3:$C$179, MATCH(MIN(SQRT(('MRT station dataset'!$E$3:$E$179-'Resale flat dataset'!O219)^2+('MRT station dataset'!$F$3:$F$179-'Resale flat dataset'!P219)^2)), SQRT(('MRT station dataset'!$E$3:$E$179-'Resale flat dataset'!O219)^2+('MRT station dataset'!$F$3:$F$179-'Resale flat dataset'!P219)^2), 0))</f>
        <v>SEMBAWANG MRT STATION</v>
      </c>
      <c r="R219" s="38" t="str" cm="1">
        <f t="array" ref="R219">INDEX('Mall Dataset'!$B$3:$B$157, MATCH(MIN(SQRT(('Mall Dataset'!$E$3:$E$157-'Resale flat dataset'!O219)^2+('Mall Dataset'!$F$3:$F$157-'Resale flat dataset'!P219)^2)), SQRT(('Mall Dataset'!$E$3:$E$157-'Resale flat dataset'!O219)^2+('Mall Dataset'!$F$3:$F$157-'Resale flat dataset'!P219)^2), 0))</f>
        <v>Sun Plaza</v>
      </c>
      <c r="S219" s="38" t="str" cm="1">
        <f t="array" ref="S219">INDEX('Schools dataset'!$B$3:$B$187, MATCH(MIN(SQRT(('Schools dataset'!$J$3:$J$187-'Resale flat dataset'!O219)^2+('Schools dataset'!$K$3:$K$187-'Resale flat dataset'!P219)^2)), SQRT(('Schools dataset'!$J$3:$J$187-'Resale flat dataset'!O219)^2+('Schools dataset'!$K$3:$K$187-'Resale flat dataset'!P219)^2), 0))</f>
        <v>SEMBAWANG PRIMARY SCHOOL</v>
      </c>
      <c r="T219" s="39">
        <f>ACOS(COS(RADIANS(90-O219))*COS(RADIANS(90-_xlfn.XLOOKUP(Q219,'MRT station dataset'!$C$3:$C$179,'MRT station dataset'!$E$3:$E$179)))+SIN(RADIANS(90-O219))*SIN(RADIANS(90-_xlfn.XLOOKUP(Q219,'MRT station dataset'!$C$3:$C$179,'MRT station dataset'!$E$3:$E$179)))*COS(RADIANS(P219-_xlfn.XLOOKUP('Resale flat dataset'!Q219,'MRT station dataset'!$C$3:$C$179,'MRT station dataset'!$F$3:$F$179))))*6371*1000</f>
        <v>319.04455741578562</v>
      </c>
      <c r="U219" s="39">
        <f>ACOS(COS(RADIANS(90-O219))*COS(RADIANS(90-_xlfn.XLOOKUP(R219,'Mall Dataset'!$B$3:$B$157,'Mall Dataset'!$E$3:$E$157,,0)))+SIN(RADIANS(90-O219))*SIN(RADIANS(90-_xlfn.XLOOKUP(R219,'Mall Dataset'!$B$3:$B$157,'Mall Dataset'!$E$3:$E$157,,0)))*COS(RADIANS(P219-_xlfn.XLOOKUP(R219,'Mall Dataset'!$B$3:$B$157,'Mall Dataset'!$F$3:$F$157,,0))))*6371*1000</f>
        <v>228.48833762932765</v>
      </c>
      <c r="V219" s="39">
        <f>ACOS(COS(RADIANS(90-O219))*COS(RADIANS(90-_xlfn.XLOOKUP(S219,'Schools dataset'!$B$3:$B$187,'Schools dataset'!$J$3:$J$187,,0)))+SIN(RADIANS(90-O219))*SIN(RADIANS(90-_xlfn.XLOOKUP(S219,'Schools dataset'!$B$3:$B$187,'Schools dataset'!$J$3:$J$187,,0)))*COS(RADIANS(P219-_xlfn.XLOOKUP(S219,'Schools dataset'!$B$3:$B$187,'Schools dataset'!$K$3:$K$187,,0))))*6371*1000</f>
        <v>174.56272929096372</v>
      </c>
      <c r="W219" s="20">
        <f>_xlfn.XLOOKUP(T219,'HDB Recommender'!$P$10:$P$39,'HDB Recommender'!$Q$10:$Q$39,"&gt;30mins",1)</f>
        <v>5</v>
      </c>
      <c r="X219" s="20">
        <f>_xlfn.XLOOKUP(U219,'HDB Recommender'!$P$10:$P$39,'HDB Recommender'!$Q$10:$Q$39,"&gt;30mins",1)</f>
        <v>4</v>
      </c>
      <c r="Y219" s="20">
        <f>_xlfn.XLOOKUP(V219,'HDB Recommender'!$P$10:$P$39,'HDB Recommender'!$Q$10:$Q$39,"&gt;30mins",1)</f>
        <v>3</v>
      </c>
      <c r="Z219" s="39">
        <f t="shared" si="7"/>
        <v>4</v>
      </c>
      <c r="AA219" s="20" t="str">
        <f t="shared" si="6"/>
        <v>Within 1km</v>
      </c>
    </row>
    <row r="220" spans="2:27" hidden="1">
      <c r="B220" s="35" t="s">
        <v>317</v>
      </c>
      <c r="C220" s="35" t="s">
        <v>680</v>
      </c>
      <c r="D220" s="35" t="s">
        <v>341</v>
      </c>
      <c r="E220" s="35">
        <v>401</v>
      </c>
      <c r="F220" s="35" t="s">
        <v>698</v>
      </c>
      <c r="G220" s="35" t="s">
        <v>323</v>
      </c>
      <c r="H220" s="35">
        <v>110</v>
      </c>
      <c r="I220" s="35" t="s">
        <v>326</v>
      </c>
      <c r="J220" s="36">
        <v>2001</v>
      </c>
      <c r="K220" s="39">
        <v>76.5833333333333</v>
      </c>
      <c r="L220" s="37">
        <v>520000</v>
      </c>
      <c r="M220" s="35" t="s">
        <v>699</v>
      </c>
      <c r="N220" s="27">
        <v>750401</v>
      </c>
      <c r="O220" s="38">
        <v>1.4542701802165099</v>
      </c>
      <c r="P220" s="38">
        <v>103.815812639222</v>
      </c>
      <c r="Q220" s="38" t="str" cm="1">
        <f t="array" ref="Q220">INDEX('MRT station dataset'!$C$3:$C$179, MATCH(MIN(SQRT(('MRT station dataset'!$E$3:$E$179-'Resale flat dataset'!O220)^2+('MRT station dataset'!$F$3:$F$179-'Resale flat dataset'!P220)^2)), SQRT(('MRT station dataset'!$E$3:$E$179-'Resale flat dataset'!O220)^2+('MRT station dataset'!$F$3:$F$179-'Resale flat dataset'!P220)^2), 0))</f>
        <v>SEMBAWANG MRT STATION</v>
      </c>
      <c r="R220" s="38" t="str" cm="1">
        <f t="array" ref="R220">INDEX('Mall Dataset'!$B$3:$B$157, MATCH(MIN(SQRT(('Mall Dataset'!$E$3:$E$157-'Resale flat dataset'!O220)^2+('Mall Dataset'!$F$3:$F$157-'Resale flat dataset'!P220)^2)), SQRT(('Mall Dataset'!$E$3:$E$157-'Resale flat dataset'!O220)^2+('Mall Dataset'!$F$3:$F$157-'Resale flat dataset'!P220)^2), 0))</f>
        <v>Sun Plaza</v>
      </c>
      <c r="S220" s="38" t="str" cm="1">
        <f t="array" ref="S220">INDEX('Schools dataset'!$B$3:$B$187, MATCH(MIN(SQRT(('Schools dataset'!$J$3:$J$187-'Resale flat dataset'!O220)^2+('Schools dataset'!$K$3:$K$187-'Resale flat dataset'!P220)^2)), SQRT(('Schools dataset'!$J$3:$J$187-'Resale flat dataset'!O220)^2+('Schools dataset'!$K$3:$K$187-'Resale flat dataset'!P220)^2), 0))</f>
        <v>ENDEAVOUR PRIMARY SCHOOL</v>
      </c>
      <c r="T220" s="39">
        <f>ACOS(COS(RADIANS(90-O220))*COS(RADIANS(90-_xlfn.XLOOKUP(Q220,'MRT station dataset'!$C$3:$C$179,'MRT station dataset'!$E$3:$E$179)))+SIN(RADIANS(90-O220))*SIN(RADIANS(90-_xlfn.XLOOKUP(Q220,'MRT station dataset'!$C$3:$C$179,'MRT station dataset'!$E$3:$E$179)))*COS(RADIANS(P220-_xlfn.XLOOKUP('Resale flat dataset'!Q220,'MRT station dataset'!$C$3:$C$179,'MRT station dataset'!$F$3:$F$179))))*6371*1000</f>
        <v>739.70539450248475</v>
      </c>
      <c r="U220" s="39">
        <f>ACOS(COS(RADIANS(90-O220))*COS(RADIANS(90-_xlfn.XLOOKUP(R220,'Mall Dataset'!$B$3:$B$157,'Mall Dataset'!$E$3:$E$157,,0)))+SIN(RADIANS(90-O220))*SIN(RADIANS(90-_xlfn.XLOOKUP(R220,'Mall Dataset'!$B$3:$B$157,'Mall Dataset'!$E$3:$E$157,,0)))*COS(RADIANS(P220-_xlfn.XLOOKUP(R220,'Mall Dataset'!$B$3:$B$157,'Mall Dataset'!$F$3:$F$157,,0))))*6371*1000</f>
        <v>788.10126963126663</v>
      </c>
      <c r="V220" s="39">
        <f>ACOS(COS(RADIANS(90-O220))*COS(RADIANS(90-_xlfn.XLOOKUP(S220,'Schools dataset'!$B$3:$B$187,'Schools dataset'!$J$3:$J$187,,0)))+SIN(RADIANS(90-O220))*SIN(RADIANS(90-_xlfn.XLOOKUP(S220,'Schools dataset'!$B$3:$B$187,'Schools dataset'!$J$3:$J$187,,0)))*COS(RADIANS(P220-_xlfn.XLOOKUP(S220,'Schools dataset'!$B$3:$B$187,'Schools dataset'!$K$3:$K$187,,0))))*6371*1000</f>
        <v>157.44717930924023</v>
      </c>
      <c r="W220" s="20">
        <f>_xlfn.XLOOKUP(T220,'HDB Recommender'!$P$10:$P$39,'HDB Recommender'!$Q$10:$Q$39,"&gt;30mins",1)</f>
        <v>10</v>
      </c>
      <c r="X220" s="20">
        <f>_xlfn.XLOOKUP(U220,'HDB Recommender'!$P$10:$P$39,'HDB Recommender'!$Q$10:$Q$39,"&gt;30mins",1)</f>
        <v>11</v>
      </c>
      <c r="Y220" s="20">
        <f>_xlfn.XLOOKUP(V220,'HDB Recommender'!$P$10:$P$39,'HDB Recommender'!$Q$10:$Q$39,"&gt;30mins",1)</f>
        <v>3</v>
      </c>
      <c r="Z220" s="39">
        <f t="shared" si="7"/>
        <v>8</v>
      </c>
      <c r="AA220" s="20" t="str">
        <f t="shared" si="6"/>
        <v>Within 1km</v>
      </c>
    </row>
    <row r="221" spans="2:27" hidden="1">
      <c r="B221" s="35" t="s">
        <v>317</v>
      </c>
      <c r="C221" s="35" t="s">
        <v>680</v>
      </c>
      <c r="D221" s="35" t="s">
        <v>341</v>
      </c>
      <c r="E221" s="35"/>
      <c r="F221" s="35" t="s">
        <v>700</v>
      </c>
      <c r="G221" s="35" t="s">
        <v>349</v>
      </c>
      <c r="H221" s="35">
        <v>110</v>
      </c>
      <c r="I221" s="35" t="s">
        <v>326</v>
      </c>
      <c r="J221" s="36">
        <v>2001</v>
      </c>
      <c r="K221" s="39">
        <v>76.9166666666666</v>
      </c>
      <c r="L221" s="37">
        <v>525000</v>
      </c>
      <c r="M221" s="35" t="s">
        <v>701</v>
      </c>
      <c r="N221" s="27">
        <v>752503</v>
      </c>
      <c r="O221" s="38">
        <v>1.4503945645138201</v>
      </c>
      <c r="P221" s="38">
        <v>103.822066427146</v>
      </c>
      <c r="Q221" s="38" t="str" cm="1">
        <f t="array" ref="Q221">INDEX('MRT station dataset'!$C$3:$C$179, MATCH(MIN(SQRT(('MRT station dataset'!$E$3:$E$179-'Resale flat dataset'!O221)^2+('MRT station dataset'!$F$3:$F$179-'Resale flat dataset'!P221)^2)), SQRT(('MRT station dataset'!$E$3:$E$179-'Resale flat dataset'!O221)^2+('MRT station dataset'!$F$3:$F$179-'Resale flat dataset'!P221)^2), 0))</f>
        <v>SEMBAWANG MRT STATION</v>
      </c>
      <c r="R221" s="38" t="str" cm="1">
        <f t="array" ref="R221">INDEX('Mall Dataset'!$B$3:$B$157, MATCH(MIN(SQRT(('Mall Dataset'!$E$3:$E$157-'Resale flat dataset'!O221)^2+('Mall Dataset'!$F$3:$F$157-'Resale flat dataset'!P221)^2)), SQRT(('Mall Dataset'!$E$3:$E$157-'Resale flat dataset'!O221)^2+('Mall Dataset'!$F$3:$F$157-'Resale flat dataset'!P221)^2), 0))</f>
        <v>Sun Plaza</v>
      </c>
      <c r="S221" s="38" t="str" cm="1">
        <f t="array" ref="S221">INDEX('Schools dataset'!$B$3:$B$187, MATCH(MIN(SQRT(('Schools dataset'!$J$3:$J$187-'Resale flat dataset'!O221)^2+('Schools dataset'!$K$3:$K$187-'Resale flat dataset'!P221)^2)), SQRT(('Schools dataset'!$J$3:$J$187-'Resale flat dataset'!O221)^2+('Schools dataset'!$K$3:$K$187-'Resale flat dataset'!P221)^2), 0))</f>
        <v>WELLINGTON PRIMARY SCHOOL</v>
      </c>
      <c r="T221" s="39">
        <f>ACOS(COS(RADIANS(90-O221))*COS(RADIANS(90-_xlfn.XLOOKUP(Q221,'MRT station dataset'!$C$3:$C$179,'MRT station dataset'!$E$3:$E$179)))+SIN(RADIANS(90-O221))*SIN(RADIANS(90-_xlfn.XLOOKUP(Q221,'MRT station dataset'!$C$3:$C$179,'MRT station dataset'!$E$3:$E$179)))*COS(RADIANS(P221-_xlfn.XLOOKUP('Resale flat dataset'!Q221,'MRT station dataset'!$C$3:$C$179,'MRT station dataset'!$F$3:$F$179))))*6371*1000</f>
        <v>271.08047475546891</v>
      </c>
      <c r="U221" s="39">
        <f>ACOS(COS(RADIANS(90-O221))*COS(RADIANS(90-_xlfn.XLOOKUP(R221,'Mall Dataset'!$B$3:$B$157,'Mall Dataset'!$E$3:$E$157,,0)))+SIN(RADIANS(90-O221))*SIN(RADIANS(90-_xlfn.XLOOKUP(R221,'Mall Dataset'!$B$3:$B$157,'Mall Dataset'!$E$3:$E$157,,0)))*COS(RADIANS(P221-_xlfn.XLOOKUP(R221,'Mall Dataset'!$B$3:$B$157,'Mall Dataset'!$F$3:$F$157,,0))))*6371*1000</f>
        <v>371.15631937441805</v>
      </c>
      <c r="V221" s="39">
        <f>ACOS(COS(RADIANS(90-O221))*COS(RADIANS(90-_xlfn.XLOOKUP(S221,'Schools dataset'!$B$3:$B$187,'Schools dataset'!$J$3:$J$187,,0)))+SIN(RADIANS(90-O221))*SIN(RADIANS(90-_xlfn.XLOOKUP(S221,'Schools dataset'!$B$3:$B$187,'Schools dataset'!$J$3:$J$187,,0)))*COS(RADIANS(P221-_xlfn.XLOOKUP(S221,'Schools dataset'!$B$3:$B$187,'Schools dataset'!$K$3:$K$187,,0))))*6371*1000</f>
        <v>151.96938142902928</v>
      </c>
      <c r="W221" s="20">
        <f>_xlfn.XLOOKUP(T221,'HDB Recommender'!$P$10:$P$39,'HDB Recommender'!$Q$10:$Q$39,"&gt;30mins",1)</f>
        <v>4</v>
      </c>
      <c r="X221" s="20">
        <f>_xlfn.XLOOKUP(U221,'HDB Recommender'!$P$10:$P$39,'HDB Recommender'!$Q$10:$Q$39,"&gt;30mins",1)</f>
        <v>5</v>
      </c>
      <c r="Y221" s="20">
        <f>_xlfn.XLOOKUP(V221,'HDB Recommender'!$P$10:$P$39,'HDB Recommender'!$Q$10:$Q$39,"&gt;30mins",1)</f>
        <v>3</v>
      </c>
      <c r="Z221" s="39">
        <f t="shared" si="7"/>
        <v>4</v>
      </c>
      <c r="AA221" s="20" t="str">
        <f t="shared" si="6"/>
        <v>Within 1km</v>
      </c>
    </row>
    <row r="222" spans="2:27" hidden="1">
      <c r="B222" s="35" t="s">
        <v>317</v>
      </c>
      <c r="C222" s="35" t="s">
        <v>680</v>
      </c>
      <c r="D222" s="35" t="s">
        <v>383</v>
      </c>
      <c r="E222" s="35">
        <v>304</v>
      </c>
      <c r="F222" s="35" t="s">
        <v>702</v>
      </c>
      <c r="G222" s="35" t="s">
        <v>191</v>
      </c>
      <c r="H222" s="35">
        <v>140</v>
      </c>
      <c r="I222" s="35" t="s">
        <v>384</v>
      </c>
      <c r="J222" s="36">
        <v>1998</v>
      </c>
      <c r="K222" s="39">
        <v>74.25</v>
      </c>
      <c r="L222" s="37">
        <v>735000</v>
      </c>
      <c r="M222" s="35" t="s">
        <v>703</v>
      </c>
      <c r="N222" s="27">
        <v>750304</v>
      </c>
      <c r="O222" s="38">
        <v>1.4451192074325401</v>
      </c>
      <c r="P222" s="38">
        <v>103.822259561569</v>
      </c>
      <c r="Q222" s="38" t="str" cm="1">
        <f t="array" ref="Q222">INDEX('MRT station dataset'!$C$3:$C$179, MATCH(MIN(SQRT(('MRT station dataset'!$E$3:$E$179-'Resale flat dataset'!O222)^2+('MRT station dataset'!$F$3:$F$179-'Resale flat dataset'!P222)^2)), SQRT(('MRT station dataset'!$E$3:$E$179-'Resale flat dataset'!O222)^2+('MRT station dataset'!$F$3:$F$179-'Resale flat dataset'!P222)^2), 0))</f>
        <v>SEMBAWANG MRT STATION</v>
      </c>
      <c r="R222" s="38" t="str" cm="1">
        <f t="array" ref="R222">INDEX('Mall Dataset'!$B$3:$B$157, MATCH(MIN(SQRT(('Mall Dataset'!$E$3:$E$157-'Resale flat dataset'!O222)^2+('Mall Dataset'!$F$3:$F$157-'Resale flat dataset'!P222)^2)), SQRT(('Mall Dataset'!$E$3:$E$157-'Resale flat dataset'!O222)^2+('Mall Dataset'!$F$3:$F$157-'Resale flat dataset'!P222)^2), 0))</f>
        <v>Sun Plaza</v>
      </c>
      <c r="S222" s="38" t="str" cm="1">
        <f t="array" ref="S222">INDEX('Schools dataset'!$B$3:$B$187, MATCH(MIN(SQRT(('Schools dataset'!$J$3:$J$187-'Resale flat dataset'!O222)^2+('Schools dataset'!$K$3:$K$187-'Resale flat dataset'!P222)^2)), SQRT(('Schools dataset'!$J$3:$J$187-'Resale flat dataset'!O222)^2+('Schools dataset'!$K$3:$K$187-'Resale flat dataset'!P222)^2), 0))</f>
        <v>SEMBAWANG PRIMARY SCHOOL</v>
      </c>
      <c r="T222" s="39">
        <f>ACOS(COS(RADIANS(90-O222))*COS(RADIANS(90-_xlfn.XLOOKUP(Q222,'MRT station dataset'!$C$3:$C$179,'MRT station dataset'!$E$3:$E$179)))+SIN(RADIANS(90-O222))*SIN(RADIANS(90-_xlfn.XLOOKUP(Q222,'MRT station dataset'!$C$3:$C$179,'MRT station dataset'!$E$3:$E$179)))*COS(RADIANS(P222-_xlfn.XLOOKUP('Resale flat dataset'!Q222,'MRT station dataset'!$C$3:$C$179,'MRT station dataset'!$F$3:$F$179))))*6371*1000</f>
        <v>508.94090740868569</v>
      </c>
      <c r="U222" s="39">
        <f>ACOS(COS(RADIANS(90-O222))*COS(RADIANS(90-_xlfn.XLOOKUP(R222,'Mall Dataset'!$B$3:$B$157,'Mall Dataset'!$E$3:$E$157,,0)))+SIN(RADIANS(90-O222))*SIN(RADIANS(90-_xlfn.XLOOKUP(R222,'Mall Dataset'!$B$3:$B$157,'Mall Dataset'!$E$3:$E$157,,0)))*COS(RADIANS(P222-_xlfn.XLOOKUP(R222,'Mall Dataset'!$B$3:$B$157,'Mall Dataset'!$F$3:$F$157,,0))))*6371*1000</f>
        <v>460.6743722949227</v>
      </c>
      <c r="V222" s="39">
        <f>ACOS(COS(RADIANS(90-O222))*COS(RADIANS(90-_xlfn.XLOOKUP(S222,'Schools dataset'!$B$3:$B$187,'Schools dataset'!$J$3:$J$187,,0)))+SIN(RADIANS(90-O222))*SIN(RADIANS(90-_xlfn.XLOOKUP(S222,'Schools dataset'!$B$3:$B$187,'Schools dataset'!$J$3:$J$187,,0)))*COS(RADIANS(P222-_xlfn.XLOOKUP(S222,'Schools dataset'!$B$3:$B$187,'Schools dataset'!$K$3:$K$187,,0))))*6371*1000</f>
        <v>137.87707312402864</v>
      </c>
      <c r="W222" s="20">
        <f>_xlfn.XLOOKUP(T222,'HDB Recommender'!$P$10:$P$39,'HDB Recommender'!$Q$10:$Q$39,"&gt;30mins",1)</f>
        <v>7</v>
      </c>
      <c r="X222" s="20">
        <f>_xlfn.XLOOKUP(U222,'HDB Recommender'!$P$10:$P$39,'HDB Recommender'!$Q$10:$Q$39,"&gt;30mins",1)</f>
        <v>7</v>
      </c>
      <c r="Y222" s="20">
        <f>_xlfn.XLOOKUP(V222,'HDB Recommender'!$P$10:$P$39,'HDB Recommender'!$Q$10:$Q$39,"&gt;30mins",1)</f>
        <v>2</v>
      </c>
      <c r="Z222" s="39">
        <f t="shared" si="7"/>
        <v>5.333333333333333</v>
      </c>
      <c r="AA222" s="20" t="str">
        <f t="shared" si="6"/>
        <v>Within 1km</v>
      </c>
    </row>
    <row r="223" spans="2:27" hidden="1">
      <c r="B223" s="35" t="s">
        <v>317</v>
      </c>
      <c r="C223" s="35" t="s">
        <v>680</v>
      </c>
      <c r="D223" s="35" t="s">
        <v>383</v>
      </c>
      <c r="E223" s="35">
        <v>310</v>
      </c>
      <c r="F223" s="35" t="s">
        <v>702</v>
      </c>
      <c r="G223" s="35" t="s">
        <v>184</v>
      </c>
      <c r="H223" s="35">
        <v>143</v>
      </c>
      <c r="I223" s="35" t="s">
        <v>392</v>
      </c>
      <c r="J223" s="36">
        <v>1998</v>
      </c>
      <c r="K223" s="39">
        <v>74.0833333333333</v>
      </c>
      <c r="L223" s="37">
        <v>810000</v>
      </c>
      <c r="M223" s="35" t="s">
        <v>704</v>
      </c>
      <c r="N223" s="27">
        <v>750310</v>
      </c>
      <c r="O223" s="38">
        <v>1.4470356102903199</v>
      </c>
      <c r="P223" s="38">
        <v>103.82209866943001</v>
      </c>
      <c r="Q223" s="38" t="str" cm="1">
        <f t="array" ref="Q223">INDEX('MRT station dataset'!$C$3:$C$179, MATCH(MIN(SQRT(('MRT station dataset'!$E$3:$E$179-'Resale flat dataset'!O223)^2+('MRT station dataset'!$F$3:$F$179-'Resale flat dataset'!P223)^2)), SQRT(('MRT station dataset'!$E$3:$E$179-'Resale flat dataset'!O223)^2+('MRT station dataset'!$F$3:$F$179-'Resale flat dataset'!P223)^2), 0))</f>
        <v>SEMBAWANG MRT STATION</v>
      </c>
      <c r="R223" s="38" t="str" cm="1">
        <f t="array" ref="R223">INDEX('Mall Dataset'!$B$3:$B$157, MATCH(MIN(SQRT(('Mall Dataset'!$E$3:$E$157-'Resale flat dataset'!O223)^2+('Mall Dataset'!$F$3:$F$157-'Resale flat dataset'!P223)^2)), SQRT(('Mall Dataset'!$E$3:$E$157-'Resale flat dataset'!O223)^2+('Mall Dataset'!$F$3:$F$157-'Resale flat dataset'!P223)^2), 0))</f>
        <v>Sun Plaza</v>
      </c>
      <c r="S223" s="38" t="str" cm="1">
        <f t="array" ref="S223">INDEX('Schools dataset'!$B$3:$B$187, MATCH(MIN(SQRT(('Schools dataset'!$J$3:$J$187-'Resale flat dataset'!O223)^2+('Schools dataset'!$K$3:$K$187-'Resale flat dataset'!P223)^2)), SQRT(('Schools dataset'!$J$3:$J$187-'Resale flat dataset'!O223)^2+('Schools dataset'!$K$3:$K$187-'Resale flat dataset'!P223)^2), 0))</f>
        <v>SEMBAWANG PRIMARY SCHOOL</v>
      </c>
      <c r="T223" s="39">
        <f>ACOS(COS(RADIANS(90-O223))*COS(RADIANS(90-_xlfn.XLOOKUP(Q223,'MRT station dataset'!$C$3:$C$179,'MRT station dataset'!$E$3:$E$179)))+SIN(RADIANS(90-O223))*SIN(RADIANS(90-_xlfn.XLOOKUP(Q223,'MRT station dataset'!$C$3:$C$179,'MRT station dataset'!$E$3:$E$179)))*COS(RADIANS(P223-_xlfn.XLOOKUP('Resale flat dataset'!Q223,'MRT station dataset'!$C$3:$C$179,'MRT station dataset'!$F$3:$F$179))))*6371*1000</f>
        <v>327.28551222307601</v>
      </c>
      <c r="U223" s="39">
        <f>ACOS(COS(RADIANS(90-O223))*COS(RADIANS(90-_xlfn.XLOOKUP(R223,'Mall Dataset'!$B$3:$B$157,'Mall Dataset'!$E$3:$E$157,,0)))+SIN(RADIANS(90-O223))*SIN(RADIANS(90-_xlfn.XLOOKUP(R223,'Mall Dataset'!$B$3:$B$157,'Mall Dataset'!$E$3:$E$157,,0)))*COS(RADIANS(P223-_xlfn.XLOOKUP(R223,'Mall Dataset'!$B$3:$B$157,'Mall Dataset'!$F$3:$F$157,,0))))*6371*1000</f>
        <v>315.5911051378564</v>
      </c>
      <c r="V223" s="39">
        <f>ACOS(COS(RADIANS(90-O223))*COS(RADIANS(90-_xlfn.XLOOKUP(S223,'Schools dataset'!$B$3:$B$187,'Schools dataset'!$J$3:$J$187,,0)))+SIN(RADIANS(90-O223))*SIN(RADIANS(90-_xlfn.XLOOKUP(S223,'Schools dataset'!$B$3:$B$187,'Schools dataset'!$J$3:$J$187,,0)))*COS(RADIANS(P223-_xlfn.XLOOKUP(S223,'Schools dataset'!$B$3:$B$187,'Schools dataset'!$K$3:$K$187,,0))))*6371*1000</f>
        <v>251.78859927218423</v>
      </c>
      <c r="W223" s="20">
        <f>_xlfn.XLOOKUP(T223,'HDB Recommender'!$P$10:$P$39,'HDB Recommender'!$Q$10:$Q$39,"&gt;30mins",1)</f>
        <v>5</v>
      </c>
      <c r="X223" s="20">
        <f>_xlfn.XLOOKUP(U223,'HDB Recommender'!$P$10:$P$39,'HDB Recommender'!$Q$10:$Q$39,"&gt;30mins",1)</f>
        <v>5</v>
      </c>
      <c r="Y223" s="20">
        <f>_xlfn.XLOOKUP(V223,'HDB Recommender'!$P$10:$P$39,'HDB Recommender'!$Q$10:$Q$39,"&gt;30mins",1)</f>
        <v>4</v>
      </c>
      <c r="Z223" s="39">
        <f t="shared" si="7"/>
        <v>4.666666666666667</v>
      </c>
      <c r="AA223" s="20" t="str">
        <f t="shared" si="6"/>
        <v>Within 1km</v>
      </c>
    </row>
    <row r="224" spans="2:27" hidden="1">
      <c r="B224" s="35" t="s">
        <v>317</v>
      </c>
      <c r="C224" s="35" t="s">
        <v>705</v>
      </c>
      <c r="D224" s="35" t="s">
        <v>395</v>
      </c>
      <c r="E224" s="35"/>
      <c r="F224" s="35" t="s">
        <v>706</v>
      </c>
      <c r="G224" s="35" t="s">
        <v>349</v>
      </c>
      <c r="H224" s="35">
        <v>48</v>
      </c>
      <c r="I224" s="35" t="s">
        <v>335</v>
      </c>
      <c r="J224" s="36">
        <v>2013</v>
      </c>
      <c r="K224" s="39">
        <v>88.4166666666666</v>
      </c>
      <c r="L224" s="37">
        <v>315000</v>
      </c>
      <c r="M224" s="35" t="s">
        <v>707</v>
      </c>
      <c r="N224" s="27">
        <v>541210</v>
      </c>
      <c r="O224" s="38">
        <v>1.38480080631986</v>
      </c>
      <c r="P224" s="38">
        <v>103.900105508026</v>
      </c>
      <c r="Q224" s="38" t="str" cm="1">
        <f t="array" ref="Q224">INDEX('MRT station dataset'!$C$3:$C$179, MATCH(MIN(SQRT(('MRT station dataset'!$E$3:$E$179-'Resale flat dataset'!O224)^2+('MRT station dataset'!$F$3:$F$179-'Resale flat dataset'!P224)^2)), SQRT(('MRT station dataset'!$E$3:$E$179-'Resale flat dataset'!O224)^2+('MRT station dataset'!$F$3:$F$179-'Resale flat dataset'!P224)^2), 0))</f>
        <v>KANGKAR LRT STATION</v>
      </c>
      <c r="R224" s="38" t="str" cm="1">
        <f t="array" ref="R224">INDEX('Mall Dataset'!$B$3:$B$157, MATCH(MIN(SQRT(('Mall Dataset'!$E$3:$E$157-'Resale flat dataset'!O224)^2+('Mall Dataset'!$F$3:$F$157-'Resale flat dataset'!P224)^2)), SQRT(('Mall Dataset'!$E$3:$E$157-'Resale flat dataset'!O224)^2+('Mall Dataset'!$F$3:$F$157-'Resale flat dataset'!P224)^2), 0))</f>
        <v>Rivervale Plaza</v>
      </c>
      <c r="S224" s="38" t="str" cm="1">
        <f t="array" ref="S224">INDEX('Schools dataset'!$B$3:$B$187, MATCH(MIN(SQRT(('Schools dataset'!$J$3:$J$187-'Resale flat dataset'!O224)^2+('Schools dataset'!$K$3:$K$187-'Resale flat dataset'!P224)^2)), SQRT(('Schools dataset'!$J$3:$J$187-'Resale flat dataset'!O224)^2+('Schools dataset'!$K$3:$K$187-'Resale flat dataset'!P224)^2), 0))</f>
        <v>NORTH SPRING PRIMARY SCHOOL</v>
      </c>
      <c r="T224" s="39">
        <f>ACOS(COS(RADIANS(90-O224))*COS(RADIANS(90-_xlfn.XLOOKUP(Q224,'MRT station dataset'!$C$3:$C$179,'MRT station dataset'!$E$3:$E$179)))+SIN(RADIANS(90-O224))*SIN(RADIANS(90-_xlfn.XLOOKUP(Q224,'MRT station dataset'!$C$3:$C$179,'MRT station dataset'!$E$3:$E$179)))*COS(RADIANS(P224-_xlfn.XLOOKUP('Resale flat dataset'!Q224,'MRT station dataset'!$C$3:$C$179,'MRT station dataset'!$F$3:$F$179))))*6371*1000</f>
        <v>249.27577903106001</v>
      </c>
      <c r="U224" s="39">
        <f>ACOS(COS(RADIANS(90-O224))*COS(RADIANS(90-_xlfn.XLOOKUP(R224,'Mall Dataset'!$B$3:$B$157,'Mall Dataset'!$E$3:$E$157,,0)))+SIN(RADIANS(90-O224))*SIN(RADIANS(90-_xlfn.XLOOKUP(R224,'Mall Dataset'!$B$3:$B$157,'Mall Dataset'!$E$3:$E$157,,0)))*COS(RADIANS(P224-_xlfn.XLOOKUP(R224,'Mall Dataset'!$B$3:$B$157,'Mall Dataset'!$F$3:$F$157,,0))))*6371*1000</f>
        <v>223.44584912983478</v>
      </c>
      <c r="V224" s="39">
        <f>ACOS(COS(RADIANS(90-O224))*COS(RADIANS(90-_xlfn.XLOOKUP(S224,'Schools dataset'!$B$3:$B$187,'Schools dataset'!$J$3:$J$187,,0)))+SIN(RADIANS(90-O224))*SIN(RADIANS(90-_xlfn.XLOOKUP(S224,'Schools dataset'!$B$3:$B$187,'Schools dataset'!$J$3:$J$187,,0)))*COS(RADIANS(P224-_xlfn.XLOOKUP(S224,'Schools dataset'!$B$3:$B$187,'Schools dataset'!$K$3:$K$187,,0))))*6371*1000</f>
        <v>426.29093806757254</v>
      </c>
      <c r="W224" s="20">
        <f>_xlfn.XLOOKUP(T224,'HDB Recommender'!$P$10:$P$39,'HDB Recommender'!$Q$10:$Q$39,"&gt;30mins",1)</f>
        <v>4</v>
      </c>
      <c r="X224" s="20">
        <f>_xlfn.XLOOKUP(U224,'HDB Recommender'!$P$10:$P$39,'HDB Recommender'!$Q$10:$Q$39,"&gt;30mins",1)</f>
        <v>3</v>
      </c>
      <c r="Y224" s="20">
        <f>_xlfn.XLOOKUP(V224,'HDB Recommender'!$P$10:$P$39,'HDB Recommender'!$Q$10:$Q$39,"&gt;30mins",1)</f>
        <v>6</v>
      </c>
      <c r="Z224" s="39">
        <f t="shared" si="7"/>
        <v>4.333333333333333</v>
      </c>
      <c r="AA224" s="20" t="str">
        <f t="shared" si="6"/>
        <v>Within 1km</v>
      </c>
    </row>
    <row r="225" spans="2:27" hidden="1">
      <c r="B225" s="35" t="s">
        <v>317</v>
      </c>
      <c r="C225" s="35" t="s">
        <v>705</v>
      </c>
      <c r="D225" s="35" t="s">
        <v>395</v>
      </c>
      <c r="E225" s="35"/>
      <c r="F225" s="35" t="s">
        <v>708</v>
      </c>
      <c r="G225" s="35" t="s">
        <v>323</v>
      </c>
      <c r="H225" s="35">
        <v>47</v>
      </c>
      <c r="I225" s="35" t="s">
        <v>335</v>
      </c>
      <c r="J225" s="36">
        <v>2018</v>
      </c>
      <c r="K225" s="39">
        <v>93.8333333333333</v>
      </c>
      <c r="L225" s="37">
        <v>371000</v>
      </c>
      <c r="M225" s="35" t="s">
        <v>709</v>
      </c>
      <c r="N225" s="27">
        <v>791418</v>
      </c>
      <c r="O225" s="38">
        <v>1.3910074574634299</v>
      </c>
      <c r="P225" s="38">
        <v>103.879606736157</v>
      </c>
      <c r="Q225" s="38" t="str" cm="1">
        <f t="array" ref="Q225">INDEX('MRT station dataset'!$C$3:$C$179, MATCH(MIN(SQRT(('MRT station dataset'!$E$3:$E$179-'Resale flat dataset'!O225)^2+('MRT station dataset'!$F$3:$F$179-'Resale flat dataset'!P225)^2)), SQRT(('MRT station dataset'!$E$3:$E$179-'Resale flat dataset'!O225)^2+('MRT station dataset'!$F$3:$F$179-'Resale flat dataset'!P225)^2), 0))</f>
        <v>LAYAR LRT STATION</v>
      </c>
      <c r="R225" s="38" t="str" cm="1">
        <f t="array" ref="R225">INDEX('Mall Dataset'!$B$3:$B$157, MATCH(MIN(SQRT(('Mall Dataset'!$E$3:$E$157-'Resale flat dataset'!O225)^2+('Mall Dataset'!$F$3:$F$157-'Resale flat dataset'!P225)^2)), SQRT(('Mall Dataset'!$E$3:$E$157-'Resale flat dataset'!O225)^2+('Mall Dataset'!$F$3:$F$157-'Resale flat dataset'!P225)^2), 0))</f>
        <v>The Seletar Mall</v>
      </c>
      <c r="S225" s="38" t="str" cm="1">
        <f t="array" ref="S225">INDEX('Schools dataset'!$B$3:$B$187, MATCH(MIN(SQRT(('Schools dataset'!$J$3:$J$187-'Resale flat dataset'!O225)^2+('Schools dataset'!$K$3:$K$187-'Resale flat dataset'!P225)^2)), SQRT(('Schools dataset'!$J$3:$J$187-'Resale flat dataset'!O225)^2+('Schools dataset'!$K$3:$K$187-'Resale flat dataset'!P225)^2), 0))</f>
        <v>SENGKANG GREEN PRIMARY SCHOOL</v>
      </c>
      <c r="T225" s="39">
        <f>ACOS(COS(RADIANS(90-O225))*COS(RADIANS(90-_xlfn.XLOOKUP(Q225,'MRT station dataset'!$C$3:$C$179,'MRT station dataset'!$E$3:$E$179)))+SIN(RADIANS(90-O225))*SIN(RADIANS(90-_xlfn.XLOOKUP(Q225,'MRT station dataset'!$C$3:$C$179,'MRT station dataset'!$E$3:$E$179)))*COS(RADIANS(P225-_xlfn.XLOOKUP('Resale flat dataset'!Q225,'MRT station dataset'!$C$3:$C$179,'MRT station dataset'!$F$3:$F$179))))*6371*1000</f>
        <v>129.11137698515307</v>
      </c>
      <c r="U225" s="39">
        <f>ACOS(COS(RADIANS(90-O225))*COS(RADIANS(90-_xlfn.XLOOKUP(R225,'Mall Dataset'!$B$3:$B$157,'Mall Dataset'!$E$3:$E$157,,0)))+SIN(RADIANS(90-O225))*SIN(RADIANS(90-_xlfn.XLOOKUP(R225,'Mall Dataset'!$B$3:$B$157,'Mall Dataset'!$E$3:$E$157,,0)))*COS(RADIANS(P225-_xlfn.XLOOKUP(R225,'Mall Dataset'!$B$3:$B$157,'Mall Dataset'!$F$3:$F$157,,0))))*6371*1000</f>
        <v>390.38601980860818</v>
      </c>
      <c r="V225" s="39">
        <f>ACOS(COS(RADIANS(90-O225))*COS(RADIANS(90-_xlfn.XLOOKUP(S225,'Schools dataset'!$B$3:$B$187,'Schools dataset'!$J$3:$J$187,,0)))+SIN(RADIANS(90-O225))*SIN(RADIANS(90-_xlfn.XLOOKUP(S225,'Schools dataset'!$B$3:$B$187,'Schools dataset'!$J$3:$J$187,,0)))*COS(RADIANS(P225-_xlfn.XLOOKUP(S225,'Schools dataset'!$B$3:$B$187,'Schools dataset'!$K$3:$K$187,,0))))*6371*1000</f>
        <v>541.30372013508634</v>
      </c>
      <c r="W225" s="20">
        <f>_xlfn.XLOOKUP(T225,'HDB Recommender'!$P$10:$P$39,'HDB Recommender'!$Q$10:$Q$39,"&gt;30mins",1)</f>
        <v>2</v>
      </c>
      <c r="X225" s="20">
        <f>_xlfn.XLOOKUP(U225,'HDB Recommender'!$P$10:$P$39,'HDB Recommender'!$Q$10:$Q$39,"&gt;30mins",1)</f>
        <v>6</v>
      </c>
      <c r="Y225" s="20">
        <f>_xlfn.XLOOKUP(V225,'HDB Recommender'!$P$10:$P$39,'HDB Recommender'!$Q$10:$Q$39,"&gt;30mins",1)</f>
        <v>8</v>
      </c>
      <c r="Z225" s="39">
        <f t="shared" si="7"/>
        <v>5.333333333333333</v>
      </c>
      <c r="AA225" s="20" t="str">
        <f t="shared" si="6"/>
        <v>Within 1km</v>
      </c>
    </row>
    <row r="226" spans="2:27" hidden="1">
      <c r="B226" s="35" t="s">
        <v>317</v>
      </c>
      <c r="C226" s="35" t="s">
        <v>705</v>
      </c>
      <c r="D226" s="35" t="s">
        <v>318</v>
      </c>
      <c r="E226" s="35"/>
      <c r="F226" s="35" t="s">
        <v>710</v>
      </c>
      <c r="G226" s="35" t="s">
        <v>411</v>
      </c>
      <c r="H226" s="35">
        <v>69</v>
      </c>
      <c r="I226" s="35" t="s">
        <v>335</v>
      </c>
      <c r="J226" s="36">
        <v>2011</v>
      </c>
      <c r="K226" s="39">
        <v>86.5</v>
      </c>
      <c r="L226" s="37">
        <v>485000</v>
      </c>
      <c r="M226" s="35" t="s">
        <v>711</v>
      </c>
      <c r="N226" s="27">
        <v>792438</v>
      </c>
      <c r="O226" s="38">
        <v>1.3927451833386599</v>
      </c>
      <c r="P226" s="38">
        <v>103.877720031685</v>
      </c>
      <c r="Q226" s="38" t="str" cm="1">
        <f t="array" ref="Q226">INDEX('MRT station dataset'!$C$3:$C$179, MATCH(MIN(SQRT(('MRT station dataset'!$E$3:$E$179-'Resale flat dataset'!O226)^2+('MRT station dataset'!$F$3:$F$179-'Resale flat dataset'!P226)^2)), SQRT(('MRT station dataset'!$E$3:$E$179-'Resale flat dataset'!O226)^2+('MRT station dataset'!$F$3:$F$179-'Resale flat dataset'!P226)^2), 0))</f>
        <v>FERNVALE LRT STATION</v>
      </c>
      <c r="R226" s="38" t="str" cm="1">
        <f t="array" ref="R226">INDEX('Mall Dataset'!$B$3:$B$157, MATCH(MIN(SQRT(('Mall Dataset'!$E$3:$E$157-'Resale flat dataset'!O226)^2+('Mall Dataset'!$F$3:$F$157-'Resale flat dataset'!P226)^2)), SQRT(('Mall Dataset'!$E$3:$E$157-'Resale flat dataset'!O226)^2+('Mall Dataset'!$F$3:$F$157-'Resale flat dataset'!P226)^2), 0))</f>
        <v>The Seletar Mall</v>
      </c>
      <c r="S226" s="38" t="str" cm="1">
        <f t="array" ref="S226">INDEX('Schools dataset'!$B$3:$B$187, MATCH(MIN(SQRT(('Schools dataset'!$J$3:$J$187-'Resale flat dataset'!O226)^2+('Schools dataset'!$K$3:$K$187-'Resale flat dataset'!P226)^2)), SQRT(('Schools dataset'!$J$3:$J$187-'Resale flat dataset'!O226)^2+('Schools dataset'!$K$3:$K$187-'Resale flat dataset'!P226)^2), 0))</f>
        <v>SENGKANG GREEN PRIMARY SCHOOL</v>
      </c>
      <c r="T226" s="39">
        <f>ACOS(COS(RADIANS(90-O226))*COS(RADIANS(90-_xlfn.XLOOKUP(Q226,'MRT station dataset'!$C$3:$C$179,'MRT station dataset'!$E$3:$E$179)))+SIN(RADIANS(90-O226))*SIN(RADIANS(90-_xlfn.XLOOKUP(Q226,'MRT station dataset'!$C$3:$C$179,'MRT station dataset'!$E$3:$E$179)))*COS(RADIANS(P226-_xlfn.XLOOKUP('Resale flat dataset'!Q226,'MRT station dataset'!$C$3:$C$179,'MRT station dataset'!$F$3:$F$179))))*6371*1000</f>
        <v>183.71189499668162</v>
      </c>
      <c r="U226" s="39">
        <f>ACOS(COS(RADIANS(90-O226))*COS(RADIANS(90-_xlfn.XLOOKUP(R226,'Mall Dataset'!$B$3:$B$157,'Mall Dataset'!$E$3:$E$157,,0)))+SIN(RADIANS(90-O226))*SIN(RADIANS(90-_xlfn.XLOOKUP(R226,'Mall Dataset'!$B$3:$B$157,'Mall Dataset'!$E$3:$E$157,,0)))*COS(RADIANS(P226-_xlfn.XLOOKUP(R226,'Mall Dataset'!$B$3:$B$157,'Mall Dataset'!$F$3:$F$157,,0))))*6371*1000</f>
        <v>226.97681710918528</v>
      </c>
      <c r="V226" s="39">
        <f>ACOS(COS(RADIANS(90-O226))*COS(RADIANS(90-_xlfn.XLOOKUP(S226,'Schools dataset'!$B$3:$B$187,'Schools dataset'!$J$3:$J$187,,0)))+SIN(RADIANS(90-O226))*SIN(RADIANS(90-_xlfn.XLOOKUP(S226,'Schools dataset'!$B$3:$B$187,'Schools dataset'!$J$3:$J$187,,0)))*COS(RADIANS(P226-_xlfn.XLOOKUP(S226,'Schools dataset'!$B$3:$B$187,'Schools dataset'!$K$3:$K$187,,0))))*6371*1000</f>
        <v>304.90037270284188</v>
      </c>
      <c r="W226" s="20">
        <f>_xlfn.XLOOKUP(T226,'HDB Recommender'!$P$10:$P$39,'HDB Recommender'!$Q$10:$Q$39,"&gt;30mins",1)</f>
        <v>3</v>
      </c>
      <c r="X226" s="20">
        <f>_xlfn.XLOOKUP(U226,'HDB Recommender'!$P$10:$P$39,'HDB Recommender'!$Q$10:$Q$39,"&gt;30mins",1)</f>
        <v>4</v>
      </c>
      <c r="Y226" s="20">
        <f>_xlfn.XLOOKUP(V226,'HDB Recommender'!$P$10:$P$39,'HDB Recommender'!$Q$10:$Q$39,"&gt;30mins",1)</f>
        <v>5</v>
      </c>
      <c r="Z226" s="39">
        <f t="shared" si="7"/>
        <v>4</v>
      </c>
      <c r="AA226" s="20" t="str">
        <f t="shared" si="6"/>
        <v>Within 1km</v>
      </c>
    </row>
    <row r="227" spans="2:27" hidden="1">
      <c r="B227" s="35" t="s">
        <v>317</v>
      </c>
      <c r="C227" s="35" t="s">
        <v>705</v>
      </c>
      <c r="D227" s="35" t="s">
        <v>20</v>
      </c>
      <c r="E227" s="35"/>
      <c r="F227" s="35" t="s">
        <v>712</v>
      </c>
      <c r="G227" s="35" t="s">
        <v>191</v>
      </c>
      <c r="H227" s="35">
        <v>88</v>
      </c>
      <c r="I227" s="35" t="s">
        <v>713</v>
      </c>
      <c r="J227" s="36">
        <v>2002</v>
      </c>
      <c r="K227" s="39">
        <v>78</v>
      </c>
      <c r="L227" s="37">
        <v>518888</v>
      </c>
      <c r="M227" s="35" t="s">
        <v>714</v>
      </c>
      <c r="N227" s="27">
        <v>541320</v>
      </c>
      <c r="O227" s="38">
        <v>1.3903337002404099</v>
      </c>
      <c r="P227" s="38">
        <v>103.891002827157</v>
      </c>
      <c r="Q227" s="38" t="str" cm="1">
        <f t="array" ref="Q227">INDEX('MRT station dataset'!$C$3:$C$179, MATCH(MIN(SQRT(('MRT station dataset'!$E$3:$E$179-'Resale flat dataset'!O227)^2+('MRT station dataset'!$F$3:$F$179-'Resale flat dataset'!P227)^2)), SQRT(('MRT station dataset'!$E$3:$E$179-'Resale flat dataset'!O227)^2+('MRT station dataset'!$F$3:$F$179-'Resale flat dataset'!P227)^2), 0))</f>
        <v>RENJONG LRT STATION</v>
      </c>
      <c r="R227" s="38" t="str" cm="1">
        <f t="array" ref="R227">INDEX('Mall Dataset'!$B$3:$B$157, MATCH(MIN(SQRT(('Mall Dataset'!$E$3:$E$157-'Resale flat dataset'!O227)^2+('Mall Dataset'!$F$3:$F$157-'Resale flat dataset'!P227)^2)), SQRT(('Mall Dataset'!$E$3:$E$157-'Resale flat dataset'!O227)^2+('Mall Dataset'!$F$3:$F$157-'Resale flat dataset'!P227)^2), 0))</f>
        <v>Compass One</v>
      </c>
      <c r="S227" s="38" t="str" cm="1">
        <f t="array" ref="S227">INDEX('Schools dataset'!$B$3:$B$187, MATCH(MIN(SQRT(('Schools dataset'!$J$3:$J$187-'Resale flat dataset'!O227)^2+('Schools dataset'!$K$3:$K$187-'Resale flat dataset'!P227)^2)), SQRT(('Schools dataset'!$J$3:$J$187-'Resale flat dataset'!O227)^2+('Schools dataset'!$K$3:$K$187-'Resale flat dataset'!P227)^2), 0))</f>
        <v>NAN CHIAU PRIMARY SCHOOL</v>
      </c>
      <c r="T227" s="39">
        <f>ACOS(COS(RADIANS(90-O227))*COS(RADIANS(90-_xlfn.XLOOKUP(Q227,'MRT station dataset'!$C$3:$C$179,'MRT station dataset'!$E$3:$E$179)))+SIN(RADIANS(90-O227))*SIN(RADIANS(90-_xlfn.XLOOKUP(Q227,'MRT station dataset'!$C$3:$C$179,'MRT station dataset'!$E$3:$E$179)))*COS(RADIANS(P227-_xlfn.XLOOKUP('Resale flat dataset'!Q227,'MRT station dataset'!$C$3:$C$179,'MRT station dataset'!$F$3:$F$179))))*6371*1000</f>
        <v>407.89694024214771</v>
      </c>
      <c r="U227" s="39">
        <f>ACOS(COS(RADIANS(90-O227))*COS(RADIANS(90-_xlfn.XLOOKUP(R227,'Mall Dataset'!$B$3:$B$157,'Mall Dataset'!$E$3:$E$157,,0)))+SIN(RADIANS(90-O227))*SIN(RADIANS(90-_xlfn.XLOOKUP(R227,'Mall Dataset'!$B$3:$B$157,'Mall Dataset'!$E$3:$E$157,,0)))*COS(RADIANS(P227-_xlfn.XLOOKUP(R227,'Mall Dataset'!$B$3:$B$157,'Mall Dataset'!$F$3:$F$157,,0))))*6371*1000</f>
        <v>490.9359261362074</v>
      </c>
      <c r="V227" s="39">
        <f>ACOS(COS(RADIANS(90-O227))*COS(RADIANS(90-_xlfn.XLOOKUP(S227,'Schools dataset'!$B$3:$B$187,'Schools dataset'!$J$3:$J$187,,0)))+SIN(RADIANS(90-O227))*SIN(RADIANS(90-_xlfn.XLOOKUP(S227,'Schools dataset'!$B$3:$B$187,'Schools dataset'!$J$3:$J$187,,0)))*COS(RADIANS(P227-_xlfn.XLOOKUP(S227,'Schools dataset'!$B$3:$B$187,'Schools dataset'!$K$3:$K$187,,0))))*6371*1000</f>
        <v>192.67073699388203</v>
      </c>
      <c r="W227" s="20">
        <f>_xlfn.XLOOKUP(T227,'HDB Recommender'!$P$10:$P$39,'HDB Recommender'!$Q$10:$Q$39,"&gt;30mins",1)</f>
        <v>6</v>
      </c>
      <c r="X227" s="20">
        <f>_xlfn.XLOOKUP(U227,'HDB Recommender'!$P$10:$P$39,'HDB Recommender'!$Q$10:$Q$39,"&gt;30mins",1)</f>
        <v>7</v>
      </c>
      <c r="Y227" s="20">
        <f>_xlfn.XLOOKUP(V227,'HDB Recommender'!$P$10:$P$39,'HDB Recommender'!$Q$10:$Q$39,"&gt;30mins",1)</f>
        <v>3</v>
      </c>
      <c r="Z227" s="39">
        <f t="shared" si="7"/>
        <v>5.333333333333333</v>
      </c>
      <c r="AA227" s="20" t="str">
        <f t="shared" si="6"/>
        <v>Within 1km</v>
      </c>
    </row>
    <row r="228" spans="2:27" hidden="1">
      <c r="B228" s="35" t="s">
        <v>317</v>
      </c>
      <c r="C228" s="35" t="s">
        <v>705</v>
      </c>
      <c r="D228" s="35" t="s">
        <v>20</v>
      </c>
      <c r="E228" s="35"/>
      <c r="F228" s="35" t="s">
        <v>715</v>
      </c>
      <c r="G228" s="35" t="s">
        <v>323</v>
      </c>
      <c r="H228" s="35">
        <v>90</v>
      </c>
      <c r="I228" s="35" t="s">
        <v>335</v>
      </c>
      <c r="J228" s="36">
        <v>2001</v>
      </c>
      <c r="K228" s="39">
        <v>76.8333333333333</v>
      </c>
      <c r="L228" s="37">
        <v>515000</v>
      </c>
      <c r="M228" s="35" t="s">
        <v>716</v>
      </c>
      <c r="N228" s="27">
        <v>541302</v>
      </c>
      <c r="O228" s="38">
        <v>1.38756341803929</v>
      </c>
      <c r="P228" s="38">
        <v>103.891211046862</v>
      </c>
      <c r="Q228" s="38" t="str" cm="1">
        <f t="array" ref="Q228">INDEX('MRT station dataset'!$C$3:$C$179, MATCH(MIN(SQRT(('MRT station dataset'!$E$3:$E$179-'Resale flat dataset'!O228)^2+('MRT station dataset'!$F$3:$F$179-'Resale flat dataset'!P228)^2)), SQRT(('MRT station dataset'!$E$3:$E$179-'Resale flat dataset'!O228)^2+('MRT station dataset'!$F$3:$F$179-'Resale flat dataset'!P228)^2), 0))</f>
        <v>RENJONG LRT STATION</v>
      </c>
      <c r="R228" s="38" t="str" cm="1">
        <f t="array" ref="R228">INDEX('Mall Dataset'!$B$3:$B$157, MATCH(MIN(SQRT(('Mall Dataset'!$E$3:$E$157-'Resale flat dataset'!O228)^2+('Mall Dataset'!$F$3:$F$157-'Resale flat dataset'!P228)^2)), SQRT(('Mall Dataset'!$E$3:$E$157-'Resale flat dataset'!O228)^2+('Mall Dataset'!$F$3:$F$157-'Resale flat dataset'!P228)^2), 0))</f>
        <v>Compass One</v>
      </c>
      <c r="S228" s="38" t="str" cm="1">
        <f t="array" ref="S228">INDEX('Schools dataset'!$B$3:$B$187, MATCH(MIN(SQRT(('Schools dataset'!$J$3:$J$187-'Resale flat dataset'!O228)^2+('Schools dataset'!$K$3:$K$187-'Resale flat dataset'!P228)^2)), SQRT(('Schools dataset'!$J$3:$J$187-'Resale flat dataset'!O228)^2+('Schools dataset'!$K$3:$K$187-'Resale flat dataset'!P228)^2), 0))</f>
        <v>PALM VIEW PRIMARY SCHOOL</v>
      </c>
      <c r="T228" s="39">
        <f>ACOS(COS(RADIANS(90-O228))*COS(RADIANS(90-_xlfn.XLOOKUP(Q228,'MRT station dataset'!$C$3:$C$179,'MRT station dataset'!$E$3:$E$179)))+SIN(RADIANS(90-O228))*SIN(RADIANS(90-_xlfn.XLOOKUP(Q228,'MRT station dataset'!$C$3:$C$179,'MRT station dataset'!$E$3:$E$179)))*COS(RADIANS(P228-_xlfn.XLOOKUP('Resale flat dataset'!Q228,'MRT station dataset'!$C$3:$C$179,'MRT station dataset'!$F$3:$F$179))))*6371*1000</f>
        <v>124.35860918291985</v>
      </c>
      <c r="U228" s="39">
        <f>ACOS(COS(RADIANS(90-O228))*COS(RADIANS(90-_xlfn.XLOOKUP(R228,'Mall Dataset'!$B$3:$B$157,'Mall Dataset'!$E$3:$E$157,,0)))+SIN(RADIANS(90-O228))*SIN(RADIANS(90-_xlfn.XLOOKUP(R228,'Mall Dataset'!$B$3:$B$157,'Mall Dataset'!$E$3:$E$157,,0)))*COS(RADIANS(P228-_xlfn.XLOOKUP(R228,'Mall Dataset'!$B$3:$B$157,'Mall Dataset'!$F$3:$F$157,,0))))*6371*1000</f>
        <v>658.25680062971492</v>
      </c>
      <c r="V228" s="39">
        <f>ACOS(COS(RADIANS(90-O228))*COS(RADIANS(90-_xlfn.XLOOKUP(S228,'Schools dataset'!$B$3:$B$187,'Schools dataset'!$J$3:$J$187,,0)))+SIN(RADIANS(90-O228))*SIN(RADIANS(90-_xlfn.XLOOKUP(S228,'Schools dataset'!$B$3:$B$187,'Schools dataset'!$J$3:$J$187,,0)))*COS(RADIANS(P228-_xlfn.XLOOKUP(S228,'Schools dataset'!$B$3:$B$187,'Schools dataset'!$K$3:$K$187,,0))))*6371*1000</f>
        <v>422.19642967606342</v>
      </c>
      <c r="W228" s="20">
        <f>_xlfn.XLOOKUP(T228,'HDB Recommender'!$P$10:$P$39,'HDB Recommender'!$Q$10:$Q$39,"&gt;30mins",1)</f>
        <v>2</v>
      </c>
      <c r="X228" s="20">
        <f>_xlfn.XLOOKUP(U228,'HDB Recommender'!$P$10:$P$39,'HDB Recommender'!$Q$10:$Q$39,"&gt;30mins",1)</f>
        <v>9</v>
      </c>
      <c r="Y228" s="20">
        <f>_xlfn.XLOOKUP(V228,'HDB Recommender'!$P$10:$P$39,'HDB Recommender'!$Q$10:$Q$39,"&gt;30mins",1)</f>
        <v>6</v>
      </c>
      <c r="Z228" s="39">
        <f t="shared" si="7"/>
        <v>5.666666666666667</v>
      </c>
      <c r="AA228" s="20" t="str">
        <f t="shared" si="6"/>
        <v>Within 1km</v>
      </c>
    </row>
    <row r="229" spans="2:27" hidden="1">
      <c r="B229" s="35" t="s">
        <v>317</v>
      </c>
      <c r="C229" s="35" t="s">
        <v>705</v>
      </c>
      <c r="D229" s="35" t="s">
        <v>20</v>
      </c>
      <c r="E229" s="35"/>
      <c r="F229" s="35" t="s">
        <v>715</v>
      </c>
      <c r="G229" s="35" t="s">
        <v>323</v>
      </c>
      <c r="H229" s="35">
        <v>90</v>
      </c>
      <c r="I229" s="35" t="s">
        <v>335</v>
      </c>
      <c r="J229" s="36">
        <v>2002</v>
      </c>
      <c r="K229" s="39">
        <v>77.3333333333333</v>
      </c>
      <c r="L229" s="37">
        <v>494000</v>
      </c>
      <c r="M229" s="35" t="s">
        <v>717</v>
      </c>
      <c r="N229" s="27">
        <v>543306</v>
      </c>
      <c r="O229" s="38">
        <v>1.38988769881462</v>
      </c>
      <c r="P229" s="38">
        <v>103.888114475259</v>
      </c>
      <c r="Q229" s="38" t="str" cm="1">
        <f t="array" ref="Q229">INDEX('MRT station dataset'!$C$3:$C$179, MATCH(MIN(SQRT(('MRT station dataset'!$E$3:$E$179-'Resale flat dataset'!O229)^2+('MRT station dataset'!$F$3:$F$179-'Resale flat dataset'!P229)^2)), SQRT(('MRT station dataset'!$E$3:$E$179-'Resale flat dataset'!O229)^2+('MRT station dataset'!$F$3:$F$179-'Resale flat dataset'!P229)^2), 0))</f>
        <v>TONGKANG LRT STATION</v>
      </c>
      <c r="R229" s="38" t="str" cm="1">
        <f t="array" ref="R229">INDEX('Mall Dataset'!$B$3:$B$157, MATCH(MIN(SQRT(('Mall Dataset'!$E$3:$E$157-'Resale flat dataset'!O229)^2+('Mall Dataset'!$F$3:$F$157-'Resale flat dataset'!P229)^2)), SQRT(('Mall Dataset'!$E$3:$E$157-'Resale flat dataset'!O229)^2+('Mall Dataset'!$F$3:$F$157-'Resale flat dataset'!P229)^2), 0))</f>
        <v>Compass One</v>
      </c>
      <c r="S229" s="38" t="str" cm="1">
        <f t="array" ref="S229">INDEX('Schools dataset'!$B$3:$B$187, MATCH(MIN(SQRT(('Schools dataset'!$J$3:$J$187-'Resale flat dataset'!O229)^2+('Schools dataset'!$K$3:$K$187-'Resale flat dataset'!P229)^2)), SQRT(('Schools dataset'!$J$3:$J$187-'Resale flat dataset'!O229)^2+('Schools dataset'!$K$3:$K$187-'Resale flat dataset'!P229)^2), 0))</f>
        <v>ANCHOR GREEN PRIMARY SCHOOL</v>
      </c>
      <c r="T229" s="39">
        <f>ACOS(COS(RADIANS(90-O229))*COS(RADIANS(90-_xlfn.XLOOKUP(Q229,'MRT station dataset'!$C$3:$C$179,'MRT station dataset'!$E$3:$E$179)))+SIN(RADIANS(90-O229))*SIN(RADIANS(90-_xlfn.XLOOKUP(Q229,'MRT station dataset'!$C$3:$C$179,'MRT station dataset'!$E$3:$E$179)))*COS(RADIANS(P229-_xlfn.XLOOKUP('Resale flat dataset'!Q229,'MRT station dataset'!$C$3:$C$179,'MRT station dataset'!$F$3:$F$179))))*6371*1000</f>
        <v>265.45179161221523</v>
      </c>
      <c r="U229" s="39">
        <f>ACOS(COS(RADIANS(90-O229))*COS(RADIANS(90-_xlfn.XLOOKUP(R229,'Mall Dataset'!$B$3:$B$157,'Mall Dataset'!$E$3:$E$157,,0)))+SIN(RADIANS(90-O229))*SIN(RADIANS(90-_xlfn.XLOOKUP(R229,'Mall Dataset'!$B$3:$B$157,'Mall Dataset'!$E$3:$E$157,,0)))*COS(RADIANS(P229-_xlfn.XLOOKUP(R229,'Mall Dataset'!$B$3:$B$157,'Mall Dataset'!$F$3:$F$157,,0))))*6371*1000</f>
        <v>809.87411477239448</v>
      </c>
      <c r="V229" s="39">
        <f>ACOS(COS(RADIANS(90-O229))*COS(RADIANS(90-_xlfn.XLOOKUP(S229,'Schools dataset'!$B$3:$B$187,'Schools dataset'!$J$3:$J$187,,0)))+SIN(RADIANS(90-O229))*SIN(RADIANS(90-_xlfn.XLOOKUP(S229,'Schools dataset'!$B$3:$B$187,'Schools dataset'!$J$3:$J$187,,0)))*COS(RADIANS(P229-_xlfn.XLOOKUP(S229,'Schools dataset'!$B$3:$B$187,'Schools dataset'!$K$3:$K$187,,0))))*6371*1000</f>
        <v>133.28300498988543</v>
      </c>
      <c r="W229" s="20">
        <f>_xlfn.XLOOKUP(T229,'HDB Recommender'!$P$10:$P$39,'HDB Recommender'!$Q$10:$Q$39,"&gt;30mins",1)</f>
        <v>4</v>
      </c>
      <c r="X229" s="20">
        <f>_xlfn.XLOOKUP(U229,'HDB Recommender'!$P$10:$P$39,'HDB Recommender'!$Q$10:$Q$39,"&gt;30mins",1)</f>
        <v>11</v>
      </c>
      <c r="Y229" s="20">
        <f>_xlfn.XLOOKUP(V229,'HDB Recommender'!$P$10:$P$39,'HDB Recommender'!$Q$10:$Q$39,"&gt;30mins",1)</f>
        <v>2</v>
      </c>
      <c r="Z229" s="39">
        <f t="shared" si="7"/>
        <v>5.666666666666667</v>
      </c>
      <c r="AA229" s="20" t="str">
        <f t="shared" si="6"/>
        <v>Within 1km</v>
      </c>
    </row>
    <row r="230" spans="2:27" hidden="1">
      <c r="B230" s="35" t="s">
        <v>317</v>
      </c>
      <c r="C230" s="35" t="s">
        <v>705</v>
      </c>
      <c r="D230" s="35" t="s">
        <v>20</v>
      </c>
      <c r="E230" s="35"/>
      <c r="F230" s="35" t="s">
        <v>718</v>
      </c>
      <c r="G230" s="35" t="s">
        <v>189</v>
      </c>
      <c r="H230" s="35">
        <v>90</v>
      </c>
      <c r="I230" s="35" t="s">
        <v>335</v>
      </c>
      <c r="J230" s="36">
        <v>2001</v>
      </c>
      <c r="K230" s="39">
        <v>77.1666666666666</v>
      </c>
      <c r="L230" s="37">
        <v>515000</v>
      </c>
      <c r="M230" s="35" t="s">
        <v>719</v>
      </c>
      <c r="N230" s="27">
        <v>541307</v>
      </c>
      <c r="O230" s="38">
        <v>1.3893975643621601</v>
      </c>
      <c r="P230" s="38">
        <v>103.888042664458</v>
      </c>
      <c r="Q230" s="38" t="str" cm="1">
        <f t="array" ref="Q230">INDEX('MRT station dataset'!$C$3:$C$179, MATCH(MIN(SQRT(('MRT station dataset'!$E$3:$E$179-'Resale flat dataset'!O230)^2+('MRT station dataset'!$F$3:$F$179-'Resale flat dataset'!P230)^2)), SQRT(('MRT station dataset'!$E$3:$E$179-'Resale flat dataset'!O230)^2+('MRT station dataset'!$F$3:$F$179-'Resale flat dataset'!P230)^2), 0))</f>
        <v>TONGKANG LRT STATION</v>
      </c>
      <c r="R230" s="38" t="str" cm="1">
        <f t="array" ref="R230">INDEX('Mall Dataset'!$B$3:$B$157, MATCH(MIN(SQRT(('Mall Dataset'!$E$3:$E$157-'Resale flat dataset'!O230)^2+('Mall Dataset'!$F$3:$F$157-'Resale flat dataset'!P230)^2)), SQRT(('Mall Dataset'!$E$3:$E$157-'Resale flat dataset'!O230)^2+('Mall Dataset'!$F$3:$F$157-'Resale flat dataset'!P230)^2), 0))</f>
        <v>Compass One</v>
      </c>
      <c r="S230" s="38" t="str" cm="1">
        <f t="array" ref="S230">INDEX('Schools dataset'!$B$3:$B$187, MATCH(MIN(SQRT(('Schools dataset'!$J$3:$J$187-'Resale flat dataset'!O230)^2+('Schools dataset'!$K$3:$K$187-'Resale flat dataset'!P230)^2)), SQRT(('Schools dataset'!$J$3:$J$187-'Resale flat dataset'!O230)^2+('Schools dataset'!$K$3:$K$187-'Resale flat dataset'!P230)^2), 0))</f>
        <v>ANCHOR GREEN PRIMARY SCHOOL</v>
      </c>
      <c r="T230" s="39">
        <f>ACOS(COS(RADIANS(90-O230))*COS(RADIANS(90-_xlfn.XLOOKUP(Q230,'MRT station dataset'!$C$3:$C$179,'MRT station dataset'!$E$3:$E$179)))+SIN(RADIANS(90-O230))*SIN(RADIANS(90-_xlfn.XLOOKUP(Q230,'MRT station dataset'!$C$3:$C$179,'MRT station dataset'!$E$3:$E$179)))*COS(RADIANS(P230-_xlfn.XLOOKUP('Resale flat dataset'!Q230,'MRT station dataset'!$C$3:$C$179,'MRT station dataset'!$F$3:$F$179))))*6371*1000</f>
        <v>249.53554807835988</v>
      </c>
      <c r="U230" s="39">
        <f>ACOS(COS(RADIANS(90-O230))*COS(RADIANS(90-_xlfn.XLOOKUP(R230,'Mall Dataset'!$B$3:$B$157,'Mall Dataset'!$E$3:$E$157,,0)))+SIN(RADIANS(90-O230))*SIN(RADIANS(90-_xlfn.XLOOKUP(R230,'Mall Dataset'!$B$3:$B$157,'Mall Dataset'!$E$3:$E$157,,0)))*COS(RADIANS(P230-_xlfn.XLOOKUP(R230,'Mall Dataset'!$B$3:$B$157,'Mall Dataset'!$F$3:$F$157,,0))))*6371*1000</f>
        <v>835.17743612508059</v>
      </c>
      <c r="V230" s="39">
        <f>ACOS(COS(RADIANS(90-O230))*COS(RADIANS(90-_xlfn.XLOOKUP(S230,'Schools dataset'!$B$3:$B$187,'Schools dataset'!$J$3:$J$187,,0)))+SIN(RADIANS(90-O230))*SIN(RADIANS(90-_xlfn.XLOOKUP(S230,'Schools dataset'!$B$3:$B$187,'Schools dataset'!$J$3:$J$187,,0)))*COS(RADIANS(P230-_xlfn.XLOOKUP(S230,'Schools dataset'!$B$3:$B$187,'Schools dataset'!$K$3:$K$187,,0))))*6371*1000</f>
        <v>164.23035524078068</v>
      </c>
      <c r="W230" s="20">
        <f>_xlfn.XLOOKUP(T230,'HDB Recommender'!$P$10:$P$39,'HDB Recommender'!$Q$10:$Q$39,"&gt;30mins",1)</f>
        <v>4</v>
      </c>
      <c r="X230" s="20">
        <f>_xlfn.XLOOKUP(U230,'HDB Recommender'!$P$10:$P$39,'HDB Recommender'!$Q$10:$Q$39,"&gt;30mins",1)</f>
        <v>12</v>
      </c>
      <c r="Y230" s="20">
        <f>_xlfn.XLOOKUP(V230,'HDB Recommender'!$P$10:$P$39,'HDB Recommender'!$Q$10:$Q$39,"&gt;30mins",1)</f>
        <v>3</v>
      </c>
      <c r="Z230" s="39">
        <f t="shared" si="7"/>
        <v>6.333333333333333</v>
      </c>
      <c r="AA230" s="20" t="str">
        <f t="shared" si="6"/>
        <v>Within 1km</v>
      </c>
    </row>
    <row r="231" spans="2:27" hidden="1">
      <c r="B231" s="35" t="s">
        <v>317</v>
      </c>
      <c r="C231" s="35" t="s">
        <v>705</v>
      </c>
      <c r="D231" s="35" t="s">
        <v>20</v>
      </c>
      <c r="E231" s="35"/>
      <c r="F231" s="35" t="s">
        <v>720</v>
      </c>
      <c r="G231" s="35" t="s">
        <v>323</v>
      </c>
      <c r="H231" s="35">
        <v>96</v>
      </c>
      <c r="I231" s="35" t="s">
        <v>389</v>
      </c>
      <c r="J231" s="36">
        <v>2017</v>
      </c>
      <c r="K231" s="39">
        <v>93.1666666666666</v>
      </c>
      <c r="L231" s="37">
        <v>638000</v>
      </c>
      <c r="M231" s="35" t="s">
        <v>721</v>
      </c>
      <c r="N231" s="27">
        <v>541287</v>
      </c>
      <c r="O231" s="38">
        <v>1.39843751923085</v>
      </c>
      <c r="P231" s="38">
        <v>103.895957792826</v>
      </c>
      <c r="Q231" s="38" t="str" cm="1">
        <f t="array" ref="Q231">INDEX('MRT station dataset'!$C$3:$C$179, MATCH(MIN(SQRT(('MRT station dataset'!$E$3:$E$179-'Resale flat dataset'!O231)^2+('MRT station dataset'!$F$3:$F$179-'Resale flat dataset'!P231)^2)), SQRT(('MRT station dataset'!$E$3:$E$179-'Resale flat dataset'!O231)^2+('MRT station dataset'!$F$3:$F$179-'Resale flat dataset'!P231)^2), 0))</f>
        <v>CHENG LIM LRT STATION</v>
      </c>
      <c r="R231" s="38" t="str" cm="1">
        <f t="array" ref="R231">INDEX('Mall Dataset'!$B$3:$B$157, MATCH(MIN(SQRT(('Mall Dataset'!$E$3:$E$157-'Resale flat dataset'!O231)^2+('Mall Dataset'!$F$3:$F$157-'Resale flat dataset'!P231)^2)), SQRT(('Mall Dataset'!$E$3:$E$157-'Resale flat dataset'!O231)^2+('Mall Dataset'!$F$3:$F$157-'Resale flat dataset'!P231)^2), 0))</f>
        <v>Compass One</v>
      </c>
      <c r="S231" s="38" t="str" cm="1">
        <f t="array" ref="S231">INDEX('Schools dataset'!$B$3:$B$187, MATCH(MIN(SQRT(('Schools dataset'!$J$3:$J$187-'Resale flat dataset'!O231)^2+('Schools dataset'!$K$3:$K$187-'Resale flat dataset'!P231)^2)), SQRT(('Schools dataset'!$J$3:$J$187-'Resale flat dataset'!O231)^2+('Schools dataset'!$K$3:$K$187-'Resale flat dataset'!P231)^2), 0))</f>
        <v>PUNGGOL GREEN PRIMARY SCHOOL</v>
      </c>
      <c r="T231" s="39">
        <f>ACOS(COS(RADIANS(90-O231))*COS(RADIANS(90-_xlfn.XLOOKUP(Q231,'MRT station dataset'!$C$3:$C$179,'MRT station dataset'!$E$3:$E$179)))+SIN(RADIANS(90-O231))*SIN(RADIANS(90-_xlfn.XLOOKUP(Q231,'MRT station dataset'!$C$3:$C$179,'MRT station dataset'!$E$3:$E$179)))*COS(RADIANS(P231-_xlfn.XLOOKUP('Resale flat dataset'!Q231,'MRT station dataset'!$C$3:$C$179,'MRT station dataset'!$F$3:$F$179))))*6371*1000</f>
        <v>337.67922332839714</v>
      </c>
      <c r="U231" s="39">
        <f>ACOS(COS(RADIANS(90-O231))*COS(RADIANS(90-_xlfn.XLOOKUP(R231,'Mall Dataset'!$B$3:$B$157,'Mall Dataset'!$E$3:$E$157,,0)))+SIN(RADIANS(90-O231))*SIN(RADIANS(90-_xlfn.XLOOKUP(R231,'Mall Dataset'!$B$3:$B$157,'Mall Dataset'!$E$3:$E$157,,0)))*COS(RADIANS(P231-_xlfn.XLOOKUP(R231,'Mall Dataset'!$B$3:$B$157,'Mall Dataset'!$F$3:$F$157,,0))))*6371*1000</f>
        <v>716.72891949871791</v>
      </c>
      <c r="V231" s="39">
        <f>ACOS(COS(RADIANS(90-O231))*COS(RADIANS(90-_xlfn.XLOOKUP(S231,'Schools dataset'!$B$3:$B$187,'Schools dataset'!$J$3:$J$187,,0)))+SIN(RADIANS(90-O231))*SIN(RADIANS(90-_xlfn.XLOOKUP(S231,'Schools dataset'!$B$3:$B$187,'Schools dataset'!$J$3:$J$187,,0)))*COS(RADIANS(P231-_xlfn.XLOOKUP(S231,'Schools dataset'!$B$3:$B$187,'Schools dataset'!$K$3:$K$187,,0))))*6371*1000</f>
        <v>479.41715450380042</v>
      </c>
      <c r="W231" s="20">
        <f>_xlfn.XLOOKUP(T231,'HDB Recommender'!$P$10:$P$39,'HDB Recommender'!$Q$10:$Q$39,"&gt;30mins",1)</f>
        <v>5</v>
      </c>
      <c r="X231" s="20">
        <f>_xlfn.XLOOKUP(U231,'HDB Recommender'!$P$10:$P$39,'HDB Recommender'!$Q$10:$Q$39,"&gt;30mins",1)</f>
        <v>10</v>
      </c>
      <c r="Y231" s="20">
        <f>_xlfn.XLOOKUP(V231,'HDB Recommender'!$P$10:$P$39,'HDB Recommender'!$Q$10:$Q$39,"&gt;30mins",1)</f>
        <v>7</v>
      </c>
      <c r="Z231" s="39">
        <f t="shared" si="7"/>
        <v>7.333333333333333</v>
      </c>
      <c r="AA231" s="20" t="str">
        <f t="shared" si="6"/>
        <v>Within 1km</v>
      </c>
    </row>
    <row r="232" spans="2:27" hidden="1">
      <c r="B232" s="35" t="s">
        <v>317</v>
      </c>
      <c r="C232" s="35" t="s">
        <v>705</v>
      </c>
      <c r="D232" s="35" t="s">
        <v>20</v>
      </c>
      <c r="E232" s="35"/>
      <c r="F232" s="35" t="s">
        <v>722</v>
      </c>
      <c r="G232" s="35" t="s">
        <v>349</v>
      </c>
      <c r="H232" s="35">
        <v>92</v>
      </c>
      <c r="I232" s="35" t="s">
        <v>389</v>
      </c>
      <c r="J232" s="36">
        <v>2017</v>
      </c>
      <c r="K232" s="39">
        <v>92.6666666666666</v>
      </c>
      <c r="L232" s="37">
        <v>618000</v>
      </c>
      <c r="M232" s="35" t="s">
        <v>723</v>
      </c>
      <c r="N232" s="27">
        <v>542215</v>
      </c>
      <c r="O232" s="38">
        <v>1.39000944345961</v>
      </c>
      <c r="P232" s="38">
        <v>103.893454183017</v>
      </c>
      <c r="Q232" s="38" t="str" cm="1">
        <f t="array" ref="Q232">INDEX('MRT station dataset'!$C$3:$C$179, MATCH(MIN(SQRT(('MRT station dataset'!$E$3:$E$179-'Resale flat dataset'!O232)^2+('MRT station dataset'!$F$3:$F$179-'Resale flat dataset'!P232)^2)), SQRT(('MRT station dataset'!$E$3:$E$179-'Resale flat dataset'!O232)^2+('MRT station dataset'!$F$3:$F$179-'Resale flat dataset'!P232)^2), 0))</f>
        <v>SENGKANG LRT STATION</v>
      </c>
      <c r="R232" s="38" t="str" cm="1">
        <f t="array" ref="R232">INDEX('Mall Dataset'!$B$3:$B$157, MATCH(MIN(SQRT(('Mall Dataset'!$E$3:$E$157-'Resale flat dataset'!O232)^2+('Mall Dataset'!$F$3:$F$157-'Resale flat dataset'!P232)^2)), SQRT(('Mall Dataset'!$E$3:$E$157-'Resale flat dataset'!O232)^2+('Mall Dataset'!$F$3:$F$157-'Resale flat dataset'!P232)^2), 0))</f>
        <v>Compass One</v>
      </c>
      <c r="S232" s="38" t="str" cm="1">
        <f t="array" ref="S232">INDEX('Schools dataset'!$B$3:$B$187, MATCH(MIN(SQRT(('Schools dataset'!$J$3:$J$187-'Resale flat dataset'!O232)^2+('Schools dataset'!$K$3:$K$187-'Resale flat dataset'!P232)^2)), SQRT(('Schools dataset'!$J$3:$J$187-'Resale flat dataset'!O232)^2+('Schools dataset'!$K$3:$K$187-'Resale flat dataset'!P232)^2), 0))</f>
        <v>NAN CHIAU PRIMARY SCHOOL</v>
      </c>
      <c r="T232" s="39">
        <f>ACOS(COS(RADIANS(90-O232))*COS(RADIANS(90-_xlfn.XLOOKUP(Q232,'MRT station dataset'!$C$3:$C$179,'MRT station dataset'!$E$3:$E$179)))+SIN(RADIANS(90-O232))*SIN(RADIANS(90-_xlfn.XLOOKUP(Q232,'MRT station dataset'!$C$3:$C$179,'MRT station dataset'!$E$3:$E$179)))*COS(RADIANS(P232-_xlfn.XLOOKUP('Resale flat dataset'!Q232,'MRT station dataset'!$C$3:$C$179,'MRT station dataset'!$F$3:$F$179))))*6371*1000</f>
        <v>279.40351725916315</v>
      </c>
      <c r="U232" s="39">
        <f>ACOS(COS(RADIANS(90-O232))*COS(RADIANS(90-_xlfn.XLOOKUP(R232,'Mall Dataset'!$B$3:$B$157,'Mall Dataset'!$E$3:$E$157,,0)))+SIN(RADIANS(90-O232))*SIN(RADIANS(90-_xlfn.XLOOKUP(R232,'Mall Dataset'!$B$3:$B$157,'Mall Dataset'!$E$3:$E$157,,0)))*COS(RADIANS(P232-_xlfn.XLOOKUP(R232,'Mall Dataset'!$B$3:$B$157,'Mall Dataset'!$F$3:$F$157,,0))))*6371*1000</f>
        <v>289.70034670576928</v>
      </c>
      <c r="V232" s="39">
        <f>ACOS(COS(RADIANS(90-O232))*COS(RADIANS(90-_xlfn.XLOOKUP(S232,'Schools dataset'!$B$3:$B$187,'Schools dataset'!$J$3:$J$187,,0)))+SIN(RADIANS(90-O232))*SIN(RADIANS(90-_xlfn.XLOOKUP(S232,'Schools dataset'!$B$3:$B$187,'Schools dataset'!$J$3:$J$187,,0)))*COS(RADIANS(P232-_xlfn.XLOOKUP(S232,'Schools dataset'!$B$3:$B$187,'Schools dataset'!$K$3:$K$187,,0))))*6371*1000</f>
        <v>362.31597216575341</v>
      </c>
      <c r="W232" s="20">
        <f>_xlfn.XLOOKUP(T232,'HDB Recommender'!$P$10:$P$39,'HDB Recommender'!$Q$10:$Q$39,"&gt;30mins",1)</f>
        <v>4</v>
      </c>
      <c r="X232" s="20">
        <f>_xlfn.XLOOKUP(U232,'HDB Recommender'!$P$10:$P$39,'HDB Recommender'!$Q$10:$Q$39,"&gt;30mins",1)</f>
        <v>4</v>
      </c>
      <c r="Y232" s="20">
        <f>_xlfn.XLOOKUP(V232,'HDB Recommender'!$P$10:$P$39,'HDB Recommender'!$Q$10:$Q$39,"&gt;30mins",1)</f>
        <v>5</v>
      </c>
      <c r="Z232" s="39">
        <f t="shared" si="7"/>
        <v>4.333333333333333</v>
      </c>
      <c r="AA232" s="20" t="str">
        <f t="shared" si="6"/>
        <v>Within 1km</v>
      </c>
    </row>
    <row r="233" spans="2:27" hidden="1">
      <c r="B233" s="35" t="s">
        <v>317</v>
      </c>
      <c r="C233" s="35" t="s">
        <v>705</v>
      </c>
      <c r="D233" s="35" t="s">
        <v>20</v>
      </c>
      <c r="E233" s="35"/>
      <c r="F233" s="35" t="s">
        <v>722</v>
      </c>
      <c r="G233" s="35" t="s">
        <v>346</v>
      </c>
      <c r="H233" s="35">
        <v>92</v>
      </c>
      <c r="I233" s="35" t="s">
        <v>389</v>
      </c>
      <c r="J233" s="36">
        <v>2017</v>
      </c>
      <c r="K233" s="39">
        <v>92.75</v>
      </c>
      <c r="L233" s="37">
        <v>793000</v>
      </c>
      <c r="M233" s="35" t="s">
        <v>724</v>
      </c>
      <c r="N233" s="27">
        <v>543217</v>
      </c>
      <c r="O233" s="38">
        <v>1.3898359900692601</v>
      </c>
      <c r="P233" s="38">
        <v>103.894154149578</v>
      </c>
      <c r="Q233" s="38" t="str" cm="1">
        <f t="array" ref="Q233">INDEX('MRT station dataset'!$C$3:$C$179, MATCH(MIN(SQRT(('MRT station dataset'!$E$3:$E$179-'Resale flat dataset'!O233)^2+('MRT station dataset'!$F$3:$F$179-'Resale flat dataset'!P233)^2)), SQRT(('MRT station dataset'!$E$3:$E$179-'Resale flat dataset'!O233)^2+('MRT station dataset'!$F$3:$F$179-'Resale flat dataset'!P233)^2), 0))</f>
        <v>SENGKANG LRT STATION</v>
      </c>
      <c r="R233" s="38" t="str" cm="1">
        <f t="array" ref="R233">INDEX('Mall Dataset'!$B$3:$B$157, MATCH(MIN(SQRT(('Mall Dataset'!$E$3:$E$157-'Resale flat dataset'!O233)^2+('Mall Dataset'!$F$3:$F$157-'Resale flat dataset'!P233)^2)), SQRT(('Mall Dataset'!$E$3:$E$157-'Resale flat dataset'!O233)^2+('Mall Dataset'!$F$3:$F$157-'Resale flat dataset'!P233)^2), 0))</f>
        <v>Compass One</v>
      </c>
      <c r="S233" s="38" t="str" cm="1">
        <f t="array" ref="S233">INDEX('Schools dataset'!$B$3:$B$187, MATCH(MIN(SQRT(('Schools dataset'!$J$3:$J$187-'Resale flat dataset'!O233)^2+('Schools dataset'!$K$3:$K$187-'Resale flat dataset'!P233)^2)), SQRT(('Schools dataset'!$J$3:$J$187-'Resale flat dataset'!O233)^2+('Schools dataset'!$K$3:$K$187-'Resale flat dataset'!P233)^2), 0))</f>
        <v>NAN CHIAU PRIMARY SCHOOL</v>
      </c>
      <c r="T233" s="39">
        <f>ACOS(COS(RADIANS(90-O233))*COS(RADIANS(90-_xlfn.XLOOKUP(Q233,'MRT station dataset'!$C$3:$C$179,'MRT station dataset'!$E$3:$E$179)))+SIN(RADIANS(90-O233))*SIN(RADIANS(90-_xlfn.XLOOKUP(Q233,'MRT station dataset'!$C$3:$C$179,'MRT station dataset'!$E$3:$E$179)))*COS(RADIANS(P233-_xlfn.XLOOKUP('Resale flat dataset'!Q233,'MRT station dataset'!$C$3:$C$179,'MRT station dataset'!$F$3:$F$179))))*6371*1000</f>
        <v>240.11308370871109</v>
      </c>
      <c r="U233" s="39">
        <f>ACOS(COS(RADIANS(90-O233))*COS(RADIANS(90-_xlfn.XLOOKUP(R233,'Mall Dataset'!$B$3:$B$157,'Mall Dataset'!$E$3:$E$157,,0)))+SIN(RADIANS(90-O233))*SIN(RADIANS(90-_xlfn.XLOOKUP(R233,'Mall Dataset'!$B$3:$B$157,'Mall Dataset'!$E$3:$E$157,,0)))*COS(RADIANS(P233-_xlfn.XLOOKUP(R233,'Mall Dataset'!$B$3:$B$157,'Mall Dataset'!$F$3:$F$157,,0))))*6371*1000</f>
        <v>266.75300060223293</v>
      </c>
      <c r="V233" s="39">
        <f>ACOS(COS(RADIANS(90-O233))*COS(RADIANS(90-_xlfn.XLOOKUP(S233,'Schools dataset'!$B$3:$B$187,'Schools dataset'!$J$3:$J$187,,0)))+SIN(RADIANS(90-O233))*SIN(RADIANS(90-_xlfn.XLOOKUP(S233,'Schools dataset'!$B$3:$B$187,'Schools dataset'!$J$3:$J$187,,0)))*COS(RADIANS(P233-_xlfn.XLOOKUP(S233,'Schools dataset'!$B$3:$B$187,'Schools dataset'!$K$3:$K$187,,0))))*6371*1000</f>
        <v>436.19643368308459</v>
      </c>
      <c r="W233" s="20">
        <f>_xlfn.XLOOKUP(T233,'HDB Recommender'!$P$10:$P$39,'HDB Recommender'!$Q$10:$Q$39,"&gt;30mins",1)</f>
        <v>4</v>
      </c>
      <c r="X233" s="20">
        <f>_xlfn.XLOOKUP(U233,'HDB Recommender'!$P$10:$P$39,'HDB Recommender'!$Q$10:$Q$39,"&gt;30mins",1)</f>
        <v>4</v>
      </c>
      <c r="Y233" s="20">
        <f>_xlfn.XLOOKUP(V233,'HDB Recommender'!$P$10:$P$39,'HDB Recommender'!$Q$10:$Q$39,"&gt;30mins",1)</f>
        <v>6</v>
      </c>
      <c r="Z233" s="39">
        <f t="shared" si="7"/>
        <v>4.666666666666667</v>
      </c>
      <c r="AA233" s="20" t="str">
        <f t="shared" si="6"/>
        <v>Within 1km</v>
      </c>
    </row>
    <row r="234" spans="2:27" hidden="1">
      <c r="B234" s="35" t="s">
        <v>317</v>
      </c>
      <c r="C234" s="35" t="s">
        <v>705</v>
      </c>
      <c r="D234" s="35" t="s">
        <v>20</v>
      </c>
      <c r="E234" s="35"/>
      <c r="F234" s="35" t="s">
        <v>725</v>
      </c>
      <c r="G234" s="35" t="s">
        <v>323</v>
      </c>
      <c r="H234" s="35">
        <v>85</v>
      </c>
      <c r="I234" s="35" t="s">
        <v>713</v>
      </c>
      <c r="J234" s="36">
        <v>2001</v>
      </c>
      <c r="K234" s="39">
        <v>76.5</v>
      </c>
      <c r="L234" s="37">
        <v>610000</v>
      </c>
      <c r="M234" s="35" t="s">
        <v>726</v>
      </c>
      <c r="N234" s="27">
        <v>542257</v>
      </c>
      <c r="O234" s="38">
        <v>1.39259785614922</v>
      </c>
      <c r="P234" s="38">
        <v>103.89698038747299</v>
      </c>
      <c r="Q234" s="38" t="str" cm="1">
        <f t="array" ref="Q234">INDEX('MRT station dataset'!$C$3:$C$179, MATCH(MIN(SQRT(('MRT station dataset'!$E$3:$E$179-'Resale flat dataset'!O234)^2+('MRT station dataset'!$F$3:$F$179-'Resale flat dataset'!P234)^2)), SQRT(('MRT station dataset'!$E$3:$E$179-'Resale flat dataset'!O234)^2+('MRT station dataset'!$F$3:$F$179-'Resale flat dataset'!P234)^2), 0))</f>
        <v>SENGKANG MRT STATION</v>
      </c>
      <c r="R234" s="38" t="str" cm="1">
        <f t="array" ref="R234">INDEX('Mall Dataset'!$B$3:$B$157, MATCH(MIN(SQRT(('Mall Dataset'!$E$3:$E$157-'Resale flat dataset'!O234)^2+('Mall Dataset'!$F$3:$F$157-'Resale flat dataset'!P234)^2)), SQRT(('Mall Dataset'!$E$3:$E$157-'Resale flat dataset'!O234)^2+('Mall Dataset'!$F$3:$F$157-'Resale flat dataset'!P234)^2), 0))</f>
        <v>Compass One</v>
      </c>
      <c r="S234" s="38" t="str" cm="1">
        <f t="array" ref="S234">INDEX('Schools dataset'!$B$3:$B$187, MATCH(MIN(SQRT(('Schools dataset'!$J$3:$J$187-'Resale flat dataset'!O234)^2+('Schools dataset'!$K$3:$K$187-'Resale flat dataset'!P234)^2)), SQRT(('Schools dataset'!$J$3:$J$187-'Resale flat dataset'!O234)^2+('Schools dataset'!$K$3:$K$187-'Resale flat dataset'!P234)^2), 0))</f>
        <v>COMPASSVALE PRIMARY SCHOOL</v>
      </c>
      <c r="T234" s="39">
        <f>ACOS(COS(RADIANS(90-O234))*COS(RADIANS(90-_xlfn.XLOOKUP(Q234,'MRT station dataset'!$C$3:$C$179,'MRT station dataset'!$E$3:$E$179)))+SIN(RADIANS(90-O234))*SIN(RADIANS(90-_xlfn.XLOOKUP(Q234,'MRT station dataset'!$C$3:$C$179,'MRT station dataset'!$E$3:$E$179)))*COS(RADIANS(P234-_xlfn.XLOOKUP('Resale flat dataset'!Q234,'MRT station dataset'!$C$3:$C$179,'MRT station dataset'!$F$3:$F$179))))*6371*1000</f>
        <v>192.47962511524653</v>
      </c>
      <c r="U234" s="39">
        <f>ACOS(COS(RADIANS(90-O234))*COS(RADIANS(90-_xlfn.XLOOKUP(R234,'Mall Dataset'!$B$3:$B$157,'Mall Dataset'!$E$3:$E$157,,0)))+SIN(RADIANS(90-O234))*SIN(RADIANS(90-_xlfn.XLOOKUP(R234,'Mall Dataset'!$B$3:$B$157,'Mall Dataset'!$E$3:$E$157,,0)))*COS(RADIANS(P234-_xlfn.XLOOKUP(R234,'Mall Dataset'!$B$3:$B$157,'Mall Dataset'!$F$3:$F$157,,0))))*6371*1000</f>
        <v>220.77339791377292</v>
      </c>
      <c r="V234" s="39">
        <f>ACOS(COS(RADIANS(90-O234))*COS(RADIANS(90-_xlfn.XLOOKUP(S234,'Schools dataset'!$B$3:$B$187,'Schools dataset'!$J$3:$J$187,,0)))+SIN(RADIANS(90-O234))*SIN(RADIANS(90-_xlfn.XLOOKUP(S234,'Schools dataset'!$B$3:$B$187,'Schools dataset'!$J$3:$J$187,,0)))*COS(RADIANS(P234-_xlfn.XLOOKUP(S234,'Schools dataset'!$B$3:$B$187,'Schools dataset'!$K$3:$K$187,,0))))*6371*1000</f>
        <v>225.27852159119522</v>
      </c>
      <c r="W234" s="20">
        <f>_xlfn.XLOOKUP(T234,'HDB Recommender'!$P$10:$P$39,'HDB Recommender'!$Q$10:$Q$39,"&gt;30mins",1)</f>
        <v>3</v>
      </c>
      <c r="X234" s="20">
        <f>_xlfn.XLOOKUP(U234,'HDB Recommender'!$P$10:$P$39,'HDB Recommender'!$Q$10:$Q$39,"&gt;30mins",1)</f>
        <v>3</v>
      </c>
      <c r="Y234" s="20">
        <f>_xlfn.XLOOKUP(V234,'HDB Recommender'!$P$10:$P$39,'HDB Recommender'!$Q$10:$Q$39,"&gt;30mins",1)</f>
        <v>4</v>
      </c>
      <c r="Z234" s="39">
        <f t="shared" si="7"/>
        <v>3.3333333333333335</v>
      </c>
      <c r="AA234" s="20" t="str">
        <f t="shared" si="6"/>
        <v>Within 1km</v>
      </c>
    </row>
    <row r="235" spans="2:27" hidden="1">
      <c r="B235" s="35" t="s">
        <v>317</v>
      </c>
      <c r="C235" s="35" t="s">
        <v>705</v>
      </c>
      <c r="D235" s="35" t="s">
        <v>20</v>
      </c>
      <c r="E235" s="35"/>
      <c r="F235" s="35" t="s">
        <v>708</v>
      </c>
      <c r="G235" s="35" t="s">
        <v>184</v>
      </c>
      <c r="H235" s="35">
        <v>93</v>
      </c>
      <c r="I235" s="35" t="s">
        <v>335</v>
      </c>
      <c r="J235" s="36">
        <v>2016</v>
      </c>
      <c r="K235" s="39">
        <v>92</v>
      </c>
      <c r="L235" s="37">
        <v>588000</v>
      </c>
      <c r="M235" s="35" t="s">
        <v>727</v>
      </c>
      <c r="N235" s="27">
        <v>791470</v>
      </c>
      <c r="O235" s="38">
        <v>1.39647847695923</v>
      </c>
      <c r="P235" s="38">
        <v>103.87949391489499</v>
      </c>
      <c r="Q235" s="38" t="str" cm="1">
        <f t="array" ref="Q235">INDEX('MRT station dataset'!$C$3:$C$179, MATCH(MIN(SQRT(('MRT station dataset'!$E$3:$E$179-'Resale flat dataset'!O235)^2+('MRT station dataset'!$F$3:$F$179-'Resale flat dataset'!P235)^2)), SQRT(('MRT station dataset'!$E$3:$E$179-'Resale flat dataset'!O235)^2+('MRT station dataset'!$F$3:$F$179-'Resale flat dataset'!P235)^2), 0))</f>
        <v>KUPANG LRT STATION</v>
      </c>
      <c r="R235" s="38" t="str" cm="1">
        <f t="array" ref="R235">INDEX('Mall Dataset'!$B$3:$B$157, MATCH(MIN(SQRT(('Mall Dataset'!$E$3:$E$157-'Resale flat dataset'!O235)^2+('Mall Dataset'!$F$3:$F$157-'Resale flat dataset'!P235)^2)), SQRT(('Mall Dataset'!$E$3:$E$157-'Resale flat dataset'!O235)^2+('Mall Dataset'!$F$3:$F$157-'Resale flat dataset'!P235)^2), 0))</f>
        <v>The Seletar Mall</v>
      </c>
      <c r="S235" s="38" t="str" cm="1">
        <f t="array" ref="S235">INDEX('Schools dataset'!$B$3:$B$187, MATCH(MIN(SQRT(('Schools dataset'!$J$3:$J$187-'Resale flat dataset'!O235)^2+('Schools dataset'!$K$3:$K$187-'Resale flat dataset'!P235)^2)), SQRT(('Schools dataset'!$J$3:$J$187-'Resale flat dataset'!O235)^2+('Schools dataset'!$K$3:$K$187-'Resale flat dataset'!P235)^2), 0))</f>
        <v>FERN GREEN PRIMARY SCHOOL</v>
      </c>
      <c r="T235" s="39">
        <f>ACOS(COS(RADIANS(90-O235))*COS(RADIANS(90-_xlfn.XLOOKUP(Q235,'MRT station dataset'!$C$3:$C$179,'MRT station dataset'!$E$3:$E$179)))+SIN(RADIANS(90-O235))*SIN(RADIANS(90-_xlfn.XLOOKUP(Q235,'MRT station dataset'!$C$3:$C$179,'MRT station dataset'!$E$3:$E$179)))*COS(RADIANS(P235-_xlfn.XLOOKUP('Resale flat dataset'!Q235,'MRT station dataset'!$C$3:$C$179,'MRT station dataset'!$F$3:$F$179))))*6371*1000</f>
        <v>277.40061578033794</v>
      </c>
      <c r="U235" s="39">
        <f>ACOS(COS(RADIANS(90-O235))*COS(RADIANS(90-_xlfn.XLOOKUP(R235,'Mall Dataset'!$B$3:$B$157,'Mall Dataset'!$E$3:$E$157,,0)))+SIN(RADIANS(90-O235))*SIN(RADIANS(90-_xlfn.XLOOKUP(R235,'Mall Dataset'!$B$3:$B$157,'Mall Dataset'!$E$3:$E$157,,0)))*COS(RADIANS(P235-_xlfn.XLOOKUP(R235,'Mall Dataset'!$B$3:$B$157,'Mall Dataset'!$F$3:$F$157,,0))))*6371*1000</f>
        <v>671.07549566130319</v>
      </c>
      <c r="V235" s="39">
        <f>ACOS(COS(RADIANS(90-O235))*COS(RADIANS(90-_xlfn.XLOOKUP(S235,'Schools dataset'!$B$3:$B$187,'Schools dataset'!$J$3:$J$187,,0)))+SIN(RADIANS(90-O235))*SIN(RADIANS(90-_xlfn.XLOOKUP(S235,'Schools dataset'!$B$3:$B$187,'Schools dataset'!$J$3:$J$187,,0)))*COS(RADIANS(P235-_xlfn.XLOOKUP(S235,'Schools dataset'!$B$3:$B$187,'Schools dataset'!$K$3:$K$187,,0))))*6371*1000</f>
        <v>117.76049274034395</v>
      </c>
      <c r="W235" s="20">
        <f>_xlfn.XLOOKUP(T235,'HDB Recommender'!$P$10:$P$39,'HDB Recommender'!$Q$10:$Q$39,"&gt;30mins",1)</f>
        <v>4</v>
      </c>
      <c r="X235" s="20">
        <f>_xlfn.XLOOKUP(U235,'HDB Recommender'!$P$10:$P$39,'HDB Recommender'!$Q$10:$Q$39,"&gt;30mins",1)</f>
        <v>9</v>
      </c>
      <c r="Y235" s="20">
        <f>_xlfn.XLOOKUP(V235,'HDB Recommender'!$P$10:$P$39,'HDB Recommender'!$Q$10:$Q$39,"&gt;30mins",1)</f>
        <v>2</v>
      </c>
      <c r="Z235" s="39">
        <f t="shared" si="7"/>
        <v>5</v>
      </c>
      <c r="AA235" s="20" t="str">
        <f t="shared" si="6"/>
        <v>Within 1km</v>
      </c>
    </row>
    <row r="236" spans="2:27" hidden="1">
      <c r="B236" s="35" t="s">
        <v>317</v>
      </c>
      <c r="C236" s="35" t="s">
        <v>705</v>
      </c>
      <c r="D236" s="35" t="s">
        <v>20</v>
      </c>
      <c r="E236" s="35"/>
      <c r="F236" s="35" t="s">
        <v>728</v>
      </c>
      <c r="G236" s="35" t="s">
        <v>323</v>
      </c>
      <c r="H236" s="35">
        <v>93</v>
      </c>
      <c r="I236" s="35" t="s">
        <v>389</v>
      </c>
      <c r="J236" s="36">
        <v>2010</v>
      </c>
      <c r="K236" s="39">
        <v>85.6666666666666</v>
      </c>
      <c r="L236" s="37">
        <v>720000</v>
      </c>
      <c r="M236" s="35" t="s">
        <v>729</v>
      </c>
      <c r="N236" s="27">
        <v>543271</v>
      </c>
      <c r="O236" s="38">
        <v>1.38501243481986</v>
      </c>
      <c r="P236" s="38">
        <v>103.89441489532</v>
      </c>
      <c r="Q236" s="38" t="str" cm="1">
        <f t="array" ref="Q236">INDEX('MRT station dataset'!$C$3:$C$179, MATCH(MIN(SQRT(('MRT station dataset'!$E$3:$E$179-'Resale flat dataset'!O236)^2+('MRT station dataset'!$F$3:$F$179-'Resale flat dataset'!P236)^2)), SQRT(('MRT station dataset'!$E$3:$E$179-'Resale flat dataset'!O236)^2+('MRT station dataset'!$F$3:$F$179-'Resale flat dataset'!P236)^2), 0))</f>
        <v>BUANGKOK MRT STATION</v>
      </c>
      <c r="R236" s="38" t="str" cm="1">
        <f t="array" ref="R236">INDEX('Mall Dataset'!$B$3:$B$157, MATCH(MIN(SQRT(('Mall Dataset'!$E$3:$E$157-'Resale flat dataset'!O236)^2+('Mall Dataset'!$F$3:$F$157-'Resale flat dataset'!P236)^2)), SQRT(('Mall Dataset'!$E$3:$E$157-'Resale flat dataset'!O236)^2+('Mall Dataset'!$F$3:$F$157-'Resale flat dataset'!P236)^2), 0))</f>
        <v>Compass One</v>
      </c>
      <c r="S236" s="38" t="str" cm="1">
        <f t="array" ref="S236">INDEX('Schools dataset'!$B$3:$B$187, MATCH(MIN(SQRT(('Schools dataset'!$J$3:$J$187-'Resale flat dataset'!O236)^2+('Schools dataset'!$K$3:$K$187-'Resale flat dataset'!P236)^2)), SQRT(('Schools dataset'!$J$3:$J$187-'Resale flat dataset'!O236)^2+('Schools dataset'!$K$3:$K$187-'Resale flat dataset'!P236)^2), 0))</f>
        <v>NORTH VISTA PRIMARY SCHOOL</v>
      </c>
      <c r="T236" s="39">
        <f>ACOS(COS(RADIANS(90-O236))*COS(RADIANS(90-_xlfn.XLOOKUP(Q236,'MRT station dataset'!$C$3:$C$179,'MRT station dataset'!$E$3:$E$179)))+SIN(RADIANS(90-O236))*SIN(RADIANS(90-_xlfn.XLOOKUP(Q236,'MRT station dataset'!$C$3:$C$179,'MRT station dataset'!$E$3:$E$179)))*COS(RADIANS(P236-_xlfn.XLOOKUP('Resale flat dataset'!Q236,'MRT station dataset'!$C$3:$C$179,'MRT station dataset'!$F$3:$F$179))))*6371*1000</f>
        <v>276.65696547862836</v>
      </c>
      <c r="U236" s="39">
        <f>ACOS(COS(RADIANS(90-O236))*COS(RADIANS(90-_xlfn.XLOOKUP(R236,'Mall Dataset'!$B$3:$B$157,'Mall Dataset'!$E$3:$E$157,,0)))+SIN(RADIANS(90-O236))*SIN(RADIANS(90-_xlfn.XLOOKUP(R236,'Mall Dataset'!$B$3:$B$157,'Mall Dataset'!$E$3:$E$157,,0)))*COS(RADIANS(P236-_xlfn.XLOOKUP(R236,'Mall Dataset'!$B$3:$B$157,'Mall Dataset'!$F$3:$F$157,,0))))*6371*1000</f>
        <v>786.27610076162705</v>
      </c>
      <c r="V236" s="39">
        <f>ACOS(COS(RADIANS(90-O236))*COS(RADIANS(90-_xlfn.XLOOKUP(S236,'Schools dataset'!$B$3:$B$187,'Schools dataset'!$J$3:$J$187,,0)))+SIN(RADIANS(90-O236))*SIN(RADIANS(90-_xlfn.XLOOKUP(S236,'Schools dataset'!$B$3:$B$187,'Schools dataset'!$J$3:$J$187,,0)))*COS(RADIANS(P236-_xlfn.XLOOKUP(S236,'Schools dataset'!$B$3:$B$187,'Schools dataset'!$K$3:$K$187,,0))))*6371*1000</f>
        <v>342.35848259982691</v>
      </c>
      <c r="W236" s="20">
        <f>_xlfn.XLOOKUP(T236,'HDB Recommender'!$P$10:$P$39,'HDB Recommender'!$Q$10:$Q$39,"&gt;30mins",1)</f>
        <v>4</v>
      </c>
      <c r="X236" s="20">
        <f>_xlfn.XLOOKUP(U236,'HDB Recommender'!$P$10:$P$39,'HDB Recommender'!$Q$10:$Q$39,"&gt;30mins",1)</f>
        <v>11</v>
      </c>
      <c r="Y236" s="20">
        <f>_xlfn.XLOOKUP(V236,'HDB Recommender'!$P$10:$P$39,'HDB Recommender'!$Q$10:$Q$39,"&gt;30mins",1)</f>
        <v>5</v>
      </c>
      <c r="Z236" s="39">
        <f t="shared" si="7"/>
        <v>6.666666666666667</v>
      </c>
      <c r="AA236" s="20" t="str">
        <f t="shared" si="6"/>
        <v>Within 1km</v>
      </c>
    </row>
    <row r="237" spans="2:27" hidden="1">
      <c r="B237" s="35" t="s">
        <v>317</v>
      </c>
      <c r="C237" s="35" t="s">
        <v>705</v>
      </c>
      <c r="D237" s="35" t="s">
        <v>20</v>
      </c>
      <c r="E237" s="35"/>
      <c r="F237" s="35" t="s">
        <v>730</v>
      </c>
      <c r="G237" s="35" t="s">
        <v>323</v>
      </c>
      <c r="H237" s="35">
        <v>92</v>
      </c>
      <c r="I237" s="35" t="s">
        <v>389</v>
      </c>
      <c r="J237" s="36">
        <v>2015</v>
      </c>
      <c r="K237" s="39">
        <v>90.9166666666666</v>
      </c>
      <c r="L237" s="37">
        <v>780000</v>
      </c>
      <c r="M237" s="35" t="s">
        <v>731</v>
      </c>
      <c r="N237" s="27">
        <v>541282</v>
      </c>
      <c r="O237" s="38">
        <v>1.38528977819863</v>
      </c>
      <c r="P237" s="38">
        <v>103.891907359174</v>
      </c>
      <c r="Q237" s="38" t="str" cm="1">
        <f t="array" ref="Q237">INDEX('MRT station dataset'!$C$3:$C$179, MATCH(MIN(SQRT(('MRT station dataset'!$E$3:$E$179-'Resale flat dataset'!O237)^2+('MRT station dataset'!$F$3:$F$179-'Resale flat dataset'!P237)^2)), SQRT(('MRT station dataset'!$E$3:$E$179-'Resale flat dataset'!O237)^2+('MRT station dataset'!$F$3:$F$179-'Resale flat dataset'!P237)^2), 0))</f>
        <v>RENJONG LRT STATION</v>
      </c>
      <c r="R237" s="38" t="str" cm="1">
        <f t="array" ref="R237">INDEX('Mall Dataset'!$B$3:$B$157, MATCH(MIN(SQRT(('Mall Dataset'!$E$3:$E$157-'Resale flat dataset'!O237)^2+('Mall Dataset'!$F$3:$F$157-'Resale flat dataset'!P237)^2)), SQRT(('Mall Dataset'!$E$3:$E$157-'Resale flat dataset'!O237)^2+('Mall Dataset'!$F$3:$F$157-'Resale flat dataset'!P237)^2), 0))</f>
        <v>Hougang Green Shopping Mall</v>
      </c>
      <c r="S237" s="38" t="str" cm="1">
        <f t="array" ref="S237">INDEX('Schools dataset'!$B$3:$B$187, MATCH(MIN(SQRT(('Schools dataset'!$J$3:$J$187-'Resale flat dataset'!O237)^2+('Schools dataset'!$K$3:$K$187-'Resale flat dataset'!P237)^2)), SQRT(('Schools dataset'!$J$3:$J$187-'Resale flat dataset'!O237)^2+('Schools dataset'!$K$3:$K$187-'Resale flat dataset'!P237)^2), 0))</f>
        <v>PALM VIEW PRIMARY SCHOOL</v>
      </c>
      <c r="T237" s="39">
        <f>ACOS(COS(RADIANS(90-O237))*COS(RADIANS(90-_xlfn.XLOOKUP(Q237,'MRT station dataset'!$C$3:$C$179,'MRT station dataset'!$E$3:$E$179)))+SIN(RADIANS(90-O237))*SIN(RADIANS(90-_xlfn.XLOOKUP(Q237,'MRT station dataset'!$C$3:$C$179,'MRT station dataset'!$E$3:$E$179)))*COS(RADIANS(P237-_xlfn.XLOOKUP('Resale flat dataset'!Q237,'MRT station dataset'!$C$3:$C$179,'MRT station dataset'!$F$3:$F$179))))*6371*1000</f>
        <v>221.50484299060324</v>
      </c>
      <c r="U237" s="39">
        <f>ACOS(COS(RADIANS(90-O237))*COS(RADIANS(90-_xlfn.XLOOKUP(R237,'Mall Dataset'!$B$3:$B$157,'Mall Dataset'!$E$3:$E$157,,0)))+SIN(RADIANS(90-O237))*SIN(RADIANS(90-_xlfn.XLOOKUP(R237,'Mall Dataset'!$B$3:$B$157,'Mall Dataset'!$E$3:$E$157,,0)))*COS(RADIANS(P237-_xlfn.XLOOKUP(R237,'Mall Dataset'!$B$3:$B$157,'Mall Dataset'!$F$3:$F$157,,0))))*6371*1000</f>
        <v>802.91901958574545</v>
      </c>
      <c r="V237" s="39">
        <f>ACOS(COS(RADIANS(90-O237))*COS(RADIANS(90-_xlfn.XLOOKUP(S237,'Schools dataset'!$B$3:$B$187,'Schools dataset'!$J$3:$J$187,,0)))+SIN(RADIANS(90-O237))*SIN(RADIANS(90-_xlfn.XLOOKUP(S237,'Schools dataset'!$B$3:$B$187,'Schools dataset'!$J$3:$J$187,,0)))*COS(RADIANS(P237-_xlfn.XLOOKUP(S237,'Schools dataset'!$B$3:$B$187,'Schools dataset'!$K$3:$K$187,,0))))*6371*1000</f>
        <v>179.89359727582132</v>
      </c>
      <c r="W237" s="20">
        <f>_xlfn.XLOOKUP(T237,'HDB Recommender'!$P$10:$P$39,'HDB Recommender'!$Q$10:$Q$39,"&gt;30mins",1)</f>
        <v>3</v>
      </c>
      <c r="X237" s="20">
        <f>_xlfn.XLOOKUP(U237,'HDB Recommender'!$P$10:$P$39,'HDB Recommender'!$Q$10:$Q$39,"&gt;30mins",1)</f>
        <v>11</v>
      </c>
      <c r="Y237" s="20">
        <f>_xlfn.XLOOKUP(V237,'HDB Recommender'!$P$10:$P$39,'HDB Recommender'!$Q$10:$Q$39,"&gt;30mins",1)</f>
        <v>3</v>
      </c>
      <c r="Z237" s="39">
        <f t="shared" si="7"/>
        <v>5.666666666666667</v>
      </c>
      <c r="AA237" s="20" t="str">
        <f t="shared" si="6"/>
        <v>Within 1km</v>
      </c>
    </row>
    <row r="238" spans="2:27" hidden="1">
      <c r="B238" s="35" t="s">
        <v>317</v>
      </c>
      <c r="C238" s="35" t="s">
        <v>705</v>
      </c>
      <c r="D238" s="35" t="s">
        <v>341</v>
      </c>
      <c r="E238" s="35"/>
      <c r="F238" s="35" t="s">
        <v>718</v>
      </c>
      <c r="G238" s="35" t="s">
        <v>189</v>
      </c>
      <c r="H238" s="35">
        <v>113</v>
      </c>
      <c r="I238" s="35" t="s">
        <v>389</v>
      </c>
      <c r="J238" s="36">
        <v>2003</v>
      </c>
      <c r="K238" s="39">
        <v>78.3333333333333</v>
      </c>
      <c r="L238" s="37">
        <v>541888</v>
      </c>
      <c r="M238" s="35" t="s">
        <v>732</v>
      </c>
      <c r="N238" s="27">
        <v>541310</v>
      </c>
      <c r="O238" s="38">
        <v>1.3909053148199</v>
      </c>
      <c r="P238" s="38">
        <v>103.885024959643</v>
      </c>
      <c r="Q238" s="38" t="str" cm="1">
        <f t="array" ref="Q238">INDEX('MRT station dataset'!$C$3:$C$179, MATCH(MIN(SQRT(('MRT station dataset'!$E$3:$E$179-'Resale flat dataset'!O238)^2+('MRT station dataset'!$F$3:$F$179-'Resale flat dataset'!P238)^2)), SQRT(('MRT station dataset'!$E$3:$E$179-'Resale flat dataset'!O238)^2+('MRT station dataset'!$F$3:$F$179-'Resale flat dataset'!P238)^2), 0))</f>
        <v>TONGKANG LRT STATION</v>
      </c>
      <c r="R238" s="38" t="str" cm="1">
        <f t="array" ref="R238">INDEX('Mall Dataset'!$B$3:$B$157, MATCH(MIN(SQRT(('Mall Dataset'!$E$3:$E$157-'Resale flat dataset'!O238)^2+('Mall Dataset'!$F$3:$F$157-'Resale flat dataset'!P238)^2)), SQRT(('Mall Dataset'!$E$3:$E$157-'Resale flat dataset'!O238)^2+('Mall Dataset'!$F$3:$F$157-'Resale flat dataset'!P238)^2), 0))</f>
        <v>Buangkok Square</v>
      </c>
      <c r="S238" s="38" t="str" cm="1">
        <f t="array" ref="S238">INDEX('Schools dataset'!$B$3:$B$187, MATCH(MIN(SQRT(('Schools dataset'!$J$3:$J$187-'Resale flat dataset'!O238)^2+('Schools dataset'!$K$3:$K$187-'Resale flat dataset'!P238)^2)), SQRT(('Schools dataset'!$J$3:$J$187-'Resale flat dataset'!O238)^2+('Schools dataset'!$K$3:$K$187-'Resale flat dataset'!P238)^2), 0))</f>
        <v>ANCHOR GREEN PRIMARY SCHOOL</v>
      </c>
      <c r="T238" s="39">
        <f>ACOS(COS(RADIANS(90-O238))*COS(RADIANS(90-_xlfn.XLOOKUP(Q238,'MRT station dataset'!$C$3:$C$179,'MRT station dataset'!$E$3:$E$179)))+SIN(RADIANS(90-O238))*SIN(RADIANS(90-_xlfn.XLOOKUP(Q238,'MRT station dataset'!$C$3:$C$179,'MRT station dataset'!$E$3:$E$179)))*COS(RADIANS(P238-_xlfn.XLOOKUP('Resale flat dataset'!Q238,'MRT station dataset'!$C$3:$C$179,'MRT station dataset'!$F$3:$F$179))))*6371*1000</f>
        <v>198.20691910855626</v>
      </c>
      <c r="U238" s="39">
        <f>ACOS(COS(RADIANS(90-O238))*COS(RADIANS(90-_xlfn.XLOOKUP(R238,'Mall Dataset'!$B$3:$B$157,'Mall Dataset'!$E$3:$E$157,,0)))+SIN(RADIANS(90-O238))*SIN(RADIANS(90-_xlfn.XLOOKUP(R238,'Mall Dataset'!$B$3:$B$157,'Mall Dataset'!$E$3:$E$157,,0)))*COS(RADIANS(P238-_xlfn.XLOOKUP(R238,'Mall Dataset'!$B$3:$B$157,'Mall Dataset'!$F$3:$F$157,,0))))*6371*1000</f>
        <v>822.72784468507814</v>
      </c>
      <c r="V238" s="39">
        <f>ACOS(COS(RADIANS(90-O238))*COS(RADIANS(90-_xlfn.XLOOKUP(S238,'Schools dataset'!$B$3:$B$187,'Schools dataset'!$J$3:$J$187,,0)))+SIN(RADIANS(90-O238))*SIN(RADIANS(90-_xlfn.XLOOKUP(S238,'Schools dataset'!$B$3:$B$187,'Schools dataset'!$J$3:$J$187,,0)))*COS(RADIANS(P238-_xlfn.XLOOKUP(S238,'Schools dataset'!$B$3:$B$187,'Schools dataset'!$K$3:$K$187,,0))))*6371*1000</f>
        <v>235.35974917375535</v>
      </c>
      <c r="W238" s="20">
        <f>_xlfn.XLOOKUP(T238,'HDB Recommender'!$P$10:$P$39,'HDB Recommender'!$Q$10:$Q$39,"&gt;30mins",1)</f>
        <v>3</v>
      </c>
      <c r="X238" s="20">
        <f>_xlfn.XLOOKUP(U238,'HDB Recommender'!$P$10:$P$39,'HDB Recommender'!$Q$10:$Q$39,"&gt;30mins",1)</f>
        <v>11</v>
      </c>
      <c r="Y238" s="20">
        <f>_xlfn.XLOOKUP(V238,'HDB Recommender'!$P$10:$P$39,'HDB Recommender'!$Q$10:$Q$39,"&gt;30mins",1)</f>
        <v>4</v>
      </c>
      <c r="Z238" s="39">
        <f t="shared" si="7"/>
        <v>6</v>
      </c>
      <c r="AA238" s="20" t="str">
        <f t="shared" si="6"/>
        <v>Within 1km</v>
      </c>
    </row>
    <row r="239" spans="2:27" hidden="1">
      <c r="B239" s="35" t="s">
        <v>317</v>
      </c>
      <c r="C239" s="35" t="s">
        <v>705</v>
      </c>
      <c r="D239" s="35" t="s">
        <v>341</v>
      </c>
      <c r="E239" s="35"/>
      <c r="F239" s="35" t="s">
        <v>718</v>
      </c>
      <c r="G239" s="35" t="s">
        <v>191</v>
      </c>
      <c r="H239" s="35">
        <v>111</v>
      </c>
      <c r="I239" s="35" t="s">
        <v>389</v>
      </c>
      <c r="J239" s="36">
        <v>2003</v>
      </c>
      <c r="K239" s="39">
        <v>78.4166666666666</v>
      </c>
      <c r="L239" s="37">
        <v>565000</v>
      </c>
      <c r="M239" s="35" t="s">
        <v>733</v>
      </c>
      <c r="N239" s="27">
        <v>542310</v>
      </c>
      <c r="O239" s="38">
        <v>1.39090460679765</v>
      </c>
      <c r="P239" s="38">
        <v>103.884682862492</v>
      </c>
      <c r="Q239" s="38" t="str" cm="1">
        <f t="array" ref="Q239">INDEX('MRT station dataset'!$C$3:$C$179, MATCH(MIN(SQRT(('MRT station dataset'!$E$3:$E$179-'Resale flat dataset'!O239)^2+('MRT station dataset'!$F$3:$F$179-'Resale flat dataset'!P239)^2)), SQRT(('MRT station dataset'!$E$3:$E$179-'Resale flat dataset'!O239)^2+('MRT station dataset'!$F$3:$F$179-'Resale flat dataset'!P239)^2), 0))</f>
        <v>TONGKANG LRT STATION</v>
      </c>
      <c r="R239" s="38" t="str" cm="1">
        <f t="array" ref="R239">INDEX('Mall Dataset'!$B$3:$B$157, MATCH(MIN(SQRT(('Mall Dataset'!$E$3:$E$157-'Resale flat dataset'!O239)^2+('Mall Dataset'!$F$3:$F$157-'Resale flat dataset'!P239)^2)), SQRT(('Mall Dataset'!$E$3:$E$157-'Resale flat dataset'!O239)^2+('Mall Dataset'!$F$3:$F$157-'Resale flat dataset'!P239)^2), 0))</f>
        <v>Buangkok Square</v>
      </c>
      <c r="S239" s="38" t="str" cm="1">
        <f t="array" ref="S239">INDEX('Schools dataset'!$B$3:$B$187, MATCH(MIN(SQRT(('Schools dataset'!$J$3:$J$187-'Resale flat dataset'!O239)^2+('Schools dataset'!$K$3:$K$187-'Resale flat dataset'!P239)^2)), SQRT(('Schools dataset'!$J$3:$J$187-'Resale flat dataset'!O239)^2+('Schools dataset'!$K$3:$K$187-'Resale flat dataset'!P239)^2), 0))</f>
        <v>ANCHOR GREEN PRIMARY SCHOOL</v>
      </c>
      <c r="T239" s="39">
        <f>ACOS(COS(RADIANS(90-O239))*COS(RADIANS(90-_xlfn.XLOOKUP(Q239,'MRT station dataset'!$C$3:$C$179,'MRT station dataset'!$E$3:$E$179)))+SIN(RADIANS(90-O239))*SIN(RADIANS(90-_xlfn.XLOOKUP(Q239,'MRT station dataset'!$C$3:$C$179,'MRT station dataset'!$E$3:$E$179)))*COS(RADIANS(P239-_xlfn.XLOOKUP('Resale flat dataset'!Q239,'MRT station dataset'!$C$3:$C$179,'MRT station dataset'!$F$3:$F$179))))*6371*1000</f>
        <v>217.38607832596401</v>
      </c>
      <c r="U239" s="39">
        <f>ACOS(COS(RADIANS(90-O239))*COS(RADIANS(90-_xlfn.XLOOKUP(R239,'Mall Dataset'!$B$3:$B$157,'Mall Dataset'!$E$3:$E$157,,0)))+SIN(RADIANS(90-O239))*SIN(RADIANS(90-_xlfn.XLOOKUP(R239,'Mall Dataset'!$B$3:$B$157,'Mall Dataset'!$E$3:$E$157,,0)))*COS(RADIANS(P239-_xlfn.XLOOKUP(R239,'Mall Dataset'!$B$3:$B$157,'Mall Dataset'!$F$3:$F$157,,0))))*6371*1000</f>
        <v>805.88491574752231</v>
      </c>
      <c r="V239" s="39">
        <f>ACOS(COS(RADIANS(90-O239))*COS(RADIANS(90-_xlfn.XLOOKUP(S239,'Schools dataset'!$B$3:$B$187,'Schools dataset'!$J$3:$J$187,,0)))+SIN(RADIANS(90-O239))*SIN(RADIANS(90-_xlfn.XLOOKUP(S239,'Schools dataset'!$B$3:$B$187,'Schools dataset'!$J$3:$J$187,,0)))*COS(RADIANS(P239-_xlfn.XLOOKUP(S239,'Schools dataset'!$B$3:$B$187,'Schools dataset'!$K$3:$K$187,,0))))*6371*1000</f>
        <v>272.89532445461174</v>
      </c>
      <c r="W239" s="20">
        <f>_xlfn.XLOOKUP(T239,'HDB Recommender'!$P$10:$P$39,'HDB Recommender'!$Q$10:$Q$39,"&gt;30mins",1)</f>
        <v>3</v>
      </c>
      <c r="X239" s="20">
        <f>_xlfn.XLOOKUP(U239,'HDB Recommender'!$P$10:$P$39,'HDB Recommender'!$Q$10:$Q$39,"&gt;30mins",1)</f>
        <v>11</v>
      </c>
      <c r="Y239" s="20">
        <f>_xlfn.XLOOKUP(V239,'HDB Recommender'!$P$10:$P$39,'HDB Recommender'!$Q$10:$Q$39,"&gt;30mins",1)</f>
        <v>4</v>
      </c>
      <c r="Z239" s="39">
        <f t="shared" si="7"/>
        <v>6</v>
      </c>
      <c r="AA239" s="20" t="str">
        <f t="shared" si="6"/>
        <v>Within 1km</v>
      </c>
    </row>
    <row r="240" spans="2:27" hidden="1">
      <c r="B240" s="35" t="s">
        <v>317</v>
      </c>
      <c r="C240" s="35" t="s">
        <v>705</v>
      </c>
      <c r="D240" s="35" t="s">
        <v>341</v>
      </c>
      <c r="E240" s="35"/>
      <c r="F240" s="35" t="s">
        <v>720</v>
      </c>
      <c r="G240" s="35" t="s">
        <v>323</v>
      </c>
      <c r="H240" s="35">
        <v>110</v>
      </c>
      <c r="I240" s="35" t="s">
        <v>326</v>
      </c>
      <c r="J240" s="36">
        <v>2002</v>
      </c>
      <c r="K240" s="39">
        <v>77.4166666666666</v>
      </c>
      <c r="L240" s="37">
        <v>575000</v>
      </c>
      <c r="M240" s="35" t="s">
        <v>734</v>
      </c>
      <c r="N240" s="27">
        <v>541295</v>
      </c>
      <c r="O240" s="38">
        <v>1.3982720820615899</v>
      </c>
      <c r="P240" s="38">
        <v>103.899276781233</v>
      </c>
      <c r="Q240" s="38" t="str" cm="1">
        <f t="array" ref="Q240">INDEX('MRT station dataset'!$C$3:$C$179, MATCH(MIN(SQRT(('MRT station dataset'!$E$3:$E$179-'Resale flat dataset'!O240)^2+('MRT station dataset'!$F$3:$F$179-'Resale flat dataset'!P240)^2)), SQRT(('MRT station dataset'!$E$3:$E$179-'Resale flat dataset'!O240)^2+('MRT station dataset'!$F$3:$F$179-'Resale flat dataset'!P240)^2), 0))</f>
        <v>COMPASSVALE LRT STATION</v>
      </c>
      <c r="R240" s="38" t="str" cm="1">
        <f t="array" ref="R240">INDEX('Mall Dataset'!$B$3:$B$157, MATCH(MIN(SQRT(('Mall Dataset'!$E$3:$E$157-'Resale flat dataset'!O240)^2+('Mall Dataset'!$F$3:$F$157-'Resale flat dataset'!P240)^2)), SQRT(('Mall Dataset'!$E$3:$E$157-'Resale flat dataset'!O240)^2+('Mall Dataset'!$F$3:$F$157-'Resale flat dataset'!P240)^2), 0))</f>
        <v>Compass One</v>
      </c>
      <c r="S240" s="38" t="str" cm="1">
        <f t="array" ref="S240">INDEX('Schools dataset'!$B$3:$B$187, MATCH(MIN(SQRT(('Schools dataset'!$J$3:$J$187-'Resale flat dataset'!O240)^2+('Schools dataset'!$K$3:$K$187-'Resale flat dataset'!P240)^2)), SQRT(('Schools dataset'!$J$3:$J$187-'Resale flat dataset'!O240)^2+('Schools dataset'!$K$3:$K$187-'Resale flat dataset'!P240)^2), 0))</f>
        <v>PUNGGOL GREEN PRIMARY SCHOOL</v>
      </c>
      <c r="T240" s="39">
        <f>ACOS(COS(RADIANS(90-O240))*COS(RADIANS(90-_xlfn.XLOOKUP(Q240,'MRT station dataset'!$C$3:$C$179,'MRT station dataset'!$E$3:$E$179)))+SIN(RADIANS(90-O240))*SIN(RADIANS(90-_xlfn.XLOOKUP(Q240,'MRT station dataset'!$C$3:$C$179,'MRT station dataset'!$E$3:$E$179)))*COS(RADIANS(P240-_xlfn.XLOOKUP('Resale flat dataset'!Q240,'MRT station dataset'!$C$3:$C$179,'MRT station dataset'!$F$3:$F$179))))*6371*1000</f>
        <v>440.92648814696901</v>
      </c>
      <c r="U240" s="39">
        <f>ACOS(COS(RADIANS(90-O240))*COS(RADIANS(90-_xlfn.XLOOKUP(R240,'Mall Dataset'!$B$3:$B$157,'Mall Dataset'!$E$3:$E$157,,0)))+SIN(RADIANS(90-O240))*SIN(RADIANS(90-_xlfn.XLOOKUP(R240,'Mall Dataset'!$B$3:$B$157,'Mall Dataset'!$E$3:$E$157,,0)))*COS(RADIANS(P240-_xlfn.XLOOKUP(R240,'Mall Dataset'!$B$3:$B$157,'Mall Dataset'!$F$3:$F$157,,0))))*6371*1000</f>
        <v>834.75598604428524</v>
      </c>
      <c r="V240" s="39">
        <f>ACOS(COS(RADIANS(90-O240))*COS(RADIANS(90-_xlfn.XLOOKUP(S240,'Schools dataset'!$B$3:$B$187,'Schools dataset'!$J$3:$J$187,,0)))+SIN(RADIANS(90-O240))*SIN(RADIANS(90-_xlfn.XLOOKUP(S240,'Schools dataset'!$B$3:$B$187,'Schools dataset'!$J$3:$J$187,,0)))*COS(RADIANS(P240-_xlfn.XLOOKUP(S240,'Schools dataset'!$B$3:$B$187,'Schools dataset'!$K$3:$K$187,,0))))*6371*1000</f>
        <v>390.4033690505546</v>
      </c>
      <c r="W240" s="20">
        <f>_xlfn.XLOOKUP(T240,'HDB Recommender'!$P$10:$P$39,'HDB Recommender'!$Q$10:$Q$39,"&gt;30mins",1)</f>
        <v>6</v>
      </c>
      <c r="X240" s="20">
        <f>_xlfn.XLOOKUP(U240,'HDB Recommender'!$P$10:$P$39,'HDB Recommender'!$Q$10:$Q$39,"&gt;30mins",1)</f>
        <v>12</v>
      </c>
      <c r="Y240" s="20">
        <f>_xlfn.XLOOKUP(V240,'HDB Recommender'!$P$10:$P$39,'HDB Recommender'!$Q$10:$Q$39,"&gt;30mins",1)</f>
        <v>6</v>
      </c>
      <c r="Z240" s="39">
        <f t="shared" si="7"/>
        <v>8</v>
      </c>
      <c r="AA240" s="20" t="str">
        <f t="shared" si="6"/>
        <v>Within 1km</v>
      </c>
    </row>
    <row r="241" spans="2:27" hidden="1">
      <c r="B241" s="35" t="s">
        <v>317</v>
      </c>
      <c r="C241" s="35" t="s">
        <v>705</v>
      </c>
      <c r="D241" s="35" t="s">
        <v>341</v>
      </c>
      <c r="E241" s="35"/>
      <c r="F241" s="35" t="s">
        <v>706</v>
      </c>
      <c r="G241" s="35" t="s">
        <v>189</v>
      </c>
      <c r="H241" s="35">
        <v>110</v>
      </c>
      <c r="I241" s="35" t="s">
        <v>326</v>
      </c>
      <c r="J241" s="36">
        <v>2005</v>
      </c>
      <c r="K241" s="39">
        <v>80.4166666666666</v>
      </c>
      <c r="L241" s="37">
        <v>578000</v>
      </c>
      <c r="M241" s="35" t="s">
        <v>735</v>
      </c>
      <c r="N241" s="27">
        <v>543207</v>
      </c>
      <c r="O241" s="38">
        <v>1.3849628633389801</v>
      </c>
      <c r="P241" s="38">
        <v>103.89822796583501</v>
      </c>
      <c r="Q241" s="38" t="str" cm="1">
        <f t="array" ref="Q241">INDEX('MRT station dataset'!$C$3:$C$179, MATCH(MIN(SQRT(('MRT station dataset'!$E$3:$E$179-'Resale flat dataset'!O241)^2+('MRT station dataset'!$F$3:$F$179-'Resale flat dataset'!P241)^2)), SQRT(('MRT station dataset'!$E$3:$E$179-'Resale flat dataset'!O241)^2+('MRT station dataset'!$F$3:$F$179-'Resale flat dataset'!P241)^2), 0))</f>
        <v>RANGGUNG LRT STATION</v>
      </c>
      <c r="R241" s="38" t="str" cm="1">
        <f t="array" ref="R241">INDEX('Mall Dataset'!$B$3:$B$157, MATCH(MIN(SQRT(('Mall Dataset'!$E$3:$E$157-'Resale flat dataset'!O241)^2+('Mall Dataset'!$F$3:$F$157-'Resale flat dataset'!P241)^2)), SQRT(('Mall Dataset'!$E$3:$E$157-'Resale flat dataset'!O241)^2+('Mall Dataset'!$F$3:$F$157-'Resale flat dataset'!P241)^2), 0))</f>
        <v>Rivervale Plaza</v>
      </c>
      <c r="S241" s="38" t="str" cm="1">
        <f t="array" ref="S241">INDEX('Schools dataset'!$B$3:$B$187, MATCH(MIN(SQRT(('Schools dataset'!$J$3:$J$187-'Resale flat dataset'!O241)^2+('Schools dataset'!$K$3:$K$187-'Resale flat dataset'!P241)^2)), SQRT(('Schools dataset'!$J$3:$J$187-'Resale flat dataset'!O241)^2+('Schools dataset'!$K$3:$K$187-'Resale flat dataset'!P241)^2), 0))</f>
        <v>NORTH VISTA PRIMARY SCHOOL</v>
      </c>
      <c r="T241" s="39">
        <f>ACOS(COS(RADIANS(90-O241))*COS(RADIANS(90-_xlfn.XLOOKUP(Q241,'MRT station dataset'!$C$3:$C$179,'MRT station dataset'!$E$3:$E$179)))+SIN(RADIANS(90-O241))*SIN(RADIANS(90-_xlfn.XLOOKUP(Q241,'MRT station dataset'!$C$3:$C$179,'MRT station dataset'!$E$3:$E$179)))*COS(RADIANS(P241-_xlfn.XLOOKUP('Resale flat dataset'!Q241,'MRT station dataset'!$C$3:$C$179,'MRT station dataset'!$F$3:$F$179))))*6371*1000</f>
        <v>143.23461987871733</v>
      </c>
      <c r="U241" s="39">
        <f>ACOS(COS(RADIANS(90-O241))*COS(RADIANS(90-_xlfn.XLOOKUP(R241,'Mall Dataset'!$B$3:$B$157,'Mall Dataset'!$E$3:$E$157,,0)))+SIN(RADIANS(90-O241))*SIN(RADIANS(90-_xlfn.XLOOKUP(R241,'Mall Dataset'!$B$3:$B$157,'Mall Dataset'!$E$3:$E$157,,0)))*COS(RADIANS(P241-_xlfn.XLOOKUP(R241,'Mall Dataset'!$B$3:$B$157,'Mall Dataset'!$F$3:$F$157,,0))))*6371*1000</f>
        <v>422.33354181235529</v>
      </c>
      <c r="V241" s="39">
        <f>ACOS(COS(RADIANS(90-O241))*COS(RADIANS(90-_xlfn.XLOOKUP(S241,'Schools dataset'!$B$3:$B$187,'Schools dataset'!$J$3:$J$187,,0)))+SIN(RADIANS(90-O241))*SIN(RADIANS(90-_xlfn.XLOOKUP(S241,'Schools dataset'!$B$3:$B$187,'Schools dataset'!$J$3:$J$187,,0)))*COS(RADIANS(P241-_xlfn.XLOOKUP(S241,'Schools dataset'!$B$3:$B$187,'Schools dataset'!$K$3:$K$187,,0))))*6371*1000</f>
        <v>345.80318794219232</v>
      </c>
      <c r="W241" s="20">
        <f>_xlfn.XLOOKUP(T241,'HDB Recommender'!$P$10:$P$39,'HDB Recommender'!$Q$10:$Q$39,"&gt;30mins",1)</f>
        <v>2</v>
      </c>
      <c r="X241" s="20">
        <f>_xlfn.XLOOKUP(U241,'HDB Recommender'!$P$10:$P$39,'HDB Recommender'!$Q$10:$Q$39,"&gt;30mins",1)</f>
        <v>6</v>
      </c>
      <c r="Y241" s="20">
        <f>_xlfn.XLOOKUP(V241,'HDB Recommender'!$P$10:$P$39,'HDB Recommender'!$Q$10:$Q$39,"&gt;30mins",1)</f>
        <v>5</v>
      </c>
      <c r="Z241" s="39">
        <f t="shared" si="7"/>
        <v>4.333333333333333</v>
      </c>
      <c r="AA241" s="20" t="str">
        <f t="shared" si="6"/>
        <v>Within 1km</v>
      </c>
    </row>
    <row r="242" spans="2:27" hidden="1">
      <c r="B242" s="35" t="s">
        <v>317</v>
      </c>
      <c r="C242" s="35" t="s">
        <v>705</v>
      </c>
      <c r="D242" s="35" t="s">
        <v>341</v>
      </c>
      <c r="E242" s="35"/>
      <c r="F242" s="35" t="s">
        <v>736</v>
      </c>
      <c r="G242" s="35" t="s">
        <v>189</v>
      </c>
      <c r="H242" s="35">
        <v>113</v>
      </c>
      <c r="I242" s="35" t="s">
        <v>389</v>
      </c>
      <c r="J242" s="36">
        <v>2001</v>
      </c>
      <c r="K242" s="39">
        <v>76.9166666666666</v>
      </c>
      <c r="L242" s="37">
        <v>577000</v>
      </c>
      <c r="M242" s="35" t="s">
        <v>737</v>
      </c>
      <c r="N242" s="27">
        <v>541298</v>
      </c>
      <c r="O242" s="38">
        <v>1.3951670977509301</v>
      </c>
      <c r="P242" s="38">
        <v>103.90178945617301</v>
      </c>
      <c r="Q242" s="38" t="str" cm="1">
        <f t="array" ref="Q242">INDEX('MRT station dataset'!$C$3:$C$179, MATCH(MIN(SQRT(('MRT station dataset'!$E$3:$E$179-'Resale flat dataset'!O242)^2+('MRT station dataset'!$F$3:$F$179-'Resale flat dataset'!P242)^2)), SQRT(('MRT station dataset'!$E$3:$E$179-'Resale flat dataset'!O242)^2+('MRT station dataset'!$F$3:$F$179-'Resale flat dataset'!P242)^2), 0))</f>
        <v>COMPASSVALE LRT STATION</v>
      </c>
      <c r="R242" s="38" t="str" cm="1">
        <f t="array" ref="R242">INDEX('Mall Dataset'!$B$3:$B$157, MATCH(MIN(SQRT(('Mall Dataset'!$E$3:$E$157-'Resale flat dataset'!O242)^2+('Mall Dataset'!$F$3:$F$157-'Resale flat dataset'!P242)^2)), SQRT(('Mall Dataset'!$E$3:$E$157-'Resale flat dataset'!O242)^2+('Mall Dataset'!$F$3:$F$157-'Resale flat dataset'!P242)^2), 0))</f>
        <v>Rivervale Mall</v>
      </c>
      <c r="S242" s="38" t="str" cm="1">
        <f t="array" ref="S242">INDEX('Schools dataset'!$B$3:$B$187, MATCH(MIN(SQRT(('Schools dataset'!$J$3:$J$187-'Resale flat dataset'!O242)^2+('Schools dataset'!$K$3:$K$187-'Resale flat dataset'!P242)^2)), SQRT(('Schools dataset'!$J$3:$J$187-'Resale flat dataset'!O242)^2+('Schools dataset'!$K$3:$K$187-'Resale flat dataset'!P242)^2), 0))</f>
        <v>RIVERVALE PRIMARY SCHOOL</v>
      </c>
      <c r="T242" s="39">
        <f>ACOS(COS(RADIANS(90-O242))*COS(RADIANS(90-_xlfn.XLOOKUP(Q242,'MRT station dataset'!$C$3:$C$179,'MRT station dataset'!$E$3:$E$179)))+SIN(RADIANS(90-O242))*SIN(RADIANS(90-_xlfn.XLOOKUP(Q242,'MRT station dataset'!$C$3:$C$179,'MRT station dataset'!$E$3:$E$179)))*COS(RADIANS(P242-_xlfn.XLOOKUP('Resale flat dataset'!Q242,'MRT station dataset'!$C$3:$C$179,'MRT station dataset'!$F$3:$F$179))))*6371*1000</f>
        <v>161.39483700577694</v>
      </c>
      <c r="U242" s="39">
        <f>ACOS(COS(RADIANS(90-O242))*COS(RADIANS(90-_xlfn.XLOOKUP(R242,'Mall Dataset'!$B$3:$B$157,'Mall Dataset'!$E$3:$E$157,,0)))+SIN(RADIANS(90-O242))*SIN(RADIANS(90-_xlfn.XLOOKUP(R242,'Mall Dataset'!$B$3:$B$157,'Mall Dataset'!$E$3:$E$157,,0)))*COS(RADIANS(P242-_xlfn.XLOOKUP(R242,'Mall Dataset'!$B$3:$B$157,'Mall Dataset'!$F$3:$F$157,,0))))*6371*1000</f>
        <v>444.8700174532716</v>
      </c>
      <c r="V242" s="39">
        <f>ACOS(COS(RADIANS(90-O242))*COS(RADIANS(90-_xlfn.XLOOKUP(S242,'Schools dataset'!$B$3:$B$187,'Schools dataset'!$J$3:$J$187,,0)))+SIN(RADIANS(90-O242))*SIN(RADIANS(90-_xlfn.XLOOKUP(S242,'Schools dataset'!$B$3:$B$187,'Schools dataset'!$J$3:$J$187,,0)))*COS(RADIANS(P242-_xlfn.XLOOKUP(S242,'Schools dataset'!$B$3:$B$187,'Schools dataset'!$K$3:$K$187,,0))))*6371*1000</f>
        <v>364.68099421301736</v>
      </c>
      <c r="W242" s="20">
        <f>_xlfn.XLOOKUP(T242,'HDB Recommender'!$P$10:$P$39,'HDB Recommender'!$Q$10:$Q$39,"&gt;30mins",1)</f>
        <v>3</v>
      </c>
      <c r="X242" s="20">
        <f>_xlfn.XLOOKUP(U242,'HDB Recommender'!$P$10:$P$39,'HDB Recommender'!$Q$10:$Q$39,"&gt;30mins",1)</f>
        <v>6</v>
      </c>
      <c r="Y242" s="20">
        <f>_xlfn.XLOOKUP(V242,'HDB Recommender'!$P$10:$P$39,'HDB Recommender'!$Q$10:$Q$39,"&gt;30mins",1)</f>
        <v>5</v>
      </c>
      <c r="Z242" s="39">
        <f t="shared" si="7"/>
        <v>4.666666666666667</v>
      </c>
      <c r="AA242" s="20" t="str">
        <f t="shared" si="6"/>
        <v>Within 1km</v>
      </c>
    </row>
    <row r="243" spans="2:27" hidden="1">
      <c r="B243" s="35" t="s">
        <v>317</v>
      </c>
      <c r="C243" s="35" t="s">
        <v>705</v>
      </c>
      <c r="D243" s="35" t="s">
        <v>341</v>
      </c>
      <c r="E243" s="35"/>
      <c r="F243" s="35" t="s">
        <v>738</v>
      </c>
      <c r="G243" s="35" t="s">
        <v>184</v>
      </c>
      <c r="H243" s="35">
        <v>109</v>
      </c>
      <c r="I243" s="35" t="s">
        <v>389</v>
      </c>
      <c r="J243" s="36">
        <v>2003</v>
      </c>
      <c r="K243" s="39">
        <v>79.0833333333333</v>
      </c>
      <c r="L243" s="37">
        <v>570000</v>
      </c>
      <c r="M243" s="35" t="s">
        <v>739</v>
      </c>
      <c r="N243" s="27">
        <v>541157</v>
      </c>
      <c r="O243" s="38">
        <v>1.38785512397153</v>
      </c>
      <c r="P243" s="38">
        <v>103.90839290098199</v>
      </c>
      <c r="Q243" s="38" t="str" cm="1">
        <f t="array" ref="Q243">INDEX('MRT station dataset'!$C$3:$C$179, MATCH(MIN(SQRT(('MRT station dataset'!$E$3:$E$179-'Resale flat dataset'!O243)^2+('MRT station dataset'!$F$3:$F$179-'Resale flat dataset'!P243)^2)), SQRT(('MRT station dataset'!$E$3:$E$179-'Resale flat dataset'!O243)^2+('MRT station dataset'!$F$3:$F$179-'Resale flat dataset'!P243)^2), 0))</f>
        <v>BAKAU LRT STATION</v>
      </c>
      <c r="R243" s="38" t="str" cm="1">
        <f t="array" ref="R243">INDEX('Mall Dataset'!$B$3:$B$157, MATCH(MIN(SQRT(('Mall Dataset'!$E$3:$E$157-'Resale flat dataset'!O243)^2+('Mall Dataset'!$F$3:$F$157-'Resale flat dataset'!P243)^2)), SQRT(('Mall Dataset'!$E$3:$E$157-'Resale flat dataset'!O243)^2+('Mall Dataset'!$F$3:$F$157-'Resale flat dataset'!P243)^2), 0))</f>
        <v>Rivervale Mall</v>
      </c>
      <c r="S243" s="38" t="str" cm="1">
        <f t="array" ref="S243">INDEX('Schools dataset'!$B$3:$B$187, MATCH(MIN(SQRT(('Schools dataset'!$J$3:$J$187-'Resale flat dataset'!O243)^2+('Schools dataset'!$K$3:$K$187-'Resale flat dataset'!P243)^2)), SQRT(('Schools dataset'!$J$3:$J$187-'Resale flat dataset'!O243)^2+('Schools dataset'!$K$3:$K$187-'Resale flat dataset'!P243)^2), 0))</f>
        <v>NORTH SPRING PRIMARY SCHOOL</v>
      </c>
      <c r="T243" s="39">
        <f>ACOS(COS(RADIANS(90-O243))*COS(RADIANS(90-_xlfn.XLOOKUP(Q243,'MRT station dataset'!$C$3:$C$179,'MRT station dataset'!$E$3:$E$179)))+SIN(RADIANS(90-O243))*SIN(RADIANS(90-_xlfn.XLOOKUP(Q243,'MRT station dataset'!$C$3:$C$179,'MRT station dataset'!$E$3:$E$179)))*COS(RADIANS(P243-_xlfn.XLOOKUP('Resale flat dataset'!Q243,'MRT station dataset'!$C$3:$C$179,'MRT station dataset'!$F$3:$F$179))))*6371*1000</f>
        <v>333.81015233219546</v>
      </c>
      <c r="U243" s="39">
        <f>ACOS(COS(RADIANS(90-O243))*COS(RADIANS(90-_xlfn.XLOOKUP(R243,'Mall Dataset'!$B$3:$B$157,'Mall Dataset'!$E$3:$E$157,,0)))+SIN(RADIANS(90-O243))*SIN(RADIANS(90-_xlfn.XLOOKUP(R243,'Mall Dataset'!$B$3:$B$157,'Mall Dataset'!$E$3:$E$157,,0)))*COS(RADIANS(P243-_xlfn.XLOOKUP(R243,'Mall Dataset'!$B$3:$B$157,'Mall Dataset'!$F$3:$F$157,,0))))*6371*1000</f>
        <v>650.52547996074179</v>
      </c>
      <c r="V243" s="39">
        <f>ACOS(COS(RADIANS(90-O243))*COS(RADIANS(90-_xlfn.XLOOKUP(S243,'Schools dataset'!$B$3:$B$187,'Schools dataset'!$J$3:$J$187,,0)))+SIN(RADIANS(90-O243))*SIN(RADIANS(90-_xlfn.XLOOKUP(S243,'Schools dataset'!$B$3:$B$187,'Schools dataset'!$J$3:$J$187,,0)))*COS(RADIANS(P243-_xlfn.XLOOKUP(S243,'Schools dataset'!$B$3:$B$187,'Schools dataset'!$K$3:$K$187,,0))))*6371*1000</f>
        <v>583.66706075886304</v>
      </c>
      <c r="W243" s="20">
        <f>_xlfn.XLOOKUP(T243,'HDB Recommender'!$P$10:$P$39,'HDB Recommender'!$Q$10:$Q$39,"&gt;30mins",1)</f>
        <v>5</v>
      </c>
      <c r="X243" s="20">
        <f>_xlfn.XLOOKUP(U243,'HDB Recommender'!$P$10:$P$39,'HDB Recommender'!$Q$10:$Q$39,"&gt;30mins",1)</f>
        <v>9</v>
      </c>
      <c r="Y243" s="20">
        <f>_xlfn.XLOOKUP(V243,'HDB Recommender'!$P$10:$P$39,'HDB Recommender'!$Q$10:$Q$39,"&gt;30mins",1)</f>
        <v>8</v>
      </c>
      <c r="Z243" s="39">
        <f t="shared" si="7"/>
        <v>7.333333333333333</v>
      </c>
      <c r="AA243" s="20" t="str">
        <f t="shared" si="6"/>
        <v>Within 1km</v>
      </c>
    </row>
    <row r="244" spans="2:27" hidden="1">
      <c r="B244" s="35" t="s">
        <v>317</v>
      </c>
      <c r="C244" s="35" t="s">
        <v>705</v>
      </c>
      <c r="D244" s="35" t="s">
        <v>341</v>
      </c>
      <c r="E244" s="35"/>
      <c r="F244" s="35" t="s">
        <v>738</v>
      </c>
      <c r="G244" s="35" t="s">
        <v>189</v>
      </c>
      <c r="H244" s="35">
        <v>112</v>
      </c>
      <c r="I244" s="35" t="s">
        <v>389</v>
      </c>
      <c r="J244" s="36">
        <v>2003</v>
      </c>
      <c r="K244" s="39">
        <v>79.0833333333333</v>
      </c>
      <c r="L244" s="37">
        <v>555000</v>
      </c>
      <c r="M244" s="35" t="s">
        <v>739</v>
      </c>
      <c r="N244" s="27">
        <v>541157</v>
      </c>
      <c r="O244" s="38">
        <v>1.38785512397153</v>
      </c>
      <c r="P244" s="38">
        <v>103.90839290098199</v>
      </c>
      <c r="Q244" s="38" t="str" cm="1">
        <f t="array" ref="Q244">INDEX('MRT station dataset'!$C$3:$C$179, MATCH(MIN(SQRT(('MRT station dataset'!$E$3:$E$179-'Resale flat dataset'!O244)^2+('MRT station dataset'!$F$3:$F$179-'Resale flat dataset'!P244)^2)), SQRT(('MRT station dataset'!$E$3:$E$179-'Resale flat dataset'!O244)^2+('MRT station dataset'!$F$3:$F$179-'Resale flat dataset'!P244)^2), 0))</f>
        <v>BAKAU LRT STATION</v>
      </c>
      <c r="R244" s="38" t="str" cm="1">
        <f t="array" ref="R244">INDEX('Mall Dataset'!$B$3:$B$157, MATCH(MIN(SQRT(('Mall Dataset'!$E$3:$E$157-'Resale flat dataset'!O244)^2+('Mall Dataset'!$F$3:$F$157-'Resale flat dataset'!P244)^2)), SQRT(('Mall Dataset'!$E$3:$E$157-'Resale flat dataset'!O244)^2+('Mall Dataset'!$F$3:$F$157-'Resale flat dataset'!P244)^2), 0))</f>
        <v>Rivervale Mall</v>
      </c>
      <c r="S244" s="38" t="str" cm="1">
        <f t="array" ref="S244">INDEX('Schools dataset'!$B$3:$B$187, MATCH(MIN(SQRT(('Schools dataset'!$J$3:$J$187-'Resale flat dataset'!O244)^2+('Schools dataset'!$K$3:$K$187-'Resale flat dataset'!P244)^2)), SQRT(('Schools dataset'!$J$3:$J$187-'Resale flat dataset'!O244)^2+('Schools dataset'!$K$3:$K$187-'Resale flat dataset'!P244)^2), 0))</f>
        <v>NORTH SPRING PRIMARY SCHOOL</v>
      </c>
      <c r="T244" s="39">
        <f>ACOS(COS(RADIANS(90-O244))*COS(RADIANS(90-_xlfn.XLOOKUP(Q244,'MRT station dataset'!$C$3:$C$179,'MRT station dataset'!$E$3:$E$179)))+SIN(RADIANS(90-O244))*SIN(RADIANS(90-_xlfn.XLOOKUP(Q244,'MRT station dataset'!$C$3:$C$179,'MRT station dataset'!$E$3:$E$179)))*COS(RADIANS(P244-_xlfn.XLOOKUP('Resale flat dataset'!Q244,'MRT station dataset'!$C$3:$C$179,'MRT station dataset'!$F$3:$F$179))))*6371*1000</f>
        <v>333.81015233219546</v>
      </c>
      <c r="U244" s="39">
        <f>ACOS(COS(RADIANS(90-O244))*COS(RADIANS(90-_xlfn.XLOOKUP(R244,'Mall Dataset'!$B$3:$B$157,'Mall Dataset'!$E$3:$E$157,,0)))+SIN(RADIANS(90-O244))*SIN(RADIANS(90-_xlfn.XLOOKUP(R244,'Mall Dataset'!$B$3:$B$157,'Mall Dataset'!$E$3:$E$157,,0)))*COS(RADIANS(P244-_xlfn.XLOOKUP(R244,'Mall Dataset'!$B$3:$B$157,'Mall Dataset'!$F$3:$F$157,,0))))*6371*1000</f>
        <v>650.52547996074179</v>
      </c>
      <c r="V244" s="39">
        <f>ACOS(COS(RADIANS(90-O244))*COS(RADIANS(90-_xlfn.XLOOKUP(S244,'Schools dataset'!$B$3:$B$187,'Schools dataset'!$J$3:$J$187,,0)))+SIN(RADIANS(90-O244))*SIN(RADIANS(90-_xlfn.XLOOKUP(S244,'Schools dataset'!$B$3:$B$187,'Schools dataset'!$J$3:$J$187,,0)))*COS(RADIANS(P244-_xlfn.XLOOKUP(S244,'Schools dataset'!$B$3:$B$187,'Schools dataset'!$K$3:$K$187,,0))))*6371*1000</f>
        <v>583.66706075886304</v>
      </c>
      <c r="W244" s="20">
        <f>_xlfn.XLOOKUP(T244,'HDB Recommender'!$P$10:$P$39,'HDB Recommender'!$Q$10:$Q$39,"&gt;30mins",1)</f>
        <v>5</v>
      </c>
      <c r="X244" s="20">
        <f>_xlfn.XLOOKUP(U244,'HDB Recommender'!$P$10:$P$39,'HDB Recommender'!$Q$10:$Q$39,"&gt;30mins",1)</f>
        <v>9</v>
      </c>
      <c r="Y244" s="20">
        <f>_xlfn.XLOOKUP(V244,'HDB Recommender'!$P$10:$P$39,'HDB Recommender'!$Q$10:$Q$39,"&gt;30mins",1)</f>
        <v>8</v>
      </c>
      <c r="Z244" s="39">
        <f t="shared" si="7"/>
        <v>7.333333333333333</v>
      </c>
      <c r="AA244" s="20" t="str">
        <f t="shared" si="6"/>
        <v>Within 1km</v>
      </c>
    </row>
    <row r="245" spans="2:27" hidden="1">
      <c r="B245" s="35" t="s">
        <v>317</v>
      </c>
      <c r="C245" s="35" t="s">
        <v>705</v>
      </c>
      <c r="D245" s="35" t="s">
        <v>341</v>
      </c>
      <c r="E245" s="35"/>
      <c r="F245" s="35" t="s">
        <v>740</v>
      </c>
      <c r="G245" s="35" t="s">
        <v>323</v>
      </c>
      <c r="H245" s="35">
        <v>110</v>
      </c>
      <c r="I245" s="35" t="s">
        <v>326</v>
      </c>
      <c r="J245" s="36">
        <v>2000</v>
      </c>
      <c r="K245" s="39">
        <v>76.1666666666666</v>
      </c>
      <c r="L245" s="37">
        <v>695000</v>
      </c>
      <c r="M245" s="35" t="s">
        <v>741</v>
      </c>
      <c r="N245" s="27">
        <v>541261</v>
      </c>
      <c r="O245" s="38">
        <v>1.3940974696348001</v>
      </c>
      <c r="P245" s="38">
        <v>103.89442184663601</v>
      </c>
      <c r="Q245" s="38" t="str" cm="1">
        <f t="array" ref="Q245">INDEX('MRT station dataset'!$C$3:$C$179, MATCH(MIN(SQRT(('MRT station dataset'!$E$3:$E$179-'Resale flat dataset'!O245)^2+('MRT station dataset'!$F$3:$F$179-'Resale flat dataset'!P245)^2)), SQRT(('MRT station dataset'!$E$3:$E$179-'Resale flat dataset'!O245)^2+('MRT station dataset'!$F$3:$F$179-'Resale flat dataset'!P245)^2), 0))</f>
        <v>CHENG LIM LRT STATION</v>
      </c>
      <c r="R245" s="38" t="str" cm="1">
        <f t="array" ref="R245">INDEX('Mall Dataset'!$B$3:$B$157, MATCH(MIN(SQRT(('Mall Dataset'!$E$3:$E$157-'Resale flat dataset'!O245)^2+('Mall Dataset'!$F$3:$F$157-'Resale flat dataset'!P245)^2)), SQRT(('Mall Dataset'!$E$3:$E$157-'Resale flat dataset'!O245)^2+('Mall Dataset'!$F$3:$F$157-'Resale flat dataset'!P245)^2), 0))</f>
        <v>Compass One</v>
      </c>
      <c r="S245" s="38" t="str" cm="1">
        <f t="array" ref="S245">INDEX('Schools dataset'!$B$3:$B$187, MATCH(MIN(SQRT(('Schools dataset'!$J$3:$J$187-'Resale flat dataset'!O245)^2+('Schools dataset'!$K$3:$K$187-'Resale flat dataset'!P245)^2)), SQRT(('Schools dataset'!$J$3:$J$187-'Resale flat dataset'!O245)^2+('Schools dataset'!$K$3:$K$187-'Resale flat dataset'!P245)^2), 0))</f>
        <v>COMPASSVALE PRIMARY SCHOOL</v>
      </c>
      <c r="T245" s="39">
        <f>ACOS(COS(RADIANS(90-O245))*COS(RADIANS(90-_xlfn.XLOOKUP(Q245,'MRT station dataset'!$C$3:$C$179,'MRT station dataset'!$E$3:$E$179)))+SIN(RADIANS(90-O245))*SIN(RADIANS(90-_xlfn.XLOOKUP(Q245,'MRT station dataset'!$C$3:$C$179,'MRT station dataset'!$E$3:$E$179)))*COS(RADIANS(P245-_xlfn.XLOOKUP('Resale flat dataset'!Q245,'MRT station dataset'!$C$3:$C$179,'MRT station dataset'!$F$3:$F$179))))*6371*1000</f>
        <v>254.47861283249273</v>
      </c>
      <c r="U245" s="39">
        <f>ACOS(COS(RADIANS(90-O245))*COS(RADIANS(90-_xlfn.XLOOKUP(R245,'Mall Dataset'!$B$3:$B$157,'Mall Dataset'!$E$3:$E$157,,0)))+SIN(RADIANS(90-O245))*SIN(RADIANS(90-_xlfn.XLOOKUP(R245,'Mall Dataset'!$B$3:$B$157,'Mall Dataset'!$E$3:$E$157,,0)))*COS(RADIANS(P245-_xlfn.XLOOKUP(R245,'Mall Dataset'!$B$3:$B$157,'Mall Dataset'!$F$3:$F$157,,0))))*6371*1000</f>
        <v>238.48232481814779</v>
      </c>
      <c r="V245" s="39">
        <f>ACOS(COS(RADIANS(90-O245))*COS(RADIANS(90-_xlfn.XLOOKUP(S245,'Schools dataset'!$B$3:$B$187,'Schools dataset'!$J$3:$J$187,,0)))+SIN(RADIANS(90-O245))*SIN(RADIANS(90-_xlfn.XLOOKUP(S245,'Schools dataset'!$B$3:$B$187,'Schools dataset'!$J$3:$J$187,,0)))*COS(RADIANS(P245-_xlfn.XLOOKUP(S245,'Schools dataset'!$B$3:$B$187,'Schools dataset'!$K$3:$K$187,,0))))*6371*1000</f>
        <v>378.86115439964163</v>
      </c>
      <c r="W245" s="20">
        <f>_xlfn.XLOOKUP(T245,'HDB Recommender'!$P$10:$P$39,'HDB Recommender'!$Q$10:$Q$39,"&gt;30mins",1)</f>
        <v>4</v>
      </c>
      <c r="X245" s="20">
        <f>_xlfn.XLOOKUP(U245,'HDB Recommender'!$P$10:$P$39,'HDB Recommender'!$Q$10:$Q$39,"&gt;30mins",1)</f>
        <v>4</v>
      </c>
      <c r="Y245" s="20">
        <f>_xlfn.XLOOKUP(V245,'HDB Recommender'!$P$10:$P$39,'HDB Recommender'!$Q$10:$Q$39,"&gt;30mins",1)</f>
        <v>6</v>
      </c>
      <c r="Z245" s="39">
        <f t="shared" si="7"/>
        <v>4.666666666666667</v>
      </c>
      <c r="AA245" s="20" t="str">
        <f t="shared" si="6"/>
        <v>Within 1km</v>
      </c>
    </row>
    <row r="246" spans="2:27" hidden="1">
      <c r="B246" s="35" t="s">
        <v>317</v>
      </c>
      <c r="C246" s="35" t="s">
        <v>705</v>
      </c>
      <c r="D246" s="35" t="s">
        <v>341</v>
      </c>
      <c r="E246" s="35"/>
      <c r="F246" s="35" t="s">
        <v>740</v>
      </c>
      <c r="G246" s="35" t="s">
        <v>323</v>
      </c>
      <c r="H246" s="35">
        <v>110</v>
      </c>
      <c r="I246" s="35" t="s">
        <v>326</v>
      </c>
      <c r="J246" s="36">
        <v>2000</v>
      </c>
      <c r="K246" s="39">
        <v>76</v>
      </c>
      <c r="L246" s="37">
        <v>590000</v>
      </c>
      <c r="M246" s="35" t="s">
        <v>742</v>
      </c>
      <c r="N246" s="27">
        <v>544121</v>
      </c>
      <c r="O246" s="38">
        <v>1.3857952112165099</v>
      </c>
      <c r="P246" s="38">
        <v>103.90541395859201</v>
      </c>
      <c r="Q246" s="38" t="str" cm="1">
        <f t="array" ref="Q246">INDEX('MRT station dataset'!$C$3:$C$179, MATCH(MIN(SQRT(('MRT station dataset'!$E$3:$E$179-'Resale flat dataset'!O246)^2+('MRT station dataset'!$F$3:$F$179-'Resale flat dataset'!P246)^2)), SQRT(('MRT station dataset'!$E$3:$E$179-'Resale flat dataset'!O246)^2+('MRT station dataset'!$F$3:$F$179-'Resale flat dataset'!P246)^2), 0))</f>
        <v>BAKAU LRT STATION</v>
      </c>
      <c r="R246" s="38" t="str" cm="1">
        <f t="array" ref="R246">INDEX('Mall Dataset'!$B$3:$B$157, MATCH(MIN(SQRT(('Mall Dataset'!$E$3:$E$157-'Resale flat dataset'!O246)^2+('Mall Dataset'!$F$3:$F$157-'Resale flat dataset'!P246)^2)), SQRT(('Mall Dataset'!$E$3:$E$157-'Resale flat dataset'!O246)^2+('Mall Dataset'!$F$3:$F$157-'Resale flat dataset'!P246)^2), 0))</f>
        <v>Rivervale Plaza</v>
      </c>
      <c r="S246" s="38" t="str" cm="1">
        <f t="array" ref="S246">INDEX('Schools dataset'!$B$3:$B$187, MATCH(MIN(SQRT(('Schools dataset'!$J$3:$J$187-'Resale flat dataset'!O246)^2+('Schools dataset'!$K$3:$K$187-'Resale flat dataset'!P246)^2)), SQRT(('Schools dataset'!$J$3:$J$187-'Resale flat dataset'!O246)^2+('Schools dataset'!$K$3:$K$187-'Resale flat dataset'!P246)^2), 0))</f>
        <v>NORTH SPRING PRIMARY SCHOOL</v>
      </c>
      <c r="T246" s="39">
        <f>ACOS(COS(RADIANS(90-O246))*COS(RADIANS(90-_xlfn.XLOOKUP(Q246,'MRT station dataset'!$C$3:$C$179,'MRT station dataset'!$E$3:$E$179)))+SIN(RADIANS(90-O246))*SIN(RADIANS(90-_xlfn.XLOOKUP(Q246,'MRT station dataset'!$C$3:$C$179,'MRT station dataset'!$E$3:$E$179)))*COS(RADIANS(P246-_xlfn.XLOOKUP('Resale flat dataset'!Q246,'MRT station dataset'!$C$3:$C$179,'MRT station dataset'!$F$3:$F$179))))*6371*1000</f>
        <v>256.28553409761844</v>
      </c>
      <c r="U246" s="39">
        <f>ACOS(COS(RADIANS(90-O246))*COS(RADIANS(90-_xlfn.XLOOKUP(R246,'Mall Dataset'!$B$3:$B$157,'Mall Dataset'!$E$3:$E$157,,0)))+SIN(RADIANS(90-O246))*SIN(RADIANS(90-_xlfn.XLOOKUP(R246,'Mall Dataset'!$B$3:$B$157,'Mall Dataset'!$E$3:$E$157,,0)))*COS(RADIANS(P246-_xlfn.XLOOKUP(R246,'Mall Dataset'!$B$3:$B$157,'Mall Dataset'!$F$3:$F$157,,0))))*6371*1000</f>
        <v>382.16294703438103</v>
      </c>
      <c r="V246" s="39">
        <f>ACOS(COS(RADIANS(90-O246))*COS(RADIANS(90-_xlfn.XLOOKUP(S246,'Schools dataset'!$B$3:$B$187,'Schools dataset'!$J$3:$J$187,,0)))+SIN(RADIANS(90-O246))*SIN(RADIANS(90-_xlfn.XLOOKUP(S246,'Schools dataset'!$B$3:$B$187,'Schools dataset'!$J$3:$J$187,,0)))*COS(RADIANS(P246-_xlfn.XLOOKUP(S246,'Schools dataset'!$B$3:$B$187,'Schools dataset'!$K$3:$K$187,,0))))*6371*1000</f>
        <v>283.28042295634083</v>
      </c>
      <c r="W246" s="20">
        <f>_xlfn.XLOOKUP(T246,'HDB Recommender'!$P$10:$P$39,'HDB Recommender'!$Q$10:$Q$39,"&gt;30mins",1)</f>
        <v>4</v>
      </c>
      <c r="X246" s="20">
        <f>_xlfn.XLOOKUP(U246,'HDB Recommender'!$P$10:$P$39,'HDB Recommender'!$Q$10:$Q$39,"&gt;30mins",1)</f>
        <v>6</v>
      </c>
      <c r="Y246" s="20">
        <f>_xlfn.XLOOKUP(V246,'HDB Recommender'!$P$10:$P$39,'HDB Recommender'!$Q$10:$Q$39,"&gt;30mins",1)</f>
        <v>4</v>
      </c>
      <c r="Z246" s="39">
        <f t="shared" si="7"/>
        <v>4.666666666666667</v>
      </c>
      <c r="AA246" s="20" t="str">
        <f t="shared" si="6"/>
        <v>Within 1km</v>
      </c>
    </row>
    <row r="247" spans="2:27" hidden="1">
      <c r="B247" s="35" t="s">
        <v>317</v>
      </c>
      <c r="C247" s="35" t="s">
        <v>705</v>
      </c>
      <c r="D247" s="35" t="s">
        <v>383</v>
      </c>
      <c r="E247" s="35"/>
      <c r="F247" s="35" t="s">
        <v>743</v>
      </c>
      <c r="G247" s="35" t="s">
        <v>346</v>
      </c>
      <c r="H247" s="35">
        <v>131</v>
      </c>
      <c r="I247" s="35" t="s">
        <v>384</v>
      </c>
      <c r="J247" s="36">
        <v>2000</v>
      </c>
      <c r="K247" s="39">
        <v>75.8333333333333</v>
      </c>
      <c r="L247" s="37">
        <v>718000</v>
      </c>
      <c r="M247" s="35" t="s">
        <v>744</v>
      </c>
      <c r="N247" s="27">
        <v>542189</v>
      </c>
      <c r="O247" s="38">
        <v>1.3957956866723999</v>
      </c>
      <c r="P247" s="38">
        <v>103.903630293443</v>
      </c>
      <c r="Q247" s="38" t="str" cm="1">
        <f t="array" ref="Q247">INDEX('MRT station dataset'!$C$3:$C$179, MATCH(MIN(SQRT(('MRT station dataset'!$E$3:$E$179-'Resale flat dataset'!O247)^2+('MRT station dataset'!$F$3:$F$179-'Resale flat dataset'!P247)^2)), SQRT(('MRT station dataset'!$E$3:$E$179-'Resale flat dataset'!O247)^2+('MRT station dataset'!$F$3:$F$179-'Resale flat dataset'!P247)^2), 0))</f>
        <v>COMPASSVALE LRT STATION</v>
      </c>
      <c r="R247" s="38" t="str" cm="1">
        <f t="array" ref="R247">INDEX('Mall Dataset'!$B$3:$B$157, MATCH(MIN(SQRT(('Mall Dataset'!$E$3:$E$157-'Resale flat dataset'!O247)^2+('Mall Dataset'!$F$3:$F$157-'Resale flat dataset'!P247)^2)), SQRT(('Mall Dataset'!$E$3:$E$157-'Resale flat dataset'!O247)^2+('Mall Dataset'!$F$3:$F$157-'Resale flat dataset'!P247)^2), 0))</f>
        <v>Rivervale Mall</v>
      </c>
      <c r="S247" s="38" t="str" cm="1">
        <f t="array" ref="S247">INDEX('Schools dataset'!$B$3:$B$187, MATCH(MIN(SQRT(('Schools dataset'!$J$3:$J$187-'Resale flat dataset'!O247)^2+('Schools dataset'!$K$3:$K$187-'Resale flat dataset'!P247)^2)), SQRT(('Schools dataset'!$J$3:$J$187-'Resale flat dataset'!O247)^2+('Schools dataset'!$K$3:$K$187-'Resale flat dataset'!P247)^2), 0))</f>
        <v>RIVERVALE PRIMARY SCHOOL</v>
      </c>
      <c r="T247" s="39">
        <f>ACOS(COS(RADIANS(90-O247))*COS(RADIANS(90-_xlfn.XLOOKUP(Q247,'MRT station dataset'!$C$3:$C$179,'MRT station dataset'!$E$3:$E$179)))+SIN(RADIANS(90-O247))*SIN(RADIANS(90-_xlfn.XLOOKUP(Q247,'MRT station dataset'!$C$3:$C$179,'MRT station dataset'!$E$3:$E$179)))*COS(RADIANS(P247-_xlfn.XLOOKUP('Resale flat dataset'!Q247,'MRT station dataset'!$C$3:$C$179,'MRT station dataset'!$F$3:$F$179))))*6371*1000</f>
        <v>376.61660720985157</v>
      </c>
      <c r="U247" s="39">
        <f>ACOS(COS(RADIANS(90-O247))*COS(RADIANS(90-_xlfn.XLOOKUP(R247,'Mall Dataset'!$B$3:$B$157,'Mall Dataset'!$E$3:$E$157,,0)))+SIN(RADIANS(90-O247))*SIN(RADIANS(90-_xlfn.XLOOKUP(R247,'Mall Dataset'!$B$3:$B$157,'Mall Dataset'!$E$3:$E$157,,0)))*COS(RADIANS(P247-_xlfn.XLOOKUP(R247,'Mall Dataset'!$B$3:$B$157,'Mall Dataset'!$F$3:$F$157,,0))))*6371*1000</f>
        <v>410.8546776697537</v>
      </c>
      <c r="V247" s="39">
        <f>ACOS(COS(RADIANS(90-O247))*COS(RADIANS(90-_xlfn.XLOOKUP(S247,'Schools dataset'!$B$3:$B$187,'Schools dataset'!$J$3:$J$187,,0)))+SIN(RADIANS(90-O247))*SIN(RADIANS(90-_xlfn.XLOOKUP(S247,'Schools dataset'!$B$3:$B$187,'Schools dataset'!$J$3:$J$187,,0)))*COS(RADIANS(P247-_xlfn.XLOOKUP(S247,'Schools dataset'!$B$3:$B$187,'Schools dataset'!$K$3:$K$187,,0))))*6371*1000</f>
        <v>284.67947533813123</v>
      </c>
      <c r="W247" s="20">
        <f>_xlfn.XLOOKUP(T247,'HDB Recommender'!$P$10:$P$39,'HDB Recommender'!$Q$10:$Q$39,"&gt;30mins",1)</f>
        <v>6</v>
      </c>
      <c r="X247" s="20">
        <f>_xlfn.XLOOKUP(U247,'HDB Recommender'!$P$10:$P$39,'HDB Recommender'!$Q$10:$Q$39,"&gt;30mins",1)</f>
        <v>6</v>
      </c>
      <c r="Y247" s="20">
        <f>_xlfn.XLOOKUP(V247,'HDB Recommender'!$P$10:$P$39,'HDB Recommender'!$Q$10:$Q$39,"&gt;30mins",1)</f>
        <v>4</v>
      </c>
      <c r="Z247" s="39">
        <f t="shared" si="7"/>
        <v>5.333333333333333</v>
      </c>
      <c r="AA247" s="20" t="str">
        <f t="shared" si="6"/>
        <v>Within 1km</v>
      </c>
    </row>
    <row r="248" spans="2:27" hidden="1">
      <c r="B248" s="35" t="s">
        <v>317</v>
      </c>
      <c r="C248" s="35" t="s">
        <v>745</v>
      </c>
      <c r="D248" s="35" t="s">
        <v>318</v>
      </c>
      <c r="E248" s="35">
        <v>214</v>
      </c>
      <c r="F248" s="35" t="s">
        <v>746</v>
      </c>
      <c r="G248" s="35" t="s">
        <v>349</v>
      </c>
      <c r="H248" s="35">
        <v>67</v>
      </c>
      <c r="I248" s="35" t="s">
        <v>320</v>
      </c>
      <c r="J248" s="36">
        <v>1985</v>
      </c>
      <c r="K248" s="39">
        <v>60.4166666666666</v>
      </c>
      <c r="L248" s="37">
        <v>390000</v>
      </c>
      <c r="M248" s="35" t="s">
        <v>747</v>
      </c>
      <c r="N248" s="27">
        <v>550214</v>
      </c>
      <c r="O248" s="38">
        <v>1.3573242685270099</v>
      </c>
      <c r="P248" s="38">
        <v>103.873634696558</v>
      </c>
      <c r="Q248" s="38" t="str" cm="1">
        <f t="array" ref="Q248">INDEX('MRT station dataset'!$C$3:$C$179, MATCH(MIN(SQRT(('MRT station dataset'!$E$3:$E$179-'Resale flat dataset'!O248)^2+('MRT station dataset'!$F$3:$F$179-'Resale flat dataset'!P248)^2)), SQRT(('MRT station dataset'!$E$3:$E$179-'Resale flat dataset'!O248)^2+('MRT station dataset'!$F$3:$F$179-'Resale flat dataset'!P248)^2), 0))</f>
        <v>SERANGOON MRT STATION</v>
      </c>
      <c r="R248" s="38" t="str" cm="1">
        <f t="array" ref="R248">INDEX('Mall Dataset'!$B$3:$B$157, MATCH(MIN(SQRT(('Mall Dataset'!$E$3:$E$157-'Resale flat dataset'!O248)^2+('Mall Dataset'!$F$3:$F$157-'Resale flat dataset'!P248)^2)), SQRT(('Mall Dataset'!$E$3:$E$157-'Resale flat dataset'!O248)^2+('Mall Dataset'!$F$3:$F$157-'Resale flat dataset'!P248)^2), 0))</f>
        <v>Upper Serangoon Shopping Centre</v>
      </c>
      <c r="S248" s="38" t="str" cm="1">
        <f t="array" ref="S248">INDEX('Schools dataset'!$B$3:$B$187, MATCH(MIN(SQRT(('Schools dataset'!$J$3:$J$187-'Resale flat dataset'!O248)^2+('Schools dataset'!$K$3:$K$187-'Resale flat dataset'!P248)^2)), SQRT(('Schools dataset'!$J$3:$J$187-'Resale flat dataset'!O248)^2+('Schools dataset'!$K$3:$K$187-'Resale flat dataset'!P248)^2), 0))</f>
        <v>ZHONGHUA PRIMARY SCHOOL</v>
      </c>
      <c r="T248" s="39">
        <f>ACOS(COS(RADIANS(90-O248))*COS(RADIANS(90-_xlfn.XLOOKUP(Q248,'MRT station dataset'!$C$3:$C$179,'MRT station dataset'!$E$3:$E$179)))+SIN(RADIANS(90-O248))*SIN(RADIANS(90-_xlfn.XLOOKUP(Q248,'MRT station dataset'!$C$3:$C$179,'MRT station dataset'!$E$3:$E$179)))*COS(RADIANS(P248-_xlfn.XLOOKUP('Resale flat dataset'!Q248,'MRT station dataset'!$C$3:$C$179,'MRT station dataset'!$F$3:$F$179))))*6371*1000</f>
        <v>847.78875321793362</v>
      </c>
      <c r="U248" s="39">
        <f>ACOS(COS(RADIANS(90-O248))*COS(RADIANS(90-_xlfn.XLOOKUP(R248,'Mall Dataset'!$B$3:$B$157,'Mall Dataset'!$E$3:$E$157,,0)))+SIN(RADIANS(90-O248))*SIN(RADIANS(90-_xlfn.XLOOKUP(R248,'Mall Dataset'!$B$3:$B$157,'Mall Dataset'!$E$3:$E$157,,0)))*COS(RADIANS(P248-_xlfn.XLOOKUP(R248,'Mall Dataset'!$B$3:$B$157,'Mall Dataset'!$F$3:$F$157,,0))))*6371*1000</f>
        <v>718.29500733564089</v>
      </c>
      <c r="V248" s="39">
        <f>ACOS(COS(RADIANS(90-O248))*COS(RADIANS(90-_xlfn.XLOOKUP(S248,'Schools dataset'!$B$3:$B$187,'Schools dataset'!$J$3:$J$187,,0)))+SIN(RADIANS(90-O248))*SIN(RADIANS(90-_xlfn.XLOOKUP(S248,'Schools dataset'!$B$3:$B$187,'Schools dataset'!$J$3:$J$187,,0)))*COS(RADIANS(P248-_xlfn.XLOOKUP(S248,'Schools dataset'!$B$3:$B$187,'Schools dataset'!$K$3:$K$187,,0))))*6371*1000</f>
        <v>544.71459190964674</v>
      </c>
      <c r="W248" s="20">
        <f>_xlfn.XLOOKUP(T248,'HDB Recommender'!$P$10:$P$39,'HDB Recommender'!$Q$10:$Q$39,"&gt;30mins",1)</f>
        <v>12</v>
      </c>
      <c r="X248" s="20">
        <f>_xlfn.XLOOKUP(U248,'HDB Recommender'!$P$10:$P$39,'HDB Recommender'!$Q$10:$Q$39,"&gt;30mins",1)</f>
        <v>10</v>
      </c>
      <c r="Y248" s="20">
        <f>_xlfn.XLOOKUP(V248,'HDB Recommender'!$P$10:$P$39,'HDB Recommender'!$Q$10:$Q$39,"&gt;30mins",1)</f>
        <v>8</v>
      </c>
      <c r="Z248" s="39">
        <f t="shared" si="7"/>
        <v>10</v>
      </c>
      <c r="AA248" s="20" t="str">
        <f t="shared" si="6"/>
        <v>Within 1km</v>
      </c>
    </row>
    <row r="249" spans="2:27" hidden="1">
      <c r="B249" s="35" t="s">
        <v>317</v>
      </c>
      <c r="C249" s="35" t="s">
        <v>745</v>
      </c>
      <c r="D249" s="35" t="s">
        <v>20</v>
      </c>
      <c r="E249" s="35">
        <v>217</v>
      </c>
      <c r="F249" s="35" t="s">
        <v>746</v>
      </c>
      <c r="G249" s="35" t="s">
        <v>349</v>
      </c>
      <c r="H249" s="35">
        <v>91</v>
      </c>
      <c r="I249" s="35" t="s">
        <v>320</v>
      </c>
      <c r="J249" s="36">
        <v>1984</v>
      </c>
      <c r="K249" s="39">
        <v>60.0833333333333</v>
      </c>
      <c r="L249" s="37">
        <v>558000</v>
      </c>
      <c r="M249" s="35" t="s">
        <v>748</v>
      </c>
      <c r="N249" s="27">
        <v>550217</v>
      </c>
      <c r="O249" s="38">
        <v>1.35760697804251</v>
      </c>
      <c r="P249" s="38">
        <v>103.872261070554</v>
      </c>
      <c r="Q249" s="38" t="str" cm="1">
        <f t="array" ref="Q249">INDEX('MRT station dataset'!$C$3:$C$179, MATCH(MIN(SQRT(('MRT station dataset'!$E$3:$E$179-'Resale flat dataset'!O249)^2+('MRT station dataset'!$F$3:$F$179-'Resale flat dataset'!P249)^2)), SQRT(('MRT station dataset'!$E$3:$E$179-'Resale flat dataset'!O249)^2+('MRT station dataset'!$F$3:$F$179-'Resale flat dataset'!P249)^2), 0))</f>
        <v>SERANGOON MRT STATION</v>
      </c>
      <c r="R249" s="38" t="str" cm="1">
        <f t="array" ref="R249">INDEX('Mall Dataset'!$B$3:$B$157, MATCH(MIN(SQRT(('Mall Dataset'!$E$3:$E$157-'Resale flat dataset'!O249)^2+('Mall Dataset'!$F$3:$F$157-'Resale flat dataset'!P249)^2)), SQRT(('Mall Dataset'!$E$3:$E$157-'Resale flat dataset'!O249)^2+('Mall Dataset'!$F$3:$F$157-'Resale flat dataset'!P249)^2), 0))</f>
        <v>NEX</v>
      </c>
      <c r="S249" s="38" t="str" cm="1">
        <f t="array" ref="S249">INDEX('Schools dataset'!$B$3:$B$187, MATCH(MIN(SQRT(('Schools dataset'!$J$3:$J$187-'Resale flat dataset'!O249)^2+('Schools dataset'!$K$3:$K$187-'Resale flat dataset'!P249)^2)), SQRT(('Schools dataset'!$J$3:$J$187-'Resale flat dataset'!O249)^2+('Schools dataset'!$K$3:$K$187-'Resale flat dataset'!P249)^2), 0))</f>
        <v>ZHONGHUA PRIMARY SCHOOL</v>
      </c>
      <c r="T249" s="39">
        <f>ACOS(COS(RADIANS(90-O249))*COS(RADIANS(90-_xlfn.XLOOKUP(Q249,'MRT station dataset'!$C$3:$C$179,'MRT station dataset'!$E$3:$E$179)))+SIN(RADIANS(90-O249))*SIN(RADIANS(90-_xlfn.XLOOKUP(Q249,'MRT station dataset'!$C$3:$C$179,'MRT station dataset'!$E$3:$E$179)))*COS(RADIANS(P249-_xlfn.XLOOKUP('Resale flat dataset'!Q249,'MRT station dataset'!$C$3:$C$179,'MRT station dataset'!$F$3:$F$179))))*6371*1000</f>
        <v>891.72530386335416</v>
      </c>
      <c r="U249" s="39">
        <f>ACOS(COS(RADIANS(90-O249))*COS(RADIANS(90-_xlfn.XLOOKUP(R249,'Mall Dataset'!$B$3:$B$157,'Mall Dataset'!$E$3:$E$157,,0)))+SIN(RADIANS(90-O249))*SIN(RADIANS(90-_xlfn.XLOOKUP(R249,'Mall Dataset'!$B$3:$B$157,'Mall Dataset'!$E$3:$E$157,,0)))*COS(RADIANS(P249-_xlfn.XLOOKUP(R249,'Mall Dataset'!$B$3:$B$157,'Mall Dataset'!$F$3:$F$157,,0))))*6371*1000</f>
        <v>760.31926429144539</v>
      </c>
      <c r="V249" s="39">
        <f>ACOS(COS(RADIANS(90-O249))*COS(RADIANS(90-_xlfn.XLOOKUP(S249,'Schools dataset'!$B$3:$B$187,'Schools dataset'!$J$3:$J$187,,0)))+SIN(RADIANS(90-O249))*SIN(RADIANS(90-_xlfn.XLOOKUP(S249,'Schools dataset'!$B$3:$B$187,'Schools dataset'!$J$3:$J$187,,0)))*COS(RADIANS(P249-_xlfn.XLOOKUP(S249,'Schools dataset'!$B$3:$B$187,'Schools dataset'!$K$3:$K$187,,0))))*6371*1000</f>
        <v>409.06801408696936</v>
      </c>
      <c r="W249" s="20">
        <f>_xlfn.XLOOKUP(T249,'HDB Recommender'!$P$10:$P$39,'HDB Recommender'!$Q$10:$Q$39,"&gt;30mins",1)</f>
        <v>12</v>
      </c>
      <c r="X249" s="20">
        <f>_xlfn.XLOOKUP(U249,'HDB Recommender'!$P$10:$P$39,'HDB Recommender'!$Q$10:$Q$39,"&gt;30mins",1)</f>
        <v>11</v>
      </c>
      <c r="Y249" s="20">
        <f>_xlfn.XLOOKUP(V249,'HDB Recommender'!$P$10:$P$39,'HDB Recommender'!$Q$10:$Q$39,"&gt;30mins",1)</f>
        <v>6</v>
      </c>
      <c r="Z249" s="39">
        <f t="shared" si="7"/>
        <v>9.6666666666666661</v>
      </c>
      <c r="AA249" s="20" t="str">
        <f t="shared" si="6"/>
        <v>Within 1km</v>
      </c>
    </row>
    <row r="250" spans="2:27" hidden="1">
      <c r="B250" s="35" t="s">
        <v>317</v>
      </c>
      <c r="C250" s="35" t="s">
        <v>745</v>
      </c>
      <c r="D250" s="35" t="s">
        <v>20</v>
      </c>
      <c r="E250" s="35">
        <v>541</v>
      </c>
      <c r="F250" s="35" t="s">
        <v>749</v>
      </c>
      <c r="G250" s="35" t="s">
        <v>349</v>
      </c>
      <c r="H250" s="35">
        <v>104</v>
      </c>
      <c r="I250" s="35" t="s">
        <v>335</v>
      </c>
      <c r="J250" s="36">
        <v>1992</v>
      </c>
      <c r="K250" s="39">
        <v>68.0833333333333</v>
      </c>
      <c r="L250" s="37">
        <v>560000</v>
      </c>
      <c r="M250" s="35" t="s">
        <v>750</v>
      </c>
      <c r="N250" s="27">
        <v>550541</v>
      </c>
      <c r="O250" s="38">
        <v>1.3743006174332799</v>
      </c>
      <c r="P250" s="38">
        <v>103.87255691380901</v>
      </c>
      <c r="Q250" s="38" t="str" cm="1">
        <f t="array" ref="Q250">INDEX('MRT station dataset'!$C$3:$C$179, MATCH(MIN(SQRT(('MRT station dataset'!$E$3:$E$179-'Resale flat dataset'!O250)^2+('MRT station dataset'!$F$3:$F$179-'Resale flat dataset'!P250)^2)), SQRT(('MRT station dataset'!$E$3:$E$179-'Resale flat dataset'!O250)^2+('MRT station dataset'!$F$3:$F$179-'Resale flat dataset'!P250)^2), 0))</f>
        <v>FERNVALE LRT STATION</v>
      </c>
      <c r="R250" s="38" t="str" cm="1">
        <f t="array" ref="R250">INDEX('Mall Dataset'!$B$3:$B$157, MATCH(MIN(SQRT(('Mall Dataset'!$E$3:$E$157-'Resale flat dataset'!O250)^2+('Mall Dataset'!$F$3:$F$157-'Resale flat dataset'!P250)^2)), SQRT(('Mall Dataset'!$E$3:$E$157-'Resale flat dataset'!O250)^2+('Mall Dataset'!$F$3:$F$157-'Resale flat dataset'!P250)^2), 0))</f>
        <v>myVillage At Serangoon Garden</v>
      </c>
      <c r="S250" s="38" t="str" cm="1">
        <f t="array" ref="S250">INDEX('Schools dataset'!$B$3:$B$187, MATCH(MIN(SQRT(('Schools dataset'!$J$3:$J$187-'Resale flat dataset'!O250)^2+('Schools dataset'!$K$3:$K$187-'Resale flat dataset'!P250)^2)), SQRT(('Schools dataset'!$J$3:$J$187-'Resale flat dataset'!O250)^2+('Schools dataset'!$K$3:$K$187-'Resale flat dataset'!P250)^2), 0))</f>
        <v>ROSYTH SCHOOL</v>
      </c>
      <c r="T250" s="39">
        <f>ACOS(COS(RADIANS(90-O250))*COS(RADIANS(90-_xlfn.XLOOKUP(Q250,'MRT station dataset'!$C$3:$C$179,'MRT station dataset'!$E$3:$E$179)))+SIN(RADIANS(90-O250))*SIN(RADIANS(90-_xlfn.XLOOKUP(Q250,'MRT station dataset'!$C$3:$C$179,'MRT station dataset'!$E$3:$E$179)))*COS(RADIANS(P250-_xlfn.XLOOKUP('Resale flat dataset'!Q250,'MRT station dataset'!$C$3:$C$179,'MRT station dataset'!$F$3:$F$179))))*6371*1000</f>
        <v>2000.7079127760346</v>
      </c>
      <c r="U250" s="39">
        <f>ACOS(COS(RADIANS(90-O250))*COS(RADIANS(90-_xlfn.XLOOKUP(R250,'Mall Dataset'!$B$3:$B$157,'Mall Dataset'!$E$3:$E$157,,0)))+SIN(RADIANS(90-O250))*SIN(RADIANS(90-_xlfn.XLOOKUP(R250,'Mall Dataset'!$B$3:$B$157,'Mall Dataset'!$E$3:$E$157,,0)))*COS(RADIANS(P250-_xlfn.XLOOKUP(R250,'Mall Dataset'!$B$3:$B$157,'Mall Dataset'!$F$3:$F$157,,0))))*6371*1000</f>
        <v>1311.2882614077528</v>
      </c>
      <c r="V250" s="39">
        <f>ACOS(COS(RADIANS(90-O250))*COS(RADIANS(90-_xlfn.XLOOKUP(S250,'Schools dataset'!$B$3:$B$187,'Schools dataset'!$J$3:$J$187,,0)))+SIN(RADIANS(90-O250))*SIN(RADIANS(90-_xlfn.XLOOKUP(S250,'Schools dataset'!$B$3:$B$187,'Schools dataset'!$J$3:$J$187,,0)))*COS(RADIANS(P250-_xlfn.XLOOKUP(S250,'Schools dataset'!$B$3:$B$187,'Schools dataset'!$K$3:$K$187,,0))))*6371*1000</f>
        <v>293.82756920322083</v>
      </c>
      <c r="W250" s="20">
        <f>_xlfn.XLOOKUP(T250,'HDB Recommender'!$P$10:$P$39,'HDB Recommender'!$Q$10:$Q$39,"&gt;30mins",1)</f>
        <v>27</v>
      </c>
      <c r="X250" s="20">
        <f>_xlfn.XLOOKUP(U250,'HDB Recommender'!$P$10:$P$39,'HDB Recommender'!$Q$10:$Q$39,"&gt;30mins",1)</f>
        <v>18</v>
      </c>
      <c r="Y250" s="20">
        <f>_xlfn.XLOOKUP(V250,'HDB Recommender'!$P$10:$P$39,'HDB Recommender'!$Q$10:$Q$39,"&gt;30mins",1)</f>
        <v>4</v>
      </c>
      <c r="Z250" s="39">
        <f t="shared" si="7"/>
        <v>16.333333333333332</v>
      </c>
      <c r="AA250" s="20" t="str">
        <f t="shared" si="6"/>
        <v>Within 1km</v>
      </c>
    </row>
    <row r="251" spans="2:27" hidden="1">
      <c r="B251" s="35" t="s">
        <v>317</v>
      </c>
      <c r="C251" s="35" t="s">
        <v>751</v>
      </c>
      <c r="D251" s="35" t="s">
        <v>318</v>
      </c>
      <c r="E251" s="35"/>
      <c r="F251" s="35" t="s">
        <v>752</v>
      </c>
      <c r="G251" s="35" t="s">
        <v>346</v>
      </c>
      <c r="H251" s="35">
        <v>67</v>
      </c>
      <c r="I251" s="35" t="s">
        <v>335</v>
      </c>
      <c r="J251" s="36">
        <v>2015</v>
      </c>
      <c r="K251" s="39">
        <v>90.75</v>
      </c>
      <c r="L251" s="37">
        <v>520000</v>
      </c>
      <c r="M251" s="35" t="s">
        <v>753</v>
      </c>
      <c r="N251" s="27">
        <v>521869</v>
      </c>
      <c r="O251" s="38">
        <v>1.35501799093941</v>
      </c>
      <c r="P251" s="38">
        <v>103.93231742742999</v>
      </c>
      <c r="Q251" s="38" t="str" cm="1">
        <f t="array" ref="Q251">INDEX('MRT station dataset'!$C$3:$C$179, MATCH(MIN(SQRT(('MRT station dataset'!$E$3:$E$179-'Resale flat dataset'!O251)^2+('MRT station dataset'!$F$3:$F$179-'Resale flat dataset'!P251)^2)), SQRT(('MRT station dataset'!$E$3:$E$179-'Resale flat dataset'!O251)^2+('MRT station dataset'!$F$3:$F$179-'Resale flat dataset'!P251)^2), 0))</f>
        <v>TAMPINES WEST MRT STATION</v>
      </c>
      <c r="R251" s="38" t="str" cm="1">
        <f t="array" ref="R251">INDEX('Mall Dataset'!$B$3:$B$157, MATCH(MIN(SQRT(('Mall Dataset'!$E$3:$E$157-'Resale flat dataset'!O251)^2+('Mall Dataset'!$F$3:$F$157-'Resale flat dataset'!P251)^2)), SQRT(('Mall Dataset'!$E$3:$E$157-'Resale flat dataset'!O251)^2+('Mall Dataset'!$F$3:$F$157-'Resale flat dataset'!P251)^2), 0))</f>
        <v>Fairprice Hub</v>
      </c>
      <c r="S251" s="38" t="str" cm="1">
        <f t="array" ref="S251">INDEX('Schools dataset'!$B$3:$B$187, MATCH(MIN(SQRT(('Schools dataset'!$J$3:$J$187-'Resale flat dataset'!O251)^2+('Schools dataset'!$K$3:$K$187-'Resale flat dataset'!P251)^2)), SQRT(('Schools dataset'!$J$3:$J$187-'Resale flat dataset'!O251)^2+('Schools dataset'!$K$3:$K$187-'Resale flat dataset'!P251)^2), 0))</f>
        <v>POI CHING SCHOOL</v>
      </c>
      <c r="T251" s="39">
        <f>ACOS(COS(RADIANS(90-O251))*COS(RADIANS(90-_xlfn.XLOOKUP(Q251,'MRT station dataset'!$C$3:$C$179,'MRT station dataset'!$E$3:$E$179)))+SIN(RADIANS(90-O251))*SIN(RADIANS(90-_xlfn.XLOOKUP(Q251,'MRT station dataset'!$C$3:$C$179,'MRT station dataset'!$E$3:$E$179)))*COS(RADIANS(P251-_xlfn.XLOOKUP('Resale flat dataset'!Q251,'MRT station dataset'!$C$3:$C$179,'MRT station dataset'!$F$3:$F$179))))*6371*1000</f>
        <v>1255.9086535043675</v>
      </c>
      <c r="U251" s="39">
        <f>ACOS(COS(RADIANS(90-O251))*COS(RADIANS(90-_xlfn.XLOOKUP(R251,'Mall Dataset'!$B$3:$B$157,'Mall Dataset'!$E$3:$E$157,,0)))+SIN(RADIANS(90-O251))*SIN(RADIANS(90-_xlfn.XLOOKUP(R251,'Mall Dataset'!$B$3:$B$157,'Mall Dataset'!$E$3:$E$157,,0)))*COS(RADIANS(P251-_xlfn.XLOOKUP(R251,'Mall Dataset'!$B$3:$B$157,'Mall Dataset'!$F$3:$F$157,,0))))*6371*1000</f>
        <v>885.83783732752511</v>
      </c>
      <c r="V251" s="39">
        <f>ACOS(COS(RADIANS(90-O251))*COS(RADIANS(90-_xlfn.XLOOKUP(S251,'Schools dataset'!$B$3:$B$187,'Schools dataset'!$J$3:$J$187,,0)))+SIN(RADIANS(90-O251))*SIN(RADIANS(90-_xlfn.XLOOKUP(S251,'Schools dataset'!$B$3:$B$187,'Schools dataset'!$J$3:$J$187,,0)))*COS(RADIANS(P251-_xlfn.XLOOKUP(S251,'Schools dataset'!$B$3:$B$187,'Schools dataset'!$K$3:$K$187,,0))))*6371*1000</f>
        <v>437.8944312963946</v>
      </c>
      <c r="W251" s="20">
        <f>_xlfn.XLOOKUP(T251,'HDB Recommender'!$P$10:$P$39,'HDB Recommender'!$Q$10:$Q$39,"&gt;30mins",1)</f>
        <v>17</v>
      </c>
      <c r="X251" s="20">
        <f>_xlfn.XLOOKUP(U251,'HDB Recommender'!$P$10:$P$39,'HDB Recommender'!$Q$10:$Q$39,"&gt;30mins",1)</f>
        <v>12</v>
      </c>
      <c r="Y251" s="20">
        <f>_xlfn.XLOOKUP(V251,'HDB Recommender'!$P$10:$P$39,'HDB Recommender'!$Q$10:$Q$39,"&gt;30mins",1)</f>
        <v>6</v>
      </c>
      <c r="Z251" s="39">
        <f t="shared" si="7"/>
        <v>11.666666666666666</v>
      </c>
      <c r="AA251" s="20" t="str">
        <f t="shared" si="6"/>
        <v>Within 1km</v>
      </c>
    </row>
    <row r="252" spans="2:27" hidden="1">
      <c r="B252" s="35" t="s">
        <v>317</v>
      </c>
      <c r="C252" s="35" t="s">
        <v>751</v>
      </c>
      <c r="D252" s="35" t="s">
        <v>318</v>
      </c>
      <c r="E252" s="35">
        <v>217</v>
      </c>
      <c r="F252" s="35" t="s">
        <v>754</v>
      </c>
      <c r="G252" s="35" t="s">
        <v>189</v>
      </c>
      <c r="H252" s="35">
        <v>67</v>
      </c>
      <c r="I252" s="35" t="s">
        <v>320</v>
      </c>
      <c r="J252" s="36">
        <v>1986</v>
      </c>
      <c r="K252" s="39">
        <v>61.5</v>
      </c>
      <c r="L252" s="37">
        <v>420000</v>
      </c>
      <c r="M252" s="35" t="s">
        <v>755</v>
      </c>
      <c r="N252" s="27">
        <v>520217</v>
      </c>
      <c r="O252" s="38">
        <v>1.35416816346776</v>
      </c>
      <c r="P252" s="38">
        <v>103.951861755793</v>
      </c>
      <c r="Q252" s="38" t="str" cm="1">
        <f t="array" ref="Q252">INDEX('MRT station dataset'!$C$3:$C$179, MATCH(MIN(SQRT(('MRT station dataset'!$E$3:$E$179-'Resale flat dataset'!O252)^2+('MRT station dataset'!$F$3:$F$179-'Resale flat dataset'!P252)^2)), SQRT(('MRT station dataset'!$E$3:$E$179-'Resale flat dataset'!O252)^2+('MRT station dataset'!$F$3:$F$179-'Resale flat dataset'!P252)^2), 0))</f>
        <v>TAMPINES EAST MRT STATION</v>
      </c>
      <c r="R252" s="38" t="str" cm="1">
        <f t="array" ref="R252">INDEX('Mall Dataset'!$B$3:$B$157, MATCH(MIN(SQRT(('Mall Dataset'!$E$3:$E$157-'Resale flat dataset'!O252)^2+('Mall Dataset'!$F$3:$F$157-'Resale flat dataset'!P252)^2)), SQRT(('Mall Dataset'!$E$3:$E$157-'Resale flat dataset'!O252)^2+('Mall Dataset'!$F$3:$F$157-'Resale flat dataset'!P252)^2), 0))</f>
        <v>Tampines Mall</v>
      </c>
      <c r="S252" s="38" t="str" cm="1">
        <f t="array" ref="S252">INDEX('Schools dataset'!$B$3:$B$187, MATCH(MIN(SQRT(('Schools dataset'!$J$3:$J$187-'Resale flat dataset'!O252)^2+('Schools dataset'!$K$3:$K$187-'Resale flat dataset'!P252)^2)), SQRT(('Schools dataset'!$J$3:$J$187-'Resale flat dataset'!O252)^2+('Schools dataset'!$K$3:$K$187-'Resale flat dataset'!P252)^2), 0))</f>
        <v>YUMIN PRIMARY SCHOOL</v>
      </c>
      <c r="T252" s="39">
        <f>ACOS(COS(RADIANS(90-O252))*COS(RADIANS(90-_xlfn.XLOOKUP(Q252,'MRT station dataset'!$C$3:$C$179,'MRT station dataset'!$E$3:$E$179)))+SIN(RADIANS(90-O252))*SIN(RADIANS(90-_xlfn.XLOOKUP(Q252,'MRT station dataset'!$C$3:$C$179,'MRT station dataset'!$E$3:$E$179)))*COS(RADIANS(P252-_xlfn.XLOOKUP('Resale flat dataset'!Q252,'MRT station dataset'!$C$3:$C$179,'MRT station dataset'!$F$3:$F$179))))*6371*1000</f>
        <v>379.07763151235116</v>
      </c>
      <c r="U252" s="39">
        <f>ACOS(COS(RADIANS(90-O252))*COS(RADIANS(90-_xlfn.XLOOKUP(R252,'Mall Dataset'!$B$3:$B$157,'Mall Dataset'!$E$3:$E$157,,0)))+SIN(RADIANS(90-O252))*SIN(RADIANS(90-_xlfn.XLOOKUP(R252,'Mall Dataset'!$B$3:$B$157,'Mall Dataset'!$E$3:$E$157,,0)))*COS(RADIANS(P252-_xlfn.XLOOKUP(R252,'Mall Dataset'!$B$3:$B$157,'Mall Dataset'!$F$3:$F$157,,0))))*6371*1000</f>
        <v>805.82227385528654</v>
      </c>
      <c r="V252" s="39">
        <f>ACOS(COS(RADIANS(90-O252))*COS(RADIANS(90-_xlfn.XLOOKUP(S252,'Schools dataset'!$B$3:$B$187,'Schools dataset'!$J$3:$J$187,,0)))+SIN(RADIANS(90-O252))*SIN(RADIANS(90-_xlfn.XLOOKUP(S252,'Schools dataset'!$B$3:$B$187,'Schools dataset'!$J$3:$J$187,,0)))*COS(RADIANS(P252-_xlfn.XLOOKUP(S252,'Schools dataset'!$B$3:$B$187,'Schools dataset'!$K$3:$K$187,,0))))*6371*1000</f>
        <v>355.68527713326569</v>
      </c>
      <c r="W252" s="20">
        <f>_xlfn.XLOOKUP(T252,'HDB Recommender'!$P$10:$P$39,'HDB Recommender'!$Q$10:$Q$39,"&gt;30mins",1)</f>
        <v>6</v>
      </c>
      <c r="X252" s="20">
        <f>_xlfn.XLOOKUP(U252,'HDB Recommender'!$P$10:$P$39,'HDB Recommender'!$Q$10:$Q$39,"&gt;30mins",1)</f>
        <v>11</v>
      </c>
      <c r="Y252" s="20">
        <f>_xlfn.XLOOKUP(V252,'HDB Recommender'!$P$10:$P$39,'HDB Recommender'!$Q$10:$Q$39,"&gt;30mins",1)</f>
        <v>5</v>
      </c>
      <c r="Z252" s="39">
        <f t="shared" si="7"/>
        <v>7.333333333333333</v>
      </c>
      <c r="AA252" s="20" t="str">
        <f t="shared" si="6"/>
        <v>Within 1km</v>
      </c>
    </row>
    <row r="253" spans="2:27" hidden="1">
      <c r="B253" s="35" t="s">
        <v>317</v>
      </c>
      <c r="C253" s="35" t="s">
        <v>751</v>
      </c>
      <c r="D253" s="35" t="s">
        <v>20</v>
      </c>
      <c r="E253" s="35">
        <v>153</v>
      </c>
      <c r="F253" s="35" t="s">
        <v>756</v>
      </c>
      <c r="G253" s="35" t="s">
        <v>189</v>
      </c>
      <c r="H253" s="35">
        <v>84</v>
      </c>
      <c r="I253" s="35" t="s">
        <v>369</v>
      </c>
      <c r="J253" s="36">
        <v>1988</v>
      </c>
      <c r="K253" s="39">
        <v>63.75</v>
      </c>
      <c r="L253" s="37">
        <v>500000</v>
      </c>
      <c r="M253" s="35" t="s">
        <v>757</v>
      </c>
      <c r="N253" s="27">
        <v>520153</v>
      </c>
      <c r="O253" s="38">
        <v>1.3452227593795001</v>
      </c>
      <c r="P253" s="38">
        <v>103.957207660008</v>
      </c>
      <c r="Q253" s="38" t="str" cm="1">
        <f t="array" ref="Q253">INDEX('MRT station dataset'!$C$3:$C$179, MATCH(MIN(SQRT(('MRT station dataset'!$E$3:$E$179-'Resale flat dataset'!O253)^2+('MRT station dataset'!$F$3:$F$179-'Resale flat dataset'!P253)^2)), SQRT(('MRT station dataset'!$E$3:$E$179-'Resale flat dataset'!O253)^2+('MRT station dataset'!$F$3:$F$179-'Resale flat dataset'!P253)^2), 0))</f>
        <v>SIMEI MRT STATION</v>
      </c>
      <c r="R253" s="38" t="str" cm="1">
        <f t="array" ref="R253">INDEX('Mall Dataset'!$B$3:$B$157, MATCH(MIN(SQRT(('Mall Dataset'!$E$3:$E$157-'Resale flat dataset'!O253)^2+('Mall Dataset'!$F$3:$F$157-'Resale flat dataset'!P253)^2)), SQRT(('Mall Dataset'!$E$3:$E$157-'Resale flat dataset'!O253)^2+('Mall Dataset'!$F$3:$F$157-'Resale flat dataset'!P253)^2), 0))</f>
        <v>Eastpoint Mall</v>
      </c>
      <c r="S253" s="38" t="str" cm="1">
        <f t="array" ref="S253">INDEX('Schools dataset'!$B$3:$B$187, MATCH(MIN(SQRT(('Schools dataset'!$J$3:$J$187-'Resale flat dataset'!O253)^2+('Schools dataset'!$K$3:$K$187-'Resale flat dataset'!P253)^2)), SQRT(('Schools dataset'!$J$3:$J$187-'Resale flat dataset'!O253)^2+('Schools dataset'!$K$3:$K$187-'Resale flat dataset'!P253)^2), 0))</f>
        <v>ANGSANA PRIMARY SCHOOL</v>
      </c>
      <c r="T253" s="39">
        <f>ACOS(COS(RADIANS(90-O253))*COS(RADIANS(90-_xlfn.XLOOKUP(Q253,'MRT station dataset'!$C$3:$C$179,'MRT station dataset'!$E$3:$E$179)))+SIN(RADIANS(90-O253))*SIN(RADIANS(90-_xlfn.XLOOKUP(Q253,'MRT station dataset'!$C$3:$C$179,'MRT station dataset'!$E$3:$E$179)))*COS(RADIANS(P253-_xlfn.XLOOKUP('Resale flat dataset'!Q253,'MRT station dataset'!$C$3:$C$179,'MRT station dataset'!$F$3:$F$179))))*6371*1000</f>
        <v>479.32432393339377</v>
      </c>
      <c r="U253" s="39">
        <f>ACOS(COS(RADIANS(90-O253))*COS(RADIANS(90-_xlfn.XLOOKUP(R253,'Mall Dataset'!$B$3:$B$157,'Mall Dataset'!$E$3:$E$157,,0)))+SIN(RADIANS(90-O253))*SIN(RADIANS(90-_xlfn.XLOOKUP(R253,'Mall Dataset'!$B$3:$B$157,'Mall Dataset'!$E$3:$E$157,,0)))*COS(RADIANS(P253-_xlfn.XLOOKUP(R253,'Mall Dataset'!$B$3:$B$157,'Mall Dataset'!$F$3:$F$157,,0))))*6371*1000</f>
        <v>542.72552005712612</v>
      </c>
      <c r="V253" s="39">
        <f>ACOS(COS(RADIANS(90-O253))*COS(RADIANS(90-_xlfn.XLOOKUP(S253,'Schools dataset'!$B$3:$B$187,'Schools dataset'!$J$3:$J$187,,0)))+SIN(RADIANS(90-O253))*SIN(RADIANS(90-_xlfn.XLOOKUP(S253,'Schools dataset'!$B$3:$B$187,'Schools dataset'!$J$3:$J$187,,0)))*COS(RADIANS(P253-_xlfn.XLOOKUP(S253,'Schools dataset'!$B$3:$B$187,'Schools dataset'!$K$3:$K$187,,0))))*6371*1000</f>
        <v>721.72080749502163</v>
      </c>
      <c r="W253" s="20">
        <f>_xlfn.XLOOKUP(T253,'HDB Recommender'!$P$10:$P$39,'HDB Recommender'!$Q$10:$Q$39,"&gt;30mins",1)</f>
        <v>7</v>
      </c>
      <c r="X253" s="20">
        <f>_xlfn.XLOOKUP(U253,'HDB Recommender'!$P$10:$P$39,'HDB Recommender'!$Q$10:$Q$39,"&gt;30mins",1)</f>
        <v>8</v>
      </c>
      <c r="Y253" s="20">
        <f>_xlfn.XLOOKUP(V253,'HDB Recommender'!$P$10:$P$39,'HDB Recommender'!$Q$10:$Q$39,"&gt;30mins",1)</f>
        <v>10</v>
      </c>
      <c r="Z253" s="39">
        <f t="shared" si="7"/>
        <v>8.3333333333333339</v>
      </c>
      <c r="AA253" s="20" t="str">
        <f t="shared" si="6"/>
        <v>Within 1km</v>
      </c>
    </row>
    <row r="254" spans="2:27" hidden="1">
      <c r="B254" s="35" t="s">
        <v>317</v>
      </c>
      <c r="C254" s="35" t="s">
        <v>751</v>
      </c>
      <c r="D254" s="35" t="s">
        <v>20</v>
      </c>
      <c r="E254" s="35">
        <v>391</v>
      </c>
      <c r="F254" s="35" t="s">
        <v>758</v>
      </c>
      <c r="G254" s="35" t="s">
        <v>191</v>
      </c>
      <c r="H254" s="35">
        <v>105</v>
      </c>
      <c r="I254" s="35" t="s">
        <v>335</v>
      </c>
      <c r="J254" s="36">
        <v>1994</v>
      </c>
      <c r="K254" s="39">
        <v>69.5</v>
      </c>
      <c r="L254" s="37">
        <v>587000</v>
      </c>
      <c r="M254" s="35" t="s">
        <v>759</v>
      </c>
      <c r="N254" s="27">
        <v>520391</v>
      </c>
      <c r="O254" s="38">
        <v>1.3556315408028401</v>
      </c>
      <c r="P254" s="38">
        <v>103.957953271748</v>
      </c>
      <c r="Q254" s="38" t="str" cm="1">
        <f t="array" ref="Q254">INDEX('MRT station dataset'!$C$3:$C$179, MATCH(MIN(SQRT(('MRT station dataset'!$E$3:$E$179-'Resale flat dataset'!O254)^2+('MRT station dataset'!$F$3:$F$179-'Resale flat dataset'!P254)^2)), SQRT(('MRT station dataset'!$E$3:$E$179-'Resale flat dataset'!O254)^2+('MRT station dataset'!$F$3:$F$179-'Resale flat dataset'!P254)^2), 0))</f>
        <v>TAMPINES EAST MRT STATION</v>
      </c>
      <c r="R254" s="38" t="str" cm="1">
        <f t="array" ref="R254">INDEX('Mall Dataset'!$B$3:$B$157, MATCH(MIN(SQRT(('Mall Dataset'!$E$3:$E$157-'Resale flat dataset'!O254)^2+('Mall Dataset'!$F$3:$F$157-'Resale flat dataset'!P254)^2)), SQRT(('Mall Dataset'!$E$3:$E$157-'Resale flat dataset'!O254)^2+('Mall Dataset'!$F$3:$F$157-'Resale flat dataset'!P254)^2), 0))</f>
        <v>Loyang Point</v>
      </c>
      <c r="S254" s="38" t="str" cm="1">
        <f t="array" ref="S254">INDEX('Schools dataset'!$B$3:$B$187, MATCH(MIN(SQRT(('Schools dataset'!$J$3:$J$187-'Resale flat dataset'!O254)^2+('Schools dataset'!$K$3:$K$187-'Resale flat dataset'!P254)^2)), SQRT(('Schools dataset'!$J$3:$J$187-'Resale flat dataset'!O254)^2+('Schools dataset'!$K$3:$K$187-'Resale flat dataset'!P254)^2), 0))</f>
        <v>EAST SPRING PRIMARY SCHOOL</v>
      </c>
      <c r="T254" s="39">
        <f>ACOS(COS(RADIANS(90-O254))*COS(RADIANS(90-_xlfn.XLOOKUP(Q254,'MRT station dataset'!$C$3:$C$179,'MRT station dataset'!$E$3:$E$179)))+SIN(RADIANS(90-O254))*SIN(RADIANS(90-_xlfn.XLOOKUP(Q254,'MRT station dataset'!$C$3:$C$179,'MRT station dataset'!$E$3:$E$179)))*COS(RADIANS(P254-_xlfn.XLOOKUP('Resale flat dataset'!Q254,'MRT station dataset'!$C$3:$C$179,'MRT station dataset'!$F$3:$F$179))))*6371*1000</f>
        <v>378.08368298042814</v>
      </c>
      <c r="U254" s="39">
        <f>ACOS(COS(RADIANS(90-O254))*COS(RADIANS(90-_xlfn.XLOOKUP(R254,'Mall Dataset'!$B$3:$B$157,'Mall Dataset'!$E$3:$E$157,,0)))+SIN(RADIANS(90-O254))*SIN(RADIANS(90-_xlfn.XLOOKUP(R254,'Mall Dataset'!$B$3:$B$157,'Mall Dataset'!$E$3:$E$157,,0)))*COS(RADIANS(P254-_xlfn.XLOOKUP(R254,'Mall Dataset'!$B$3:$B$157,'Mall Dataset'!$F$3:$F$157,,0))))*6371*1000</f>
        <v>1472.5799228609922</v>
      </c>
      <c r="V254" s="39">
        <f>ACOS(COS(RADIANS(90-O254))*COS(RADIANS(90-_xlfn.XLOOKUP(S254,'Schools dataset'!$B$3:$B$187,'Schools dataset'!$J$3:$J$187,,0)))+SIN(RADIANS(90-O254))*SIN(RADIANS(90-_xlfn.XLOOKUP(S254,'Schools dataset'!$B$3:$B$187,'Schools dataset'!$J$3:$J$187,,0)))*COS(RADIANS(P254-_xlfn.XLOOKUP(S254,'Schools dataset'!$B$3:$B$187,'Schools dataset'!$K$3:$K$187,,0))))*6371*1000</f>
        <v>527.97381527426728</v>
      </c>
      <c r="W254" s="20">
        <f>_xlfn.XLOOKUP(T254,'HDB Recommender'!$P$10:$P$39,'HDB Recommender'!$Q$10:$Q$39,"&gt;30mins",1)</f>
        <v>6</v>
      </c>
      <c r="X254" s="20">
        <f>_xlfn.XLOOKUP(U254,'HDB Recommender'!$P$10:$P$39,'HDB Recommender'!$Q$10:$Q$39,"&gt;30mins",1)</f>
        <v>20</v>
      </c>
      <c r="Y254" s="20">
        <f>_xlfn.XLOOKUP(V254,'HDB Recommender'!$P$10:$P$39,'HDB Recommender'!$Q$10:$Q$39,"&gt;30mins",1)</f>
        <v>8</v>
      </c>
      <c r="Z254" s="39">
        <f t="shared" si="7"/>
        <v>11.333333333333334</v>
      </c>
      <c r="AA254" s="20" t="str">
        <f t="shared" si="6"/>
        <v>Within 1km</v>
      </c>
    </row>
    <row r="255" spans="2:27" hidden="1">
      <c r="B255" s="35" t="s">
        <v>317</v>
      </c>
      <c r="C255" s="35" t="s">
        <v>751</v>
      </c>
      <c r="D255" s="35" t="s">
        <v>20</v>
      </c>
      <c r="E255" s="35"/>
      <c r="F255" s="35" t="s">
        <v>760</v>
      </c>
      <c r="G255" s="35" t="s">
        <v>323</v>
      </c>
      <c r="H255" s="35">
        <v>93</v>
      </c>
      <c r="I255" s="35" t="s">
        <v>335</v>
      </c>
      <c r="J255" s="36">
        <v>2015</v>
      </c>
      <c r="K255" s="39">
        <v>90.9166666666666</v>
      </c>
      <c r="L255" s="37">
        <v>743000</v>
      </c>
      <c r="M255" s="35" t="s">
        <v>761</v>
      </c>
      <c r="N255" s="27">
        <v>521522</v>
      </c>
      <c r="O255" s="38">
        <v>1.3577691377884</v>
      </c>
      <c r="P255" s="38">
        <v>103.938391967692</v>
      </c>
      <c r="Q255" s="38" t="str" cm="1">
        <f t="array" ref="Q255">INDEX('MRT station dataset'!$C$3:$C$179, MATCH(MIN(SQRT(('MRT station dataset'!$E$3:$E$179-'Resale flat dataset'!O255)^2+('MRT station dataset'!$F$3:$F$179-'Resale flat dataset'!P255)^2)), SQRT(('MRT station dataset'!$E$3:$E$179-'Resale flat dataset'!O255)^2+('MRT station dataset'!$F$3:$F$179-'Resale flat dataset'!P255)^2), 0))</f>
        <v>TAMPINES MRT STATION</v>
      </c>
      <c r="R255" s="38" t="str" cm="1">
        <f t="array" ref="R255">INDEX('Mall Dataset'!$B$3:$B$157, MATCH(MIN(SQRT(('Mall Dataset'!$E$3:$E$157-'Resale flat dataset'!O255)^2+('Mall Dataset'!$F$3:$F$157-'Resale flat dataset'!P255)^2)), SQRT(('Mall Dataset'!$E$3:$E$157-'Resale flat dataset'!O255)^2+('Mall Dataset'!$F$3:$F$157-'Resale flat dataset'!P255)^2), 0))</f>
        <v>Fairprice Hub</v>
      </c>
      <c r="S255" s="38" t="str" cm="1">
        <f t="array" ref="S255">INDEX('Schools dataset'!$B$3:$B$187, MATCH(MIN(SQRT(('Schools dataset'!$J$3:$J$187-'Resale flat dataset'!O255)^2+('Schools dataset'!$K$3:$K$187-'Resale flat dataset'!P255)^2)), SQRT(('Schools dataset'!$J$3:$J$187-'Resale flat dataset'!O255)^2+('Schools dataset'!$K$3:$K$187-'Resale flat dataset'!P255)^2), 0))</f>
        <v>POI CHING SCHOOL</v>
      </c>
      <c r="T255" s="39">
        <f>ACOS(COS(RADIANS(90-O255))*COS(RADIANS(90-_xlfn.XLOOKUP(Q255,'MRT station dataset'!$C$3:$C$179,'MRT station dataset'!$E$3:$E$179)))+SIN(RADIANS(90-O255))*SIN(RADIANS(90-_xlfn.XLOOKUP(Q255,'MRT station dataset'!$C$3:$C$179,'MRT station dataset'!$E$3:$E$179)))*COS(RADIANS(P255-_xlfn.XLOOKUP('Resale flat dataset'!Q255,'MRT station dataset'!$C$3:$C$179,'MRT station dataset'!$F$3:$F$179))))*6371*1000</f>
        <v>896.10768514694382</v>
      </c>
      <c r="U255" s="39">
        <f>ACOS(COS(RADIANS(90-O255))*COS(RADIANS(90-_xlfn.XLOOKUP(R255,'Mall Dataset'!$B$3:$B$157,'Mall Dataset'!$E$3:$E$157,,0)))+SIN(RADIANS(90-O255))*SIN(RADIANS(90-_xlfn.XLOOKUP(R255,'Mall Dataset'!$B$3:$B$157,'Mall Dataset'!$E$3:$E$157,,0)))*COS(RADIANS(P255-_xlfn.XLOOKUP(R255,'Mall Dataset'!$B$3:$B$157,'Mall Dataset'!$F$3:$F$157,,0))))*6371*1000</f>
        <v>513.33098439860578</v>
      </c>
      <c r="V255" s="39">
        <f>ACOS(COS(RADIANS(90-O255))*COS(RADIANS(90-_xlfn.XLOOKUP(S255,'Schools dataset'!$B$3:$B$187,'Schools dataset'!$J$3:$J$187,,0)))+SIN(RADIANS(90-O255))*SIN(RADIANS(90-_xlfn.XLOOKUP(S255,'Schools dataset'!$B$3:$B$187,'Schools dataset'!$J$3:$J$187,,0)))*COS(RADIANS(P255-_xlfn.XLOOKUP(S255,'Schools dataset'!$B$3:$B$187,'Schools dataset'!$K$3:$K$187,,0))))*6371*1000</f>
        <v>349.90913885633779</v>
      </c>
      <c r="W255" s="20">
        <f>_xlfn.XLOOKUP(T255,'HDB Recommender'!$P$10:$P$39,'HDB Recommender'!$Q$10:$Q$39,"&gt;30mins",1)</f>
        <v>12</v>
      </c>
      <c r="X255" s="20">
        <f>_xlfn.XLOOKUP(U255,'HDB Recommender'!$P$10:$P$39,'HDB Recommender'!$Q$10:$Q$39,"&gt;30mins",1)</f>
        <v>7</v>
      </c>
      <c r="Y255" s="20">
        <f>_xlfn.XLOOKUP(V255,'HDB Recommender'!$P$10:$P$39,'HDB Recommender'!$Q$10:$Q$39,"&gt;30mins",1)</f>
        <v>5</v>
      </c>
      <c r="Z255" s="39">
        <f t="shared" si="7"/>
        <v>8</v>
      </c>
      <c r="AA255" s="20" t="str">
        <f t="shared" si="6"/>
        <v>Within 1km</v>
      </c>
    </row>
    <row r="256" spans="2:27" hidden="1">
      <c r="B256" s="35" t="s">
        <v>317</v>
      </c>
      <c r="C256" s="35" t="s">
        <v>751</v>
      </c>
      <c r="D256" s="35" t="s">
        <v>20</v>
      </c>
      <c r="E256" s="35"/>
      <c r="F256" s="35" t="s">
        <v>760</v>
      </c>
      <c r="G256" s="35" t="s">
        <v>323</v>
      </c>
      <c r="H256" s="35">
        <v>93</v>
      </c>
      <c r="I256" s="35" t="s">
        <v>335</v>
      </c>
      <c r="J256" s="36">
        <v>2015</v>
      </c>
      <c r="K256" s="39">
        <v>91</v>
      </c>
      <c r="L256" s="37">
        <v>725000</v>
      </c>
      <c r="M256" s="35" t="s">
        <v>762</v>
      </c>
      <c r="N256" s="27">
        <v>522523</v>
      </c>
      <c r="O256" s="38">
        <v>1.35986668073238</v>
      </c>
      <c r="P256" s="38">
        <v>103.93837289096599</v>
      </c>
      <c r="Q256" s="38" t="str" cm="1">
        <f t="array" ref="Q256">INDEX('MRT station dataset'!$C$3:$C$179, MATCH(MIN(SQRT(('MRT station dataset'!$E$3:$E$179-'Resale flat dataset'!O256)^2+('MRT station dataset'!$F$3:$F$179-'Resale flat dataset'!P256)^2)), SQRT(('MRT station dataset'!$E$3:$E$179-'Resale flat dataset'!O256)^2+('MRT station dataset'!$F$3:$F$179-'Resale flat dataset'!P256)^2), 0))</f>
        <v>TAMPINES MRT STATION</v>
      </c>
      <c r="R256" s="38" t="str" cm="1">
        <f t="array" ref="R256">INDEX('Mall Dataset'!$B$3:$B$157, MATCH(MIN(SQRT(('Mall Dataset'!$E$3:$E$157-'Resale flat dataset'!O256)^2+('Mall Dataset'!$F$3:$F$157-'Resale flat dataset'!P256)^2)), SQRT(('Mall Dataset'!$E$3:$E$157-'Resale flat dataset'!O256)^2+('Mall Dataset'!$F$3:$F$157-'Resale flat dataset'!P256)^2), 0))</f>
        <v>Fairprice Hub</v>
      </c>
      <c r="S256" s="38" t="str" cm="1">
        <f t="array" ref="S256">INDEX('Schools dataset'!$B$3:$B$187, MATCH(MIN(SQRT(('Schools dataset'!$J$3:$J$187-'Resale flat dataset'!O256)^2+('Schools dataset'!$K$3:$K$187-'Resale flat dataset'!P256)^2)), SQRT(('Schools dataset'!$J$3:$J$187-'Resale flat dataset'!O256)^2+('Schools dataset'!$K$3:$K$187-'Resale flat dataset'!P256)^2), 0))</f>
        <v>POI CHING SCHOOL</v>
      </c>
      <c r="T256" s="39">
        <f>ACOS(COS(RADIANS(90-O256))*COS(RADIANS(90-_xlfn.XLOOKUP(Q256,'MRT station dataset'!$C$3:$C$179,'MRT station dataset'!$E$3:$E$179)))+SIN(RADIANS(90-O256))*SIN(RADIANS(90-_xlfn.XLOOKUP(Q256,'MRT station dataset'!$C$3:$C$179,'MRT station dataset'!$E$3:$E$179)))*COS(RADIANS(P256-_xlfn.XLOOKUP('Resale flat dataset'!Q256,'MRT station dataset'!$C$3:$C$179,'MRT station dataset'!$F$3:$F$179))))*6371*1000</f>
        <v>1045.1727314403611</v>
      </c>
      <c r="U256" s="39">
        <f>ACOS(COS(RADIANS(90-O256))*COS(RADIANS(90-_xlfn.XLOOKUP(R256,'Mall Dataset'!$B$3:$B$157,'Mall Dataset'!$E$3:$E$157,,0)))+SIN(RADIANS(90-O256))*SIN(RADIANS(90-_xlfn.XLOOKUP(R256,'Mall Dataset'!$B$3:$B$157,'Mall Dataset'!$E$3:$E$157,,0)))*COS(RADIANS(P256-_xlfn.XLOOKUP(R256,'Mall Dataset'!$B$3:$B$157,'Mall Dataset'!$F$3:$F$157,,0))))*6371*1000</f>
        <v>735.10838660485092</v>
      </c>
      <c r="V256" s="39">
        <f>ACOS(COS(RADIANS(90-O256))*COS(RADIANS(90-_xlfn.XLOOKUP(S256,'Schools dataset'!$B$3:$B$187,'Schools dataset'!$J$3:$J$187,,0)))+SIN(RADIANS(90-O256))*SIN(RADIANS(90-_xlfn.XLOOKUP(S256,'Schools dataset'!$B$3:$B$187,'Schools dataset'!$J$3:$J$187,,0)))*COS(RADIANS(P256-_xlfn.XLOOKUP(S256,'Schools dataset'!$B$3:$B$187,'Schools dataset'!$K$3:$K$187,,0))))*6371*1000</f>
        <v>425.99679143754821</v>
      </c>
      <c r="W256" s="20">
        <f>_xlfn.XLOOKUP(T256,'HDB Recommender'!$P$10:$P$39,'HDB Recommender'!$Q$10:$Q$39,"&gt;30mins",1)</f>
        <v>14</v>
      </c>
      <c r="X256" s="20">
        <f>_xlfn.XLOOKUP(U256,'HDB Recommender'!$P$10:$P$39,'HDB Recommender'!$Q$10:$Q$39,"&gt;30mins",1)</f>
        <v>10</v>
      </c>
      <c r="Y256" s="20">
        <f>_xlfn.XLOOKUP(V256,'HDB Recommender'!$P$10:$P$39,'HDB Recommender'!$Q$10:$Q$39,"&gt;30mins",1)</f>
        <v>6</v>
      </c>
      <c r="Z256" s="39">
        <f t="shared" si="7"/>
        <v>10</v>
      </c>
      <c r="AA256" s="20" t="str">
        <f t="shared" si="6"/>
        <v>Within 1km</v>
      </c>
    </row>
    <row r="257" spans="2:27" hidden="1">
      <c r="B257" s="35" t="s">
        <v>317</v>
      </c>
      <c r="C257" s="35" t="s">
        <v>751</v>
      </c>
      <c r="D257" s="35" t="s">
        <v>20</v>
      </c>
      <c r="E257" s="35">
        <v>346</v>
      </c>
      <c r="F257" s="35" t="s">
        <v>763</v>
      </c>
      <c r="G257" s="35" t="s">
        <v>184</v>
      </c>
      <c r="H257" s="35">
        <v>107</v>
      </c>
      <c r="I257" s="35" t="s">
        <v>335</v>
      </c>
      <c r="J257" s="36">
        <v>1996</v>
      </c>
      <c r="K257" s="39">
        <v>71.75</v>
      </c>
      <c r="L257" s="37">
        <v>525000</v>
      </c>
      <c r="M257" s="35" t="s">
        <v>764</v>
      </c>
      <c r="N257" s="27">
        <v>520346</v>
      </c>
      <c r="O257" s="38">
        <v>1.3512379158618599</v>
      </c>
      <c r="P257" s="38">
        <v>103.962570614009</v>
      </c>
      <c r="Q257" s="38" t="str" cm="1">
        <f t="array" ref="Q257">INDEX('MRT station dataset'!$C$3:$C$179, MATCH(MIN(SQRT(('MRT station dataset'!$E$3:$E$179-'Resale flat dataset'!O257)^2+('MRT station dataset'!$F$3:$F$179-'Resale flat dataset'!P257)^2)), SQRT(('MRT station dataset'!$E$3:$E$179-'Resale flat dataset'!O257)^2+('MRT station dataset'!$F$3:$F$179-'Resale flat dataset'!P257)^2), 0))</f>
        <v>TAMPINES EAST MRT STATION</v>
      </c>
      <c r="R257" s="38" t="str" cm="1">
        <f t="array" ref="R257">INDEX('Mall Dataset'!$B$3:$B$157, MATCH(MIN(SQRT(('Mall Dataset'!$E$3:$E$157-'Resale flat dataset'!O257)^2+('Mall Dataset'!$F$3:$F$157-'Resale flat dataset'!P257)^2)), SQRT(('Mall Dataset'!$E$3:$E$157-'Resale flat dataset'!O257)^2+('Mall Dataset'!$F$3:$F$157-'Resale flat dataset'!P257)^2), 0))</f>
        <v>Eastpoint Mall</v>
      </c>
      <c r="S257" s="38" t="str" cm="1">
        <f t="array" ref="S257">INDEX('Schools dataset'!$B$3:$B$187, MATCH(MIN(SQRT(('Schools dataset'!$J$3:$J$187-'Resale flat dataset'!O257)^2+('Schools dataset'!$K$3:$K$187-'Resale flat dataset'!P257)^2)), SQRT(('Schools dataset'!$J$3:$J$187-'Resale flat dataset'!O257)^2+('Schools dataset'!$K$3:$K$187-'Resale flat dataset'!P257)^2), 0))</f>
        <v>EAST SPRING PRIMARY SCHOOL</v>
      </c>
      <c r="T257" s="39">
        <f>ACOS(COS(RADIANS(90-O257))*COS(RADIANS(90-_xlfn.XLOOKUP(Q257,'MRT station dataset'!$C$3:$C$179,'MRT station dataset'!$E$3:$E$179)))+SIN(RADIANS(90-O257))*SIN(RADIANS(90-_xlfn.XLOOKUP(Q257,'MRT station dataset'!$C$3:$C$179,'MRT station dataset'!$E$3:$E$179)))*COS(RADIANS(P257-_xlfn.XLOOKUP('Resale flat dataset'!Q257,'MRT station dataset'!$C$3:$C$179,'MRT station dataset'!$F$3:$F$179))))*6371*1000</f>
        <v>1043.7970802360867</v>
      </c>
      <c r="U257" s="39">
        <f>ACOS(COS(RADIANS(90-O257))*COS(RADIANS(90-_xlfn.XLOOKUP(R257,'Mall Dataset'!$B$3:$B$157,'Mall Dataset'!$E$3:$E$157,,0)))+SIN(RADIANS(90-O257))*SIN(RADIANS(90-_xlfn.XLOOKUP(R257,'Mall Dataset'!$B$3:$B$157,'Mall Dataset'!$E$3:$E$157,,0)))*COS(RADIANS(P257-_xlfn.XLOOKUP(R257,'Mall Dataset'!$B$3:$B$157,'Mall Dataset'!$F$3:$F$157,,0))))*6371*1000</f>
        <v>1423.4278543046501</v>
      </c>
      <c r="V257" s="39">
        <f>ACOS(COS(RADIANS(90-O257))*COS(RADIANS(90-_xlfn.XLOOKUP(S257,'Schools dataset'!$B$3:$B$187,'Schools dataset'!$J$3:$J$187,,0)))+SIN(RADIANS(90-O257))*SIN(RADIANS(90-_xlfn.XLOOKUP(S257,'Schools dataset'!$B$3:$B$187,'Schools dataset'!$J$3:$J$187,,0)))*COS(RADIANS(P257-_xlfn.XLOOKUP(S257,'Schools dataset'!$B$3:$B$187,'Schools dataset'!$K$3:$K$187,,0))))*6371*1000</f>
        <v>189.01672660112291</v>
      </c>
      <c r="W257" s="20">
        <f>_xlfn.XLOOKUP(T257,'HDB Recommender'!$P$10:$P$39,'HDB Recommender'!$Q$10:$Q$39,"&gt;30mins",1)</f>
        <v>14</v>
      </c>
      <c r="X257" s="20">
        <f>_xlfn.XLOOKUP(U257,'HDB Recommender'!$P$10:$P$39,'HDB Recommender'!$Q$10:$Q$39,"&gt;30mins",1)</f>
        <v>19</v>
      </c>
      <c r="Y257" s="20">
        <f>_xlfn.XLOOKUP(V257,'HDB Recommender'!$P$10:$P$39,'HDB Recommender'!$Q$10:$Q$39,"&gt;30mins",1)</f>
        <v>3</v>
      </c>
      <c r="Z257" s="39">
        <f t="shared" si="7"/>
        <v>12</v>
      </c>
      <c r="AA257" s="20" t="str">
        <f t="shared" si="6"/>
        <v>Within 1km</v>
      </c>
    </row>
    <row r="258" spans="2:27" hidden="1">
      <c r="B258" s="35" t="s">
        <v>317</v>
      </c>
      <c r="C258" s="35" t="s">
        <v>751</v>
      </c>
      <c r="D258" s="35" t="s">
        <v>20</v>
      </c>
      <c r="E258" s="35">
        <v>367</v>
      </c>
      <c r="F258" s="35" t="s">
        <v>765</v>
      </c>
      <c r="G258" s="35" t="s">
        <v>189</v>
      </c>
      <c r="H258" s="35">
        <v>100</v>
      </c>
      <c r="I258" s="35" t="s">
        <v>335</v>
      </c>
      <c r="J258" s="36">
        <v>1997</v>
      </c>
      <c r="K258" s="39">
        <v>72.6666666666666</v>
      </c>
      <c r="L258" s="37">
        <v>540000</v>
      </c>
      <c r="M258" s="35" t="s">
        <v>766</v>
      </c>
      <c r="N258" s="27">
        <v>520367</v>
      </c>
      <c r="O258" s="38">
        <v>1.35861946074158</v>
      </c>
      <c r="P258" s="38">
        <v>103.960788620104</v>
      </c>
      <c r="Q258" s="38" t="str" cm="1">
        <f t="array" ref="Q258">INDEX('MRT station dataset'!$C$3:$C$179, MATCH(MIN(SQRT(('MRT station dataset'!$E$3:$E$179-'Resale flat dataset'!O258)^2+('MRT station dataset'!$F$3:$F$179-'Resale flat dataset'!P258)^2)), SQRT(('MRT station dataset'!$E$3:$E$179-'Resale flat dataset'!O258)^2+('MRT station dataset'!$F$3:$F$179-'Resale flat dataset'!P258)^2), 0))</f>
        <v>TAMPINES EAST MRT STATION</v>
      </c>
      <c r="R258" s="38" t="str" cm="1">
        <f t="array" ref="R258">INDEX('Mall Dataset'!$B$3:$B$157, MATCH(MIN(SQRT(('Mall Dataset'!$E$3:$E$157-'Resale flat dataset'!O258)^2+('Mall Dataset'!$F$3:$F$157-'Resale flat dataset'!P258)^2)), SQRT(('Mall Dataset'!$E$3:$E$157-'Resale flat dataset'!O258)^2+('Mall Dataset'!$F$3:$F$157-'Resale flat dataset'!P258)^2), 0))</f>
        <v>Loyang Point</v>
      </c>
      <c r="S258" s="38" t="str" cm="1">
        <f t="array" ref="S258">INDEX('Schools dataset'!$B$3:$B$187, MATCH(MIN(SQRT(('Schools dataset'!$J$3:$J$187-'Resale flat dataset'!O258)^2+('Schools dataset'!$K$3:$K$187-'Resale flat dataset'!P258)^2)), SQRT(('Schools dataset'!$J$3:$J$187-'Resale flat dataset'!O258)^2+('Schools dataset'!$K$3:$K$187-'Resale flat dataset'!P258)^2), 0))</f>
        <v>EAST SPRING PRIMARY SCHOOL</v>
      </c>
      <c r="T258" s="39">
        <f>ACOS(COS(RADIANS(90-O258))*COS(RADIANS(90-_xlfn.XLOOKUP(Q258,'MRT station dataset'!$C$3:$C$179,'MRT station dataset'!$E$3:$E$179)))+SIN(RADIANS(90-O258))*SIN(RADIANS(90-_xlfn.XLOOKUP(Q258,'MRT station dataset'!$C$3:$C$179,'MRT station dataset'!$E$3:$E$179)))*COS(RADIANS(P258-_xlfn.XLOOKUP('Resale flat dataset'!Q258,'MRT station dataset'!$C$3:$C$179,'MRT station dataset'!$F$3:$F$179))))*6371*1000</f>
        <v>738.68352564358577</v>
      </c>
      <c r="U258" s="39">
        <f>ACOS(COS(RADIANS(90-O258))*COS(RADIANS(90-_xlfn.XLOOKUP(R258,'Mall Dataset'!$B$3:$B$157,'Mall Dataset'!$E$3:$E$157,,0)))+SIN(RADIANS(90-O258))*SIN(RADIANS(90-_xlfn.XLOOKUP(R258,'Mall Dataset'!$B$3:$B$157,'Mall Dataset'!$E$3:$E$157,,0)))*COS(RADIANS(P258-_xlfn.XLOOKUP(R258,'Mall Dataset'!$B$3:$B$157,'Mall Dataset'!$F$3:$F$157,,0))))*6371*1000</f>
        <v>1032.0229018201642</v>
      </c>
      <c r="V258" s="39">
        <f>ACOS(COS(RADIANS(90-O258))*COS(RADIANS(90-_xlfn.XLOOKUP(S258,'Schools dataset'!$B$3:$B$187,'Schools dataset'!$J$3:$J$187,,0)))+SIN(RADIANS(90-O258))*SIN(RADIANS(90-_xlfn.XLOOKUP(S258,'Schools dataset'!$B$3:$B$187,'Schools dataset'!$J$3:$J$187,,0)))*COS(RADIANS(P258-_xlfn.XLOOKUP(S258,'Schools dataset'!$B$3:$B$187,'Schools dataset'!$K$3:$K$187,,0))))*6371*1000</f>
        <v>667.33739132658923</v>
      </c>
      <c r="W258" s="20">
        <f>_xlfn.XLOOKUP(T258,'HDB Recommender'!$P$10:$P$39,'HDB Recommender'!$Q$10:$Q$39,"&gt;30mins",1)</f>
        <v>10</v>
      </c>
      <c r="X258" s="20">
        <f>_xlfn.XLOOKUP(U258,'HDB Recommender'!$P$10:$P$39,'HDB Recommender'!$Q$10:$Q$39,"&gt;30mins",1)</f>
        <v>14</v>
      </c>
      <c r="Y258" s="20">
        <f>_xlfn.XLOOKUP(V258,'HDB Recommender'!$P$10:$P$39,'HDB Recommender'!$Q$10:$Q$39,"&gt;30mins",1)</f>
        <v>9</v>
      </c>
      <c r="Z258" s="39">
        <f t="shared" si="7"/>
        <v>11</v>
      </c>
      <c r="AA258" s="20" t="str">
        <f t="shared" si="6"/>
        <v>Within 1km</v>
      </c>
    </row>
    <row r="259" spans="2:27" hidden="1">
      <c r="B259" s="35" t="s">
        <v>317</v>
      </c>
      <c r="C259" s="35" t="s">
        <v>751</v>
      </c>
      <c r="D259" s="35" t="s">
        <v>20</v>
      </c>
      <c r="E259" s="35"/>
      <c r="F259" s="35" t="s">
        <v>767</v>
      </c>
      <c r="G259" s="35" t="s">
        <v>191</v>
      </c>
      <c r="H259" s="35">
        <v>92</v>
      </c>
      <c r="I259" s="35" t="s">
        <v>335</v>
      </c>
      <c r="J259" s="36">
        <v>2018</v>
      </c>
      <c r="K259" s="39">
        <v>94.1666666666666</v>
      </c>
      <c r="L259" s="37">
        <v>655000</v>
      </c>
      <c r="M259" s="35" t="s">
        <v>768</v>
      </c>
      <c r="N259" s="27">
        <v>528494</v>
      </c>
      <c r="O259" s="38">
        <v>1.36368314068034</v>
      </c>
      <c r="P259" s="38">
        <v>103.95499248871</v>
      </c>
      <c r="Q259" s="38" t="str" cm="1">
        <f t="array" ref="Q259">INDEX('MRT station dataset'!$C$3:$C$179, MATCH(MIN(SQRT(('MRT station dataset'!$E$3:$E$179-'Resale flat dataset'!O259)^2+('MRT station dataset'!$F$3:$F$179-'Resale flat dataset'!P259)^2)), SQRT(('MRT station dataset'!$E$3:$E$179-'Resale flat dataset'!O259)^2+('MRT station dataset'!$F$3:$F$179-'Resale flat dataset'!P259)^2), 0))</f>
        <v>TAMPINES EAST MRT STATION</v>
      </c>
      <c r="R259" s="38" t="str" cm="1">
        <f t="array" ref="R259">INDEX('Mall Dataset'!$B$3:$B$157, MATCH(MIN(SQRT(('Mall Dataset'!$E$3:$E$157-'Resale flat dataset'!O259)^2+('Mall Dataset'!$F$3:$F$157-'Resale flat dataset'!P259)^2)), SQRT(('Mall Dataset'!$E$3:$E$157-'Resale flat dataset'!O259)^2+('Mall Dataset'!$F$3:$F$157-'Resale flat dataset'!P259)^2), 0))</f>
        <v>White Sands</v>
      </c>
      <c r="S259" s="38" t="str" cm="1">
        <f t="array" ref="S259">INDEX('Schools dataset'!$B$3:$B$187, MATCH(MIN(SQRT(('Schools dataset'!$J$3:$J$187-'Resale flat dataset'!O259)^2+('Schools dataset'!$K$3:$K$187-'Resale flat dataset'!P259)^2)), SQRT(('Schools dataset'!$J$3:$J$187-'Resale flat dataset'!O259)^2+('Schools dataset'!$K$3:$K$187-'Resale flat dataset'!P259)^2), 0))</f>
        <v>WHITE SANDS PRIMARY SCHOOL</v>
      </c>
      <c r="T259" s="39">
        <f>ACOS(COS(RADIANS(90-O259))*COS(RADIANS(90-_xlfn.XLOOKUP(Q259,'MRT station dataset'!$C$3:$C$179,'MRT station dataset'!$E$3:$E$179)))+SIN(RADIANS(90-O259))*SIN(RADIANS(90-_xlfn.XLOOKUP(Q259,'MRT station dataset'!$C$3:$C$179,'MRT station dataset'!$E$3:$E$179)))*COS(RADIANS(P259-_xlfn.XLOOKUP('Resale flat dataset'!Q259,'MRT station dataset'!$C$3:$C$179,'MRT station dataset'!$F$3:$F$179))))*6371*1000</f>
        <v>833.23037774471584</v>
      </c>
      <c r="U259" s="39">
        <f>ACOS(COS(RADIANS(90-O259))*COS(RADIANS(90-_xlfn.XLOOKUP(R259,'Mall Dataset'!$B$3:$B$157,'Mall Dataset'!$E$3:$E$157,,0)))+SIN(RADIANS(90-O259))*SIN(RADIANS(90-_xlfn.XLOOKUP(R259,'Mall Dataset'!$B$3:$B$157,'Mall Dataset'!$E$3:$E$157,,0)))*COS(RADIANS(P259-_xlfn.XLOOKUP(R259,'Mall Dataset'!$B$3:$B$157,'Mall Dataset'!$F$3:$F$157,,0))))*6371*1000</f>
        <v>1121.217264549326</v>
      </c>
      <c r="V259" s="39">
        <f>ACOS(COS(RADIANS(90-O259))*COS(RADIANS(90-_xlfn.XLOOKUP(S259,'Schools dataset'!$B$3:$B$187,'Schools dataset'!$J$3:$J$187,,0)))+SIN(RADIANS(90-O259))*SIN(RADIANS(90-_xlfn.XLOOKUP(S259,'Schools dataset'!$B$3:$B$187,'Schools dataset'!$J$3:$J$187,,0)))*COS(RADIANS(P259-_xlfn.XLOOKUP(S259,'Schools dataset'!$B$3:$B$187,'Schools dataset'!$K$3:$K$187,,0))))*6371*1000</f>
        <v>690.96679110326977</v>
      </c>
      <c r="W259" s="20">
        <f>_xlfn.XLOOKUP(T259,'HDB Recommender'!$P$10:$P$39,'HDB Recommender'!$Q$10:$Q$39,"&gt;30mins",1)</f>
        <v>12</v>
      </c>
      <c r="X259" s="20">
        <f>_xlfn.XLOOKUP(U259,'HDB Recommender'!$P$10:$P$39,'HDB Recommender'!$Q$10:$Q$39,"&gt;30mins",1)</f>
        <v>15</v>
      </c>
      <c r="Y259" s="20">
        <f>_xlfn.XLOOKUP(V259,'HDB Recommender'!$P$10:$P$39,'HDB Recommender'!$Q$10:$Q$39,"&gt;30mins",1)</f>
        <v>10</v>
      </c>
      <c r="Z259" s="39">
        <f t="shared" si="7"/>
        <v>12.333333333333334</v>
      </c>
      <c r="AA259" s="20" t="str">
        <f t="shared" ref="AA259:AA322" si="8">IF(V259&lt;1000, "Within 1km", IF(V259&lt;=2000, "between 1km and 2km", "more than 2km"))</f>
        <v>Within 1km</v>
      </c>
    </row>
    <row r="260" spans="2:27" hidden="1">
      <c r="B260" s="35" t="s">
        <v>317</v>
      </c>
      <c r="C260" s="35" t="s">
        <v>751</v>
      </c>
      <c r="D260" s="35" t="s">
        <v>20</v>
      </c>
      <c r="E260" s="35"/>
      <c r="F260" s="35" t="s">
        <v>767</v>
      </c>
      <c r="G260" s="35" t="s">
        <v>184</v>
      </c>
      <c r="H260" s="35">
        <v>103</v>
      </c>
      <c r="I260" s="35" t="s">
        <v>335</v>
      </c>
      <c r="J260" s="36">
        <v>1990</v>
      </c>
      <c r="K260" s="39">
        <v>65.4166666666666</v>
      </c>
      <c r="L260" s="37">
        <v>570000</v>
      </c>
      <c r="M260" s="35" t="s">
        <v>769</v>
      </c>
      <c r="N260" s="27">
        <v>522487</v>
      </c>
      <c r="O260" s="38">
        <v>1.3607513874127699</v>
      </c>
      <c r="P260" s="38">
        <v>103.95787707189299</v>
      </c>
      <c r="Q260" s="38" t="str" cm="1">
        <f t="array" ref="Q260">INDEX('MRT station dataset'!$C$3:$C$179, MATCH(MIN(SQRT(('MRT station dataset'!$E$3:$E$179-'Resale flat dataset'!O260)^2+('MRT station dataset'!$F$3:$F$179-'Resale flat dataset'!P260)^2)), SQRT(('MRT station dataset'!$E$3:$E$179-'Resale flat dataset'!O260)^2+('MRT station dataset'!$F$3:$F$179-'Resale flat dataset'!P260)^2), 0))</f>
        <v>TAMPINES EAST MRT STATION</v>
      </c>
      <c r="R260" s="38" t="str" cm="1">
        <f t="array" ref="R260">INDEX('Mall Dataset'!$B$3:$B$157, MATCH(MIN(SQRT(('Mall Dataset'!$E$3:$E$157-'Resale flat dataset'!O260)^2+('Mall Dataset'!$F$3:$F$157-'Resale flat dataset'!P260)^2)), SQRT(('Mall Dataset'!$E$3:$E$157-'Resale flat dataset'!O260)^2+('Mall Dataset'!$F$3:$F$157-'Resale flat dataset'!P260)^2), 0))</f>
        <v>Loyang Point</v>
      </c>
      <c r="S260" s="38" t="str" cm="1">
        <f t="array" ref="S260">INDEX('Schools dataset'!$B$3:$B$187, MATCH(MIN(SQRT(('Schools dataset'!$J$3:$J$187-'Resale flat dataset'!O260)^2+('Schools dataset'!$K$3:$K$187-'Resale flat dataset'!P260)^2)), SQRT(('Schools dataset'!$J$3:$J$187-'Resale flat dataset'!O260)^2+('Schools dataset'!$K$3:$K$187-'Resale flat dataset'!P260)^2), 0))</f>
        <v>WHITE SANDS PRIMARY SCHOOL</v>
      </c>
      <c r="T260" s="39">
        <f>ACOS(COS(RADIANS(90-O260))*COS(RADIANS(90-_xlfn.XLOOKUP(Q260,'MRT station dataset'!$C$3:$C$179,'MRT station dataset'!$E$3:$E$179)))+SIN(RADIANS(90-O260))*SIN(RADIANS(90-_xlfn.XLOOKUP(Q260,'MRT station dataset'!$C$3:$C$179,'MRT station dataset'!$E$3:$E$179)))*COS(RADIANS(P260-_xlfn.XLOOKUP('Resale flat dataset'!Q260,'MRT station dataset'!$C$3:$C$179,'MRT station dataset'!$F$3:$F$179))))*6371*1000</f>
        <v>623.56753674995139</v>
      </c>
      <c r="U260" s="39">
        <f>ACOS(COS(RADIANS(90-O260))*COS(RADIANS(90-_xlfn.XLOOKUP(R260,'Mall Dataset'!$B$3:$B$157,'Mall Dataset'!$E$3:$E$157,,0)))+SIN(RADIANS(90-O260))*SIN(RADIANS(90-_xlfn.XLOOKUP(R260,'Mall Dataset'!$B$3:$B$157,'Mall Dataset'!$E$3:$E$157,,0)))*COS(RADIANS(P260-_xlfn.XLOOKUP(R260,'Mall Dataset'!$B$3:$B$157,'Mall Dataset'!$F$3:$F$157,,0))))*6371*1000</f>
        <v>1028.3614098588957</v>
      </c>
      <c r="V260" s="39">
        <f>ACOS(COS(RADIANS(90-O260))*COS(RADIANS(90-_xlfn.XLOOKUP(S260,'Schools dataset'!$B$3:$B$187,'Schools dataset'!$J$3:$J$187,,0)))+SIN(RADIANS(90-O260))*SIN(RADIANS(90-_xlfn.XLOOKUP(S260,'Schools dataset'!$B$3:$B$187,'Schools dataset'!$J$3:$J$187,,0)))*COS(RADIANS(P260-_xlfn.XLOOKUP(S260,'Schools dataset'!$B$3:$B$187,'Schools dataset'!$K$3:$K$187,,0))))*6371*1000</f>
        <v>632.37188729212107</v>
      </c>
      <c r="W260" s="20">
        <f>_xlfn.XLOOKUP(T260,'HDB Recommender'!$P$10:$P$39,'HDB Recommender'!$Q$10:$Q$39,"&gt;30mins",1)</f>
        <v>9</v>
      </c>
      <c r="X260" s="20">
        <f>_xlfn.XLOOKUP(U260,'HDB Recommender'!$P$10:$P$39,'HDB Recommender'!$Q$10:$Q$39,"&gt;30mins",1)</f>
        <v>14</v>
      </c>
      <c r="Y260" s="20">
        <f>_xlfn.XLOOKUP(V260,'HDB Recommender'!$P$10:$P$39,'HDB Recommender'!$Q$10:$Q$39,"&gt;30mins",1)</f>
        <v>9</v>
      </c>
      <c r="Z260" s="39">
        <f t="shared" ref="Z260:Z322" si="9">AVERAGE(W260:Y260)</f>
        <v>10.666666666666666</v>
      </c>
      <c r="AA260" s="20" t="str">
        <f t="shared" si="8"/>
        <v>Within 1km</v>
      </c>
    </row>
    <row r="261" spans="2:27" hidden="1">
      <c r="B261" s="35" t="s">
        <v>317</v>
      </c>
      <c r="C261" s="35" t="s">
        <v>751</v>
      </c>
      <c r="D261" s="35" t="s">
        <v>20</v>
      </c>
      <c r="E261" s="35">
        <v>726</v>
      </c>
      <c r="F261" s="35" t="s">
        <v>770</v>
      </c>
      <c r="G261" s="35" t="s">
        <v>191</v>
      </c>
      <c r="H261" s="35">
        <v>103</v>
      </c>
      <c r="I261" s="35" t="s">
        <v>335</v>
      </c>
      <c r="J261" s="36">
        <v>1997</v>
      </c>
      <c r="K261" s="39">
        <v>73</v>
      </c>
      <c r="L261" s="37">
        <v>600000</v>
      </c>
      <c r="M261" s="35" t="s">
        <v>771</v>
      </c>
      <c r="N261" s="27">
        <v>520726</v>
      </c>
      <c r="O261" s="38">
        <v>1.3569843930127701</v>
      </c>
      <c r="P261" s="38">
        <v>103.935887361779</v>
      </c>
      <c r="Q261" s="38" t="str" cm="1">
        <f t="array" ref="Q261">INDEX('MRT station dataset'!$C$3:$C$179, MATCH(MIN(SQRT(('MRT station dataset'!$E$3:$E$179-'Resale flat dataset'!O261)^2+('MRT station dataset'!$F$3:$F$179-'Resale flat dataset'!P261)^2)), SQRT(('MRT station dataset'!$E$3:$E$179-'Resale flat dataset'!O261)^2+('MRT station dataset'!$F$3:$F$179-'Resale flat dataset'!P261)^2), 0))</f>
        <v>TAMPINES MRT STATION</v>
      </c>
      <c r="R261" s="38" t="str" cm="1">
        <f t="array" ref="R261">INDEX('Mall Dataset'!$B$3:$B$157, MATCH(MIN(SQRT(('Mall Dataset'!$E$3:$E$157-'Resale flat dataset'!O261)^2+('Mall Dataset'!$F$3:$F$157-'Resale flat dataset'!P261)^2)), SQRT(('Mall Dataset'!$E$3:$E$157-'Resale flat dataset'!O261)^2+('Mall Dataset'!$F$3:$F$157-'Resale flat dataset'!P261)^2), 0))</f>
        <v>Fairprice Hub</v>
      </c>
      <c r="S261" s="38" t="str" cm="1">
        <f t="array" ref="S261">INDEX('Schools dataset'!$B$3:$B$187, MATCH(MIN(SQRT(('Schools dataset'!$J$3:$J$187-'Resale flat dataset'!O261)^2+('Schools dataset'!$K$3:$K$187-'Resale flat dataset'!P261)^2)), SQRT(('Schools dataset'!$J$3:$J$187-'Resale flat dataset'!O261)^2+('Schools dataset'!$K$3:$K$187-'Resale flat dataset'!P261)^2), 0))</f>
        <v>POI CHING SCHOOL</v>
      </c>
      <c r="T261" s="39">
        <f>ACOS(COS(RADIANS(90-O261))*COS(RADIANS(90-_xlfn.XLOOKUP(Q261,'MRT station dataset'!$C$3:$C$179,'MRT station dataset'!$E$3:$E$179)))+SIN(RADIANS(90-O261))*SIN(RADIANS(90-_xlfn.XLOOKUP(Q261,'MRT station dataset'!$C$3:$C$179,'MRT station dataset'!$E$3:$E$179)))*COS(RADIANS(P261-_xlfn.XLOOKUP('Resale flat dataset'!Q261,'MRT station dataset'!$C$3:$C$179,'MRT station dataset'!$F$3:$F$179))))*6371*1000</f>
        <v>1103.0177221201932</v>
      </c>
      <c r="U261" s="39">
        <f>ACOS(COS(RADIANS(90-O261))*COS(RADIANS(90-_xlfn.XLOOKUP(R261,'Mall Dataset'!$B$3:$B$157,'Mall Dataset'!$E$3:$E$157,,0)))+SIN(RADIANS(90-O261))*SIN(RADIANS(90-_xlfn.XLOOKUP(R261,'Mall Dataset'!$B$3:$B$157,'Mall Dataset'!$E$3:$E$157,,0)))*COS(RADIANS(P261-_xlfn.XLOOKUP(R261,'Mall Dataset'!$B$3:$B$157,'Mall Dataset'!$F$3:$F$157,,0))))*6371*1000</f>
        <v>611.46076610248599</v>
      </c>
      <c r="V261" s="39">
        <f>ACOS(COS(RADIANS(90-O261))*COS(RADIANS(90-_xlfn.XLOOKUP(S261,'Schools dataset'!$B$3:$B$187,'Schools dataset'!$J$3:$J$187,,0)))+SIN(RADIANS(90-O261))*SIN(RADIANS(90-_xlfn.XLOOKUP(S261,'Schools dataset'!$B$3:$B$187,'Schools dataset'!$J$3:$J$187,,0)))*COS(RADIANS(P261-_xlfn.XLOOKUP(S261,'Schools dataset'!$B$3:$B$187,'Schools dataset'!$K$3:$K$187,,0))))*6371*1000</f>
        <v>102.82662958246291</v>
      </c>
      <c r="W261" s="20">
        <f>_xlfn.XLOOKUP(T261,'HDB Recommender'!$P$10:$P$39,'HDB Recommender'!$Q$10:$Q$39,"&gt;30mins",1)</f>
        <v>15</v>
      </c>
      <c r="X261" s="20">
        <f>_xlfn.XLOOKUP(U261,'HDB Recommender'!$P$10:$P$39,'HDB Recommender'!$Q$10:$Q$39,"&gt;30mins",1)</f>
        <v>9</v>
      </c>
      <c r="Y261" s="20">
        <f>_xlfn.XLOOKUP(V261,'HDB Recommender'!$P$10:$P$39,'HDB Recommender'!$Q$10:$Q$39,"&gt;30mins",1)</f>
        <v>2</v>
      </c>
      <c r="Z261" s="39">
        <f t="shared" si="9"/>
        <v>8.6666666666666661</v>
      </c>
      <c r="AA261" s="20" t="str">
        <f t="shared" si="8"/>
        <v>Within 1km</v>
      </c>
    </row>
    <row r="262" spans="2:27" hidden="1">
      <c r="B262" s="35" t="s">
        <v>317</v>
      </c>
      <c r="C262" s="35" t="s">
        <v>751</v>
      </c>
      <c r="D262" s="35" t="s">
        <v>20</v>
      </c>
      <c r="E262" s="35">
        <v>832</v>
      </c>
      <c r="F262" s="35" t="s">
        <v>772</v>
      </c>
      <c r="G262" s="35" t="s">
        <v>349</v>
      </c>
      <c r="H262" s="35">
        <v>84</v>
      </c>
      <c r="I262" s="35" t="s">
        <v>369</v>
      </c>
      <c r="J262" s="36">
        <v>1984</v>
      </c>
      <c r="K262" s="39">
        <v>60.25</v>
      </c>
      <c r="L262" s="37">
        <v>505000</v>
      </c>
      <c r="M262" s="35" t="s">
        <v>773</v>
      </c>
      <c r="N262" s="27">
        <v>520832</v>
      </c>
      <c r="O262" s="38">
        <v>1.3501017147759999</v>
      </c>
      <c r="P262" s="38">
        <v>103.935397838075</v>
      </c>
      <c r="Q262" s="38" t="str" cm="1">
        <f t="array" ref="Q262">INDEX('MRT station dataset'!$C$3:$C$179, MATCH(MIN(SQRT(('MRT station dataset'!$E$3:$E$179-'Resale flat dataset'!O262)^2+('MRT station dataset'!$F$3:$F$179-'Resale flat dataset'!P262)^2)), SQRT(('MRT station dataset'!$E$3:$E$179-'Resale flat dataset'!O262)^2+('MRT station dataset'!$F$3:$F$179-'Resale flat dataset'!P262)^2), 0))</f>
        <v>TAMPINES WEST MRT STATION</v>
      </c>
      <c r="R262" s="38" t="str" cm="1">
        <f t="array" ref="R262">INDEX('Mall Dataset'!$B$3:$B$157, MATCH(MIN(SQRT(('Mall Dataset'!$E$3:$E$157-'Resale flat dataset'!O262)^2+('Mall Dataset'!$F$3:$F$157-'Resale flat dataset'!P262)^2)), SQRT(('Mall Dataset'!$E$3:$E$157-'Resale flat dataset'!O262)^2+('Mall Dataset'!$F$3:$F$157-'Resale flat dataset'!P262)^2), 0))</f>
        <v>Tampines 1</v>
      </c>
      <c r="S262" s="38" t="str" cm="1">
        <f t="array" ref="S262">INDEX('Schools dataset'!$B$3:$B$187, MATCH(MIN(SQRT(('Schools dataset'!$J$3:$J$187-'Resale flat dataset'!O262)^2+('Schools dataset'!$K$3:$K$187-'Resale flat dataset'!P262)^2)), SQRT(('Schools dataset'!$J$3:$J$187-'Resale flat dataset'!O262)^2+('Schools dataset'!$K$3:$K$187-'Resale flat dataset'!P262)^2), 0))</f>
        <v>ST. HILDA'S PRIMARY SCHOOL</v>
      </c>
      <c r="T262" s="39">
        <f>ACOS(COS(RADIANS(90-O262))*COS(RADIANS(90-_xlfn.XLOOKUP(Q262,'MRT station dataset'!$C$3:$C$179,'MRT station dataset'!$E$3:$E$179)))+SIN(RADIANS(90-O262))*SIN(RADIANS(90-_xlfn.XLOOKUP(Q262,'MRT station dataset'!$C$3:$C$179,'MRT station dataset'!$E$3:$E$179)))*COS(RADIANS(P262-_xlfn.XLOOKUP('Resale flat dataset'!Q262,'MRT station dataset'!$C$3:$C$179,'MRT station dataset'!$F$3:$F$179))))*6371*1000</f>
        <v>610.90221769658945</v>
      </c>
      <c r="U262" s="39">
        <f>ACOS(COS(RADIANS(90-O262))*COS(RADIANS(90-_xlfn.XLOOKUP(R262,'Mall Dataset'!$B$3:$B$157,'Mall Dataset'!$E$3:$E$157,,0)))+SIN(RADIANS(90-O262))*SIN(RADIANS(90-_xlfn.XLOOKUP(R262,'Mall Dataset'!$B$3:$B$157,'Mall Dataset'!$E$3:$E$157,,0)))*COS(RADIANS(P262-_xlfn.XLOOKUP(R262,'Mall Dataset'!$B$3:$B$157,'Mall Dataset'!$F$3:$F$157,,0))))*6371*1000</f>
        <v>447.49266035244295</v>
      </c>
      <c r="V262" s="39">
        <f>ACOS(COS(RADIANS(90-O262))*COS(RADIANS(90-_xlfn.XLOOKUP(S262,'Schools dataset'!$B$3:$B$187,'Schools dataset'!$J$3:$J$187,,0)))+SIN(RADIANS(90-O262))*SIN(RADIANS(90-_xlfn.XLOOKUP(S262,'Schools dataset'!$B$3:$B$187,'Schools dataset'!$J$3:$J$187,,0)))*COS(RADIANS(P262-_xlfn.XLOOKUP(S262,'Schools dataset'!$B$3:$B$187,'Schools dataset'!$K$3:$K$187,,0))))*6371*1000</f>
        <v>292.62463925375414</v>
      </c>
      <c r="W262" s="20">
        <f>_xlfn.XLOOKUP(T262,'HDB Recommender'!$P$10:$P$39,'HDB Recommender'!$Q$10:$Q$39,"&gt;30mins",1)</f>
        <v>9</v>
      </c>
      <c r="X262" s="20">
        <f>_xlfn.XLOOKUP(U262,'HDB Recommender'!$P$10:$P$39,'HDB Recommender'!$Q$10:$Q$39,"&gt;30mins",1)</f>
        <v>6</v>
      </c>
      <c r="Y262" s="20">
        <f>_xlfn.XLOOKUP(V262,'HDB Recommender'!$P$10:$P$39,'HDB Recommender'!$Q$10:$Q$39,"&gt;30mins",1)</f>
        <v>4</v>
      </c>
      <c r="Z262" s="39">
        <f t="shared" si="9"/>
        <v>6.333333333333333</v>
      </c>
      <c r="AA262" s="20" t="str">
        <f t="shared" si="8"/>
        <v>Within 1km</v>
      </c>
    </row>
    <row r="263" spans="2:27" hidden="1">
      <c r="B263" s="35" t="s">
        <v>317</v>
      </c>
      <c r="C263" s="35" t="s">
        <v>751</v>
      </c>
      <c r="D263" s="35" t="s">
        <v>20</v>
      </c>
      <c r="E263" s="35">
        <v>850</v>
      </c>
      <c r="F263" s="35" t="s">
        <v>772</v>
      </c>
      <c r="G263" s="35" t="s">
        <v>349</v>
      </c>
      <c r="H263" s="35">
        <v>84</v>
      </c>
      <c r="I263" s="35" t="s">
        <v>369</v>
      </c>
      <c r="J263" s="36">
        <v>1986</v>
      </c>
      <c r="K263" s="39">
        <v>62.25</v>
      </c>
      <c r="L263" s="37">
        <v>510000</v>
      </c>
      <c r="M263" s="35" t="s">
        <v>774</v>
      </c>
      <c r="N263" s="27">
        <v>520850</v>
      </c>
      <c r="O263" s="38">
        <v>1.35304367332026</v>
      </c>
      <c r="P263" s="38">
        <v>103.93596564531499</v>
      </c>
      <c r="Q263" s="38" t="str" cm="1">
        <f t="array" ref="Q263">INDEX('MRT station dataset'!$C$3:$C$179, MATCH(MIN(SQRT(('MRT station dataset'!$E$3:$E$179-'Resale flat dataset'!O263)^2+('MRT station dataset'!$F$3:$F$179-'Resale flat dataset'!P263)^2)), SQRT(('MRT station dataset'!$E$3:$E$179-'Resale flat dataset'!O263)^2+('MRT station dataset'!$F$3:$F$179-'Resale flat dataset'!P263)^2), 0))</f>
        <v>TAMPINES WEST MRT STATION</v>
      </c>
      <c r="R263" s="38" t="str" cm="1">
        <f t="array" ref="R263">INDEX('Mall Dataset'!$B$3:$B$157, MATCH(MIN(SQRT(('Mall Dataset'!$E$3:$E$157-'Resale flat dataset'!O263)^2+('Mall Dataset'!$F$3:$F$157-'Resale flat dataset'!P263)^2)), SQRT(('Mall Dataset'!$E$3:$E$157-'Resale flat dataset'!O263)^2+('Mall Dataset'!$F$3:$F$157-'Resale flat dataset'!P263)^2), 0))</f>
        <v>Fairprice Hub</v>
      </c>
      <c r="S263" s="38" t="str" cm="1">
        <f t="array" ref="S263">INDEX('Schools dataset'!$B$3:$B$187, MATCH(MIN(SQRT(('Schools dataset'!$J$3:$J$187-'Resale flat dataset'!O263)^2+('Schools dataset'!$K$3:$K$187-'Resale flat dataset'!P263)^2)), SQRT(('Schools dataset'!$J$3:$J$187-'Resale flat dataset'!O263)^2+('Schools dataset'!$K$3:$K$187-'Resale flat dataset'!P263)^2), 0))</f>
        <v>ST. HILDA'S PRIMARY SCHOOL</v>
      </c>
      <c r="T263" s="39">
        <f>ACOS(COS(RADIANS(90-O263))*COS(RADIANS(90-_xlfn.XLOOKUP(Q263,'MRT station dataset'!$C$3:$C$179,'MRT station dataset'!$E$3:$E$179)))+SIN(RADIANS(90-O263))*SIN(RADIANS(90-_xlfn.XLOOKUP(Q263,'MRT station dataset'!$C$3:$C$179,'MRT station dataset'!$E$3:$E$179)))*COS(RADIANS(P263-_xlfn.XLOOKUP('Resale flat dataset'!Q263,'MRT station dataset'!$C$3:$C$179,'MRT station dataset'!$F$3:$F$179))))*6371*1000</f>
        <v>881.38939971641571</v>
      </c>
      <c r="U263" s="39">
        <f>ACOS(COS(RADIANS(90-O263))*COS(RADIANS(90-_xlfn.XLOOKUP(R263,'Mall Dataset'!$B$3:$B$157,'Mall Dataset'!$E$3:$E$157,,0)))+SIN(RADIANS(90-O263))*SIN(RADIANS(90-_xlfn.XLOOKUP(R263,'Mall Dataset'!$B$3:$B$157,'Mall Dataset'!$E$3:$E$157,,0)))*COS(RADIANS(P263-_xlfn.XLOOKUP(R263,'Mall Dataset'!$B$3:$B$157,'Mall Dataset'!$F$3:$F$157,,0))))*6371*1000</f>
        <v>466.68753762148475</v>
      </c>
      <c r="V263" s="39">
        <f>ACOS(COS(RADIANS(90-O263))*COS(RADIANS(90-_xlfn.XLOOKUP(S263,'Schools dataset'!$B$3:$B$187,'Schools dataset'!$J$3:$J$187,,0)))+SIN(RADIANS(90-O263))*SIN(RADIANS(90-_xlfn.XLOOKUP(S263,'Schools dataset'!$B$3:$B$187,'Schools dataset'!$J$3:$J$187,,0)))*COS(RADIANS(P263-_xlfn.XLOOKUP(S263,'Schools dataset'!$B$3:$B$187,'Schools dataset'!$K$3:$K$187,,0))))*6371*1000</f>
        <v>464.66997824384703</v>
      </c>
      <c r="W263" s="20">
        <f>_xlfn.XLOOKUP(T263,'HDB Recommender'!$P$10:$P$39,'HDB Recommender'!$Q$10:$Q$39,"&gt;30mins",1)</f>
        <v>12</v>
      </c>
      <c r="X263" s="20">
        <f>_xlfn.XLOOKUP(U263,'HDB Recommender'!$P$10:$P$39,'HDB Recommender'!$Q$10:$Q$39,"&gt;30mins",1)</f>
        <v>7</v>
      </c>
      <c r="Y263" s="20">
        <f>_xlfn.XLOOKUP(V263,'HDB Recommender'!$P$10:$P$39,'HDB Recommender'!$Q$10:$Q$39,"&gt;30mins",1)</f>
        <v>7</v>
      </c>
      <c r="Z263" s="39">
        <f t="shared" si="9"/>
        <v>8.6666666666666661</v>
      </c>
      <c r="AA263" s="20" t="str">
        <f t="shared" si="8"/>
        <v>Within 1km</v>
      </c>
    </row>
    <row r="264" spans="2:27" hidden="1">
      <c r="B264" s="35" t="s">
        <v>317</v>
      </c>
      <c r="C264" s="35" t="s">
        <v>751</v>
      </c>
      <c r="D264" s="35" t="s">
        <v>20</v>
      </c>
      <c r="E264" s="35">
        <v>927</v>
      </c>
      <c r="F264" s="35" t="s">
        <v>775</v>
      </c>
      <c r="G264" s="35" t="s">
        <v>349</v>
      </c>
      <c r="H264" s="35">
        <v>109</v>
      </c>
      <c r="I264" s="35" t="s">
        <v>335</v>
      </c>
      <c r="J264" s="36">
        <v>1984</v>
      </c>
      <c r="K264" s="39">
        <v>59.8333333333333</v>
      </c>
      <c r="L264" s="37">
        <v>565000</v>
      </c>
      <c r="M264" s="35" t="s">
        <v>776</v>
      </c>
      <c r="N264" s="27">
        <v>520927</v>
      </c>
      <c r="O264" s="38">
        <v>1.34615293908617</v>
      </c>
      <c r="P264" s="38">
        <v>103.940497682184</v>
      </c>
      <c r="Q264" s="38" t="str" cm="1">
        <f t="array" ref="Q264">INDEX('MRT station dataset'!$C$3:$C$179, MATCH(MIN(SQRT(('MRT station dataset'!$E$3:$E$179-'Resale flat dataset'!O264)^2+('MRT station dataset'!$F$3:$F$179-'Resale flat dataset'!P264)^2)), SQRT(('MRT station dataset'!$E$3:$E$179-'Resale flat dataset'!O264)^2+('MRT station dataset'!$F$3:$F$179-'Resale flat dataset'!P264)^2), 0))</f>
        <v>TAMPINES WEST MRT STATION</v>
      </c>
      <c r="R264" s="38" t="str" cm="1">
        <f t="array" ref="R264">INDEX('Mall Dataset'!$B$3:$B$157, MATCH(MIN(SQRT(('Mall Dataset'!$E$3:$E$157-'Resale flat dataset'!O264)^2+('Mall Dataset'!$F$3:$F$157-'Resale flat dataset'!P264)^2)), SQRT(('Mall Dataset'!$E$3:$E$157-'Resale flat dataset'!O264)^2+('Mall Dataset'!$F$3:$F$157-'Resale flat dataset'!P264)^2), 0))</f>
        <v>Our Tampines Hub</v>
      </c>
      <c r="S264" s="38" t="str" cm="1">
        <f t="array" ref="S264">INDEX('Schools dataset'!$B$3:$B$187, MATCH(MIN(SQRT(('Schools dataset'!$J$3:$J$187-'Resale flat dataset'!O264)^2+('Schools dataset'!$K$3:$K$187-'Resale flat dataset'!P264)^2)), SQRT(('Schools dataset'!$J$3:$J$187-'Resale flat dataset'!O264)^2+('Schools dataset'!$K$3:$K$187-'Resale flat dataset'!P264)^2), 0))</f>
        <v>JUNYUAN PRIMARY SCHOOL</v>
      </c>
      <c r="T264" s="39">
        <f>ACOS(COS(RADIANS(90-O264))*COS(RADIANS(90-_xlfn.XLOOKUP(Q264,'MRT station dataset'!$C$3:$C$179,'MRT station dataset'!$E$3:$E$179)))+SIN(RADIANS(90-O264))*SIN(RADIANS(90-_xlfn.XLOOKUP(Q264,'MRT station dataset'!$C$3:$C$179,'MRT station dataset'!$E$3:$E$179)))*COS(RADIANS(P264-_xlfn.XLOOKUP('Resale flat dataset'!Q264,'MRT station dataset'!$C$3:$C$179,'MRT station dataset'!$F$3:$F$179))))*6371*1000</f>
        <v>244.22854079760947</v>
      </c>
      <c r="U264" s="39">
        <f>ACOS(COS(RADIANS(90-O264))*COS(RADIANS(90-_xlfn.XLOOKUP(R264,'Mall Dataset'!$B$3:$B$157,'Mall Dataset'!$E$3:$E$157,,0)))+SIN(RADIANS(90-O264))*SIN(RADIANS(90-_xlfn.XLOOKUP(R264,'Mall Dataset'!$B$3:$B$157,'Mall Dataset'!$E$3:$E$157,,0)))*COS(RADIANS(P264-_xlfn.XLOOKUP(R264,'Mall Dataset'!$B$3:$B$157,'Mall Dataset'!$F$3:$F$157,,0))))*6371*1000</f>
        <v>670.32351762613177</v>
      </c>
      <c r="V264" s="39">
        <f>ACOS(COS(RADIANS(90-O264))*COS(RADIANS(90-_xlfn.XLOOKUP(S264,'Schools dataset'!$B$3:$B$187,'Schools dataset'!$J$3:$J$187,,0)))+SIN(RADIANS(90-O264))*SIN(RADIANS(90-_xlfn.XLOOKUP(S264,'Schools dataset'!$B$3:$B$187,'Schools dataset'!$J$3:$J$187,,0)))*COS(RADIANS(P264-_xlfn.XLOOKUP(S264,'Schools dataset'!$B$3:$B$187,'Schools dataset'!$K$3:$K$187,,0))))*6371*1000</f>
        <v>267.14317156729049</v>
      </c>
      <c r="W264" s="20">
        <f>_xlfn.XLOOKUP(T264,'HDB Recommender'!$P$10:$P$39,'HDB Recommender'!$Q$10:$Q$39,"&gt;30mins",1)</f>
        <v>4</v>
      </c>
      <c r="X264" s="20">
        <f>_xlfn.XLOOKUP(U264,'HDB Recommender'!$P$10:$P$39,'HDB Recommender'!$Q$10:$Q$39,"&gt;30mins",1)</f>
        <v>9</v>
      </c>
      <c r="Y264" s="20">
        <f>_xlfn.XLOOKUP(V264,'HDB Recommender'!$P$10:$P$39,'HDB Recommender'!$Q$10:$Q$39,"&gt;30mins",1)</f>
        <v>4</v>
      </c>
      <c r="Z264" s="39">
        <f t="shared" si="9"/>
        <v>5.666666666666667</v>
      </c>
      <c r="AA264" s="20" t="str">
        <f t="shared" si="8"/>
        <v>Within 1km</v>
      </c>
    </row>
    <row r="265" spans="2:27" hidden="1">
      <c r="B265" s="35" t="s">
        <v>317</v>
      </c>
      <c r="C265" s="35" t="s">
        <v>751</v>
      </c>
      <c r="D265" s="35" t="s">
        <v>341</v>
      </c>
      <c r="E265" s="35"/>
      <c r="F265" s="35" t="s">
        <v>777</v>
      </c>
      <c r="G265" s="35" t="s">
        <v>349</v>
      </c>
      <c r="H265" s="35">
        <v>124</v>
      </c>
      <c r="I265" s="35" t="s">
        <v>326</v>
      </c>
      <c r="J265" s="36">
        <v>1993</v>
      </c>
      <c r="K265" s="39">
        <v>68.8333333333333</v>
      </c>
      <c r="L265" s="37">
        <v>650000</v>
      </c>
      <c r="M265" s="35" t="s">
        <v>778</v>
      </c>
      <c r="N265" s="27">
        <v>520494</v>
      </c>
      <c r="O265" s="38">
        <v>1.3630082896792</v>
      </c>
      <c r="P265" s="38">
        <v>103.952704897774</v>
      </c>
      <c r="Q265" s="38" t="str" cm="1">
        <f t="array" ref="Q265">INDEX('MRT station dataset'!$C$3:$C$179, MATCH(MIN(SQRT(('MRT station dataset'!$E$3:$E$179-'Resale flat dataset'!O265)^2+('MRT station dataset'!$F$3:$F$179-'Resale flat dataset'!P265)^2)), SQRT(('MRT station dataset'!$E$3:$E$179-'Resale flat dataset'!O265)^2+('MRT station dataset'!$F$3:$F$179-'Resale flat dataset'!P265)^2), 0))</f>
        <v>TAMPINES EAST MRT STATION</v>
      </c>
      <c r="R265" s="38" t="str" cm="1">
        <f t="array" ref="R265">INDEX('Mall Dataset'!$B$3:$B$157, MATCH(MIN(SQRT(('Mall Dataset'!$E$3:$E$157-'Resale flat dataset'!O265)^2+('Mall Dataset'!$F$3:$F$157-'Resale flat dataset'!P265)^2)), SQRT(('Mall Dataset'!$E$3:$E$157-'Resale flat dataset'!O265)^2+('Mall Dataset'!$F$3:$F$157-'Resale flat dataset'!P265)^2), 0))</f>
        <v>White Sands</v>
      </c>
      <c r="S265" s="38" t="str" cm="1">
        <f t="array" ref="S265">INDEX('Schools dataset'!$B$3:$B$187, MATCH(MIN(SQRT(('Schools dataset'!$J$3:$J$187-'Resale flat dataset'!O265)^2+('Schools dataset'!$K$3:$K$187-'Resale flat dataset'!P265)^2)), SQRT(('Schools dataset'!$J$3:$J$187-'Resale flat dataset'!O265)^2+('Schools dataset'!$K$3:$K$187-'Resale flat dataset'!P265)^2), 0))</f>
        <v>TAMPINES NORTH PRIMARY SCHOOL</v>
      </c>
      <c r="T265" s="39">
        <f>ACOS(COS(RADIANS(90-O265))*COS(RADIANS(90-_xlfn.XLOOKUP(Q265,'MRT station dataset'!$C$3:$C$179,'MRT station dataset'!$E$3:$E$179)))+SIN(RADIANS(90-O265))*SIN(RADIANS(90-_xlfn.XLOOKUP(Q265,'MRT station dataset'!$C$3:$C$179,'MRT station dataset'!$E$3:$E$179)))*COS(RADIANS(P265-_xlfn.XLOOKUP('Resale flat dataset'!Q265,'MRT station dataset'!$C$3:$C$179,'MRT station dataset'!$F$3:$F$179))))*6371*1000</f>
        <v>785.81226462340942</v>
      </c>
      <c r="U265" s="39">
        <f>ACOS(COS(RADIANS(90-O265))*COS(RADIANS(90-_xlfn.XLOOKUP(R265,'Mall Dataset'!$B$3:$B$157,'Mall Dataset'!$E$3:$E$157,,0)))+SIN(RADIANS(90-O265))*SIN(RADIANS(90-_xlfn.XLOOKUP(R265,'Mall Dataset'!$B$3:$B$157,'Mall Dataset'!$E$3:$E$157,,0)))*COS(RADIANS(P265-_xlfn.XLOOKUP(R265,'Mall Dataset'!$B$3:$B$157,'Mall Dataset'!$F$3:$F$157,,0))))*6371*1000</f>
        <v>1083.3813732985602</v>
      </c>
      <c r="V265" s="39">
        <f>ACOS(COS(RADIANS(90-O265))*COS(RADIANS(90-_xlfn.XLOOKUP(S265,'Schools dataset'!$B$3:$B$187,'Schools dataset'!$J$3:$J$187,,0)))+SIN(RADIANS(90-O265))*SIN(RADIANS(90-_xlfn.XLOOKUP(S265,'Schools dataset'!$B$3:$B$187,'Schools dataset'!$J$3:$J$187,,0)))*COS(RADIANS(P265-_xlfn.XLOOKUP(S265,'Schools dataset'!$B$3:$B$187,'Schools dataset'!$K$3:$K$187,,0))))*6371*1000</f>
        <v>519.60151870781112</v>
      </c>
      <c r="W265" s="20">
        <f>_xlfn.XLOOKUP(T265,'HDB Recommender'!$P$10:$P$39,'HDB Recommender'!$Q$10:$Q$39,"&gt;30mins",1)</f>
        <v>11</v>
      </c>
      <c r="X265" s="20">
        <f>_xlfn.XLOOKUP(U265,'HDB Recommender'!$P$10:$P$39,'HDB Recommender'!$Q$10:$Q$39,"&gt;30mins",1)</f>
        <v>15</v>
      </c>
      <c r="Y265" s="20">
        <f>_xlfn.XLOOKUP(V265,'HDB Recommender'!$P$10:$P$39,'HDB Recommender'!$Q$10:$Q$39,"&gt;30mins",1)</f>
        <v>7</v>
      </c>
      <c r="Z265" s="39">
        <f t="shared" si="9"/>
        <v>11</v>
      </c>
      <c r="AA265" s="20" t="str">
        <f t="shared" si="8"/>
        <v>Within 1km</v>
      </c>
    </row>
    <row r="266" spans="2:27" hidden="1">
      <c r="B266" s="35" t="s">
        <v>317</v>
      </c>
      <c r="C266" s="35" t="s">
        <v>751</v>
      </c>
      <c r="D266" s="35" t="s">
        <v>341</v>
      </c>
      <c r="E266" s="35"/>
      <c r="F266" s="35" t="s">
        <v>777</v>
      </c>
      <c r="G266" s="35" t="s">
        <v>191</v>
      </c>
      <c r="H266" s="35">
        <v>126</v>
      </c>
      <c r="I266" s="35" t="s">
        <v>326</v>
      </c>
      <c r="J266" s="36">
        <v>1993</v>
      </c>
      <c r="K266" s="39">
        <v>68.8333333333333</v>
      </c>
      <c r="L266" s="37">
        <v>675000</v>
      </c>
      <c r="M266" s="35" t="s">
        <v>779</v>
      </c>
      <c r="N266" s="27">
        <v>520491</v>
      </c>
      <c r="O266" s="38">
        <v>1.3625647439944599</v>
      </c>
      <c r="P266" s="38">
        <v>103.953782907479</v>
      </c>
      <c r="Q266" s="38" t="str" cm="1">
        <f t="array" ref="Q266">INDEX('MRT station dataset'!$C$3:$C$179, MATCH(MIN(SQRT(('MRT station dataset'!$E$3:$E$179-'Resale flat dataset'!O266)^2+('MRT station dataset'!$F$3:$F$179-'Resale flat dataset'!P266)^2)), SQRT(('MRT station dataset'!$E$3:$E$179-'Resale flat dataset'!O266)^2+('MRT station dataset'!$F$3:$F$179-'Resale flat dataset'!P266)^2), 0))</f>
        <v>TAMPINES EAST MRT STATION</v>
      </c>
      <c r="R266" s="38" t="str" cm="1">
        <f t="array" ref="R266">INDEX('Mall Dataset'!$B$3:$B$157, MATCH(MIN(SQRT(('Mall Dataset'!$E$3:$E$157-'Resale flat dataset'!O266)^2+('Mall Dataset'!$F$3:$F$157-'Resale flat dataset'!P266)^2)), SQRT(('Mall Dataset'!$E$3:$E$157-'Resale flat dataset'!O266)^2+('Mall Dataset'!$F$3:$F$157-'Resale flat dataset'!P266)^2), 0))</f>
        <v>White Sands</v>
      </c>
      <c r="S266" s="38" t="str" cm="1">
        <f t="array" ref="S266">INDEX('Schools dataset'!$B$3:$B$187, MATCH(MIN(SQRT(('Schools dataset'!$J$3:$J$187-'Resale flat dataset'!O266)^2+('Schools dataset'!$K$3:$K$187-'Resale flat dataset'!P266)^2)), SQRT(('Schools dataset'!$J$3:$J$187-'Resale flat dataset'!O266)^2+('Schools dataset'!$K$3:$K$187-'Resale flat dataset'!P266)^2), 0))</f>
        <v>TAMPINES NORTH PRIMARY SCHOOL</v>
      </c>
      <c r="T266" s="39">
        <f>ACOS(COS(RADIANS(90-O266))*COS(RADIANS(90-_xlfn.XLOOKUP(Q266,'MRT station dataset'!$C$3:$C$179,'MRT station dataset'!$E$3:$E$179)))+SIN(RADIANS(90-O266))*SIN(RADIANS(90-_xlfn.XLOOKUP(Q266,'MRT station dataset'!$C$3:$C$179,'MRT station dataset'!$E$3:$E$179)))*COS(RADIANS(P266-_xlfn.XLOOKUP('Resale flat dataset'!Q266,'MRT station dataset'!$C$3:$C$179,'MRT station dataset'!$F$3:$F$179))))*6371*1000</f>
        <v>713.53214625927114</v>
      </c>
      <c r="U266" s="39">
        <f>ACOS(COS(RADIANS(90-O266))*COS(RADIANS(90-_xlfn.XLOOKUP(R266,'Mall Dataset'!$B$3:$B$157,'Mall Dataset'!$E$3:$E$157,,0)))+SIN(RADIANS(90-O266))*SIN(RADIANS(90-_xlfn.XLOOKUP(R266,'Mall Dataset'!$B$3:$B$157,'Mall Dataset'!$E$3:$E$157,,0)))*COS(RADIANS(P266-_xlfn.XLOOKUP(R266,'Mall Dataset'!$B$3:$B$157,'Mall Dataset'!$F$3:$F$157,,0))))*6371*1000</f>
        <v>1171.0854087562686</v>
      </c>
      <c r="V266" s="39">
        <f>ACOS(COS(RADIANS(90-O266))*COS(RADIANS(90-_xlfn.XLOOKUP(S266,'Schools dataset'!$B$3:$B$187,'Schools dataset'!$J$3:$J$187,,0)))+SIN(RADIANS(90-O266))*SIN(RADIANS(90-_xlfn.XLOOKUP(S266,'Schools dataset'!$B$3:$B$187,'Schools dataset'!$J$3:$J$187,,0)))*COS(RADIANS(P266-_xlfn.XLOOKUP(S266,'Schools dataset'!$B$3:$B$187,'Schools dataset'!$K$3:$K$187,,0))))*6371*1000</f>
        <v>603.32361849149561</v>
      </c>
      <c r="W266" s="20">
        <f>_xlfn.XLOOKUP(T266,'HDB Recommender'!$P$10:$P$39,'HDB Recommender'!$Q$10:$Q$39,"&gt;30mins",1)</f>
        <v>10</v>
      </c>
      <c r="X266" s="20">
        <f>_xlfn.XLOOKUP(U266,'HDB Recommender'!$P$10:$P$39,'HDB Recommender'!$Q$10:$Q$39,"&gt;30mins",1)</f>
        <v>16</v>
      </c>
      <c r="Y266" s="20">
        <f>_xlfn.XLOOKUP(V266,'HDB Recommender'!$P$10:$P$39,'HDB Recommender'!$Q$10:$Q$39,"&gt;30mins",1)</f>
        <v>9</v>
      </c>
      <c r="Z266" s="39">
        <f t="shared" si="9"/>
        <v>11.666666666666666</v>
      </c>
      <c r="AA266" s="20" t="str">
        <f t="shared" si="8"/>
        <v>Within 1km</v>
      </c>
    </row>
    <row r="267" spans="2:27" hidden="1">
      <c r="B267" s="35" t="s">
        <v>317</v>
      </c>
      <c r="C267" s="35" t="s">
        <v>751</v>
      </c>
      <c r="D267" s="35" t="s">
        <v>341</v>
      </c>
      <c r="E267" s="35">
        <v>317</v>
      </c>
      <c r="F267" s="35" t="s">
        <v>763</v>
      </c>
      <c r="G267" s="35" t="s">
        <v>189</v>
      </c>
      <c r="H267" s="35">
        <v>128</v>
      </c>
      <c r="I267" s="35" t="s">
        <v>326</v>
      </c>
      <c r="J267" s="36">
        <v>1995</v>
      </c>
      <c r="K267" s="39">
        <v>70.9166666666666</v>
      </c>
      <c r="L267" s="37">
        <v>665000</v>
      </c>
      <c r="M267" s="35" t="s">
        <v>780</v>
      </c>
      <c r="N267" s="27">
        <v>520317</v>
      </c>
      <c r="O267" s="38">
        <v>1.35153802906184</v>
      </c>
      <c r="P267" s="38">
        <v>103.956897901071</v>
      </c>
      <c r="Q267" s="38" t="str" cm="1">
        <f t="array" ref="Q267">INDEX('MRT station dataset'!$C$3:$C$179, MATCH(MIN(SQRT(('MRT station dataset'!$E$3:$E$179-'Resale flat dataset'!O267)^2+('MRT station dataset'!$F$3:$F$179-'Resale flat dataset'!P267)^2)), SQRT(('MRT station dataset'!$E$3:$E$179-'Resale flat dataset'!O267)^2+('MRT station dataset'!$F$3:$F$179-'Resale flat dataset'!P267)^2), 0))</f>
        <v>TAMPINES EAST MRT STATION</v>
      </c>
      <c r="R267" s="38" t="str" cm="1">
        <f t="array" ref="R267">INDEX('Mall Dataset'!$B$3:$B$157, MATCH(MIN(SQRT(('Mall Dataset'!$E$3:$E$157-'Resale flat dataset'!O267)^2+('Mall Dataset'!$F$3:$F$157-'Resale flat dataset'!P267)^2)), SQRT(('Mall Dataset'!$E$3:$E$157-'Resale flat dataset'!O267)^2+('Mall Dataset'!$F$3:$F$157-'Resale flat dataset'!P267)^2), 0))</f>
        <v>Eastpoint Mall</v>
      </c>
      <c r="S267" s="38" t="str" cm="1">
        <f t="array" ref="S267">INDEX('Schools dataset'!$B$3:$B$187, MATCH(MIN(SQRT(('Schools dataset'!$J$3:$J$187-'Resale flat dataset'!O267)^2+('Schools dataset'!$K$3:$K$187-'Resale flat dataset'!P267)^2)), SQRT(('Schools dataset'!$J$3:$J$187-'Resale flat dataset'!O267)^2+('Schools dataset'!$K$3:$K$187-'Resale flat dataset'!P267)^2), 0))</f>
        <v>EAST SPRING PRIMARY SCHOOL</v>
      </c>
      <c r="T267" s="39">
        <f>ACOS(COS(RADIANS(90-O267))*COS(RADIANS(90-_xlfn.XLOOKUP(Q267,'MRT station dataset'!$C$3:$C$179,'MRT station dataset'!$E$3:$E$179)))+SIN(RADIANS(90-O267))*SIN(RADIANS(90-_xlfn.XLOOKUP(Q267,'MRT station dataset'!$C$3:$C$179,'MRT station dataset'!$E$3:$E$179)))*COS(RADIANS(P267-_xlfn.XLOOKUP('Resale flat dataset'!Q267,'MRT station dataset'!$C$3:$C$179,'MRT station dataset'!$F$3:$F$179))))*6371*1000</f>
        <v>577.90748179535819</v>
      </c>
      <c r="U267" s="39">
        <f>ACOS(COS(RADIANS(90-O267))*COS(RADIANS(90-_xlfn.XLOOKUP(R267,'Mall Dataset'!$B$3:$B$157,'Mall Dataset'!$E$3:$E$157,,0)))+SIN(RADIANS(90-O267))*SIN(RADIANS(90-_xlfn.XLOOKUP(R267,'Mall Dataset'!$B$3:$B$157,'Mall Dataset'!$E$3:$E$157,,0)))*COS(RADIANS(P267-_xlfn.XLOOKUP(R267,'Mall Dataset'!$B$3:$B$157,'Mall Dataset'!$F$3:$F$157,,0))))*6371*1000</f>
        <v>1072.3257103508668</v>
      </c>
      <c r="V267" s="39">
        <f>ACOS(COS(RADIANS(90-O267))*COS(RADIANS(90-_xlfn.XLOOKUP(S267,'Schools dataset'!$B$3:$B$187,'Schools dataset'!$J$3:$J$187,,0)))+SIN(RADIANS(90-O267))*SIN(RADIANS(90-_xlfn.XLOOKUP(S267,'Schools dataset'!$B$3:$B$187,'Schools dataset'!$J$3:$J$187,,0)))*COS(RADIANS(P267-_xlfn.XLOOKUP(S267,'Schools dataset'!$B$3:$B$187,'Schools dataset'!$K$3:$K$187,,0))))*6371*1000</f>
        <v>546.31567910448496</v>
      </c>
      <c r="W267" s="20">
        <f>_xlfn.XLOOKUP(T267,'HDB Recommender'!$P$10:$P$39,'HDB Recommender'!$Q$10:$Q$39,"&gt;30mins",1)</f>
        <v>8</v>
      </c>
      <c r="X267" s="20">
        <f>_xlfn.XLOOKUP(U267,'HDB Recommender'!$P$10:$P$39,'HDB Recommender'!$Q$10:$Q$39,"&gt;30mins",1)</f>
        <v>15</v>
      </c>
      <c r="Y267" s="20">
        <f>_xlfn.XLOOKUP(V267,'HDB Recommender'!$P$10:$P$39,'HDB Recommender'!$Q$10:$Q$39,"&gt;30mins",1)</f>
        <v>8</v>
      </c>
      <c r="Z267" s="39">
        <f t="shared" si="9"/>
        <v>10.333333333333334</v>
      </c>
      <c r="AA267" s="20" t="str">
        <f t="shared" si="8"/>
        <v>Within 1km</v>
      </c>
    </row>
    <row r="268" spans="2:27" hidden="1">
      <c r="B268" s="35" t="s">
        <v>317</v>
      </c>
      <c r="C268" s="35" t="s">
        <v>751</v>
      </c>
      <c r="D268" s="35" t="s">
        <v>341</v>
      </c>
      <c r="E268" s="35">
        <v>912</v>
      </c>
      <c r="F268" s="35" t="s">
        <v>775</v>
      </c>
      <c r="G268" s="35" t="s">
        <v>189</v>
      </c>
      <c r="H268" s="35">
        <v>134</v>
      </c>
      <c r="I268" s="35" t="s">
        <v>335</v>
      </c>
      <c r="J268" s="36">
        <v>1984</v>
      </c>
      <c r="K268" s="39">
        <v>60</v>
      </c>
      <c r="L268" s="37">
        <v>740000</v>
      </c>
      <c r="M268" s="35" t="s">
        <v>781</v>
      </c>
      <c r="N268" s="27">
        <v>520912</v>
      </c>
      <c r="O268" s="38">
        <v>1.3494356123953399</v>
      </c>
      <c r="P268" s="38">
        <v>103.939252333523</v>
      </c>
      <c r="Q268" s="38" t="str" cm="1">
        <f t="array" ref="Q268">INDEX('MRT station dataset'!$C$3:$C$179, MATCH(MIN(SQRT(('MRT station dataset'!$E$3:$E$179-'Resale flat dataset'!O268)^2+('MRT station dataset'!$F$3:$F$179-'Resale flat dataset'!P268)^2)), SQRT(('MRT station dataset'!$E$3:$E$179-'Resale flat dataset'!O268)^2+('MRT station dataset'!$F$3:$F$179-'Resale flat dataset'!P268)^2), 0))</f>
        <v>TAMPINES WEST MRT STATION</v>
      </c>
      <c r="R268" s="38" t="str" cm="1">
        <f t="array" ref="R268">INDEX('Mall Dataset'!$B$3:$B$157, MATCH(MIN(SQRT(('Mall Dataset'!$E$3:$E$157-'Resale flat dataset'!O268)^2+('Mall Dataset'!$F$3:$F$157-'Resale flat dataset'!P268)^2)), SQRT(('Mall Dataset'!$E$3:$E$157-'Resale flat dataset'!O268)^2+('Mall Dataset'!$F$3:$F$157-'Resale flat dataset'!P268)^2), 0))</f>
        <v>Our Tampines Hub</v>
      </c>
      <c r="S268" s="38" t="str" cm="1">
        <f t="array" ref="S268">INDEX('Schools dataset'!$B$3:$B$187, MATCH(MIN(SQRT(('Schools dataset'!$J$3:$J$187-'Resale flat dataset'!O268)^2+('Schools dataset'!$K$3:$K$187-'Resale flat dataset'!P268)^2)), SQRT(('Schools dataset'!$J$3:$J$187-'Resale flat dataset'!O268)^2+('Schools dataset'!$K$3:$K$187-'Resale flat dataset'!P268)^2), 0))</f>
        <v>ST. HILDA'S PRIMARY SCHOOL</v>
      </c>
      <c r="T268" s="39">
        <f>ACOS(COS(RADIANS(90-O268))*COS(RADIANS(90-_xlfn.XLOOKUP(Q268,'MRT station dataset'!$C$3:$C$179,'MRT station dataset'!$E$3:$E$179)))+SIN(RADIANS(90-O268))*SIN(RADIANS(90-_xlfn.XLOOKUP(Q268,'MRT station dataset'!$C$3:$C$179,'MRT station dataset'!$E$3:$E$179)))*COS(RADIANS(P268-_xlfn.XLOOKUP('Resale flat dataset'!Q268,'MRT station dataset'!$C$3:$C$179,'MRT station dataset'!$F$3:$F$179))))*6371*1000</f>
        <v>447.75969361211065</v>
      </c>
      <c r="U268" s="39">
        <f>ACOS(COS(RADIANS(90-O268))*COS(RADIANS(90-_xlfn.XLOOKUP(R268,'Mall Dataset'!$B$3:$B$157,'Mall Dataset'!$E$3:$E$157,,0)))+SIN(RADIANS(90-O268))*SIN(RADIANS(90-_xlfn.XLOOKUP(R268,'Mall Dataset'!$B$3:$B$157,'Mall Dataset'!$E$3:$E$157,,0)))*COS(RADIANS(P268-_xlfn.XLOOKUP(R268,'Mall Dataset'!$B$3:$B$157,'Mall Dataset'!$F$3:$F$157,,0))))*6371*1000</f>
        <v>339.9011417219233</v>
      </c>
      <c r="V268" s="39">
        <f>ACOS(COS(RADIANS(90-O268))*COS(RADIANS(90-_xlfn.XLOOKUP(S268,'Schools dataset'!$B$3:$B$187,'Schools dataset'!$J$3:$J$187,,0)))+SIN(RADIANS(90-O268))*SIN(RADIANS(90-_xlfn.XLOOKUP(S268,'Schools dataset'!$B$3:$B$187,'Schools dataset'!$J$3:$J$187,,0)))*COS(RADIANS(P268-_xlfn.XLOOKUP(S268,'Schools dataset'!$B$3:$B$187,'Schools dataset'!$K$3:$K$187,,0))))*6371*1000</f>
        <v>148.35693046358878</v>
      </c>
      <c r="W268" s="20">
        <f>_xlfn.XLOOKUP(T268,'HDB Recommender'!$P$10:$P$39,'HDB Recommender'!$Q$10:$Q$39,"&gt;30mins",1)</f>
        <v>6</v>
      </c>
      <c r="X268" s="20">
        <f>_xlfn.XLOOKUP(U268,'HDB Recommender'!$P$10:$P$39,'HDB Recommender'!$Q$10:$Q$39,"&gt;30mins",1)</f>
        <v>5</v>
      </c>
      <c r="Y268" s="20">
        <f>_xlfn.XLOOKUP(V268,'HDB Recommender'!$P$10:$P$39,'HDB Recommender'!$Q$10:$Q$39,"&gt;30mins",1)</f>
        <v>2</v>
      </c>
      <c r="Z268" s="39">
        <f t="shared" si="9"/>
        <v>4.333333333333333</v>
      </c>
      <c r="AA268" s="20" t="str">
        <f t="shared" si="8"/>
        <v>Within 1km</v>
      </c>
    </row>
    <row r="269" spans="2:27" hidden="1">
      <c r="B269" s="35" t="s">
        <v>317</v>
      </c>
      <c r="C269" s="35" t="s">
        <v>751</v>
      </c>
      <c r="D269" s="35" t="s">
        <v>383</v>
      </c>
      <c r="E269" s="35">
        <v>149</v>
      </c>
      <c r="F269" s="35" t="s">
        <v>782</v>
      </c>
      <c r="G269" s="35" t="s">
        <v>191</v>
      </c>
      <c r="H269" s="35">
        <v>150</v>
      </c>
      <c r="I269" s="35" t="s">
        <v>392</v>
      </c>
      <c r="J269" s="36">
        <v>1984</v>
      </c>
      <c r="K269" s="39">
        <v>60.0833333333333</v>
      </c>
      <c r="L269" s="37">
        <v>940000</v>
      </c>
      <c r="M269" s="35" t="s">
        <v>783</v>
      </c>
      <c r="N269" s="27">
        <v>521149</v>
      </c>
      <c r="O269" s="38">
        <v>1.3514019915520901</v>
      </c>
      <c r="P269" s="38">
        <v>103.942727273621</v>
      </c>
      <c r="Q269" s="38" t="str" cm="1">
        <f t="array" ref="Q269">INDEX('MRT station dataset'!$C$3:$C$179, MATCH(MIN(SQRT(('MRT station dataset'!$E$3:$E$179-'Resale flat dataset'!O269)^2+('MRT station dataset'!$F$3:$F$179-'Resale flat dataset'!P269)^2)), SQRT(('MRT station dataset'!$E$3:$E$179-'Resale flat dataset'!O269)^2+('MRT station dataset'!$F$3:$F$179-'Resale flat dataset'!P269)^2), 0))</f>
        <v>TAMPINES MRT STATION</v>
      </c>
      <c r="R269" s="38" t="str" cm="1">
        <f t="array" ref="R269">INDEX('Mall Dataset'!$B$3:$B$157, MATCH(MIN(SQRT(('Mall Dataset'!$E$3:$E$157-'Resale flat dataset'!O269)^2+('Mall Dataset'!$F$3:$F$157-'Resale flat dataset'!P269)^2)), SQRT(('Mall Dataset'!$E$3:$E$157-'Resale flat dataset'!O269)^2+('Mall Dataset'!$F$3:$F$157-'Resale flat dataset'!P269)^2), 0))</f>
        <v>Century Square</v>
      </c>
      <c r="S269" s="38" t="str" cm="1">
        <f t="array" ref="S269">INDEX('Schools dataset'!$B$3:$B$187, MATCH(MIN(SQRT(('Schools dataset'!$J$3:$J$187-'Resale flat dataset'!O269)^2+('Schools dataset'!$K$3:$K$187-'Resale flat dataset'!P269)^2)), SQRT(('Schools dataset'!$J$3:$J$187-'Resale flat dataset'!O269)^2+('Schools dataset'!$K$3:$K$187-'Resale flat dataset'!P269)^2), 0))</f>
        <v>TAMPINES PRIMARY SCHOOL</v>
      </c>
      <c r="T269" s="39">
        <f>ACOS(COS(RADIANS(90-O269))*COS(RADIANS(90-_xlfn.XLOOKUP(Q269,'MRT station dataset'!$C$3:$C$179,'MRT station dataset'!$E$3:$E$179)))+SIN(RADIANS(90-O269))*SIN(RADIANS(90-_xlfn.XLOOKUP(Q269,'MRT station dataset'!$C$3:$C$179,'MRT station dataset'!$E$3:$E$179)))*COS(RADIANS(P269-_xlfn.XLOOKUP('Resale flat dataset'!Q269,'MRT station dataset'!$C$3:$C$179,'MRT station dataset'!$F$3:$F$179))))*6371*1000</f>
        <v>337.80444366315845</v>
      </c>
      <c r="U269" s="39">
        <f>ACOS(COS(RADIANS(90-O269))*COS(RADIANS(90-_xlfn.XLOOKUP(R269,'Mall Dataset'!$B$3:$B$157,'Mall Dataset'!$E$3:$E$157,,0)))+SIN(RADIANS(90-O269))*SIN(RADIANS(90-_xlfn.XLOOKUP(R269,'Mall Dataset'!$B$3:$B$157,'Mall Dataset'!$E$3:$E$157,,0)))*COS(RADIANS(P269-_xlfn.XLOOKUP(R269,'Mall Dataset'!$B$3:$B$157,'Mall Dataset'!$F$3:$F$157,,0))))*6371*1000</f>
        <v>147.84099327444423</v>
      </c>
      <c r="V269" s="39">
        <f>ACOS(COS(RADIANS(90-O269))*COS(RADIANS(90-_xlfn.XLOOKUP(S269,'Schools dataset'!$B$3:$B$187,'Schools dataset'!$J$3:$J$187,,0)))+SIN(RADIANS(90-O269))*SIN(RADIANS(90-_xlfn.XLOOKUP(S269,'Schools dataset'!$B$3:$B$187,'Schools dataset'!$J$3:$J$187,,0)))*COS(RADIANS(P269-_xlfn.XLOOKUP(S269,'Schools dataset'!$B$3:$B$187,'Schools dataset'!$K$3:$K$187,,0))))*6371*1000</f>
        <v>229.66322207119271</v>
      </c>
      <c r="W269" s="20">
        <f>_xlfn.XLOOKUP(T269,'HDB Recommender'!$P$10:$P$39,'HDB Recommender'!$Q$10:$Q$39,"&gt;30mins",1)</f>
        <v>5</v>
      </c>
      <c r="X269" s="20">
        <f>_xlfn.XLOOKUP(U269,'HDB Recommender'!$P$10:$P$39,'HDB Recommender'!$Q$10:$Q$39,"&gt;30mins",1)</f>
        <v>2</v>
      </c>
      <c r="Y269" s="20">
        <f>_xlfn.XLOOKUP(V269,'HDB Recommender'!$P$10:$P$39,'HDB Recommender'!$Q$10:$Q$39,"&gt;30mins",1)</f>
        <v>4</v>
      </c>
      <c r="Z269" s="39">
        <f t="shared" si="9"/>
        <v>3.6666666666666665</v>
      </c>
      <c r="AA269" s="20" t="str">
        <f t="shared" si="8"/>
        <v>Within 1km</v>
      </c>
    </row>
    <row r="270" spans="2:27" hidden="1">
      <c r="B270" s="35" t="s">
        <v>317</v>
      </c>
      <c r="C270" s="35" t="s">
        <v>751</v>
      </c>
      <c r="D270" s="35" t="s">
        <v>383</v>
      </c>
      <c r="E270" s="35">
        <v>332</v>
      </c>
      <c r="F270" s="35" t="s">
        <v>784</v>
      </c>
      <c r="G270" s="35" t="s">
        <v>189</v>
      </c>
      <c r="H270" s="35">
        <v>147</v>
      </c>
      <c r="I270" s="35" t="s">
        <v>384</v>
      </c>
      <c r="J270" s="36">
        <v>1996</v>
      </c>
      <c r="K270" s="39">
        <v>71.3333333333333</v>
      </c>
      <c r="L270" s="37">
        <v>845088</v>
      </c>
      <c r="M270" s="35" t="s">
        <v>785</v>
      </c>
      <c r="N270" s="27">
        <v>520332</v>
      </c>
      <c r="O270" s="38">
        <v>1.35316793762096</v>
      </c>
      <c r="P270" s="38">
        <v>103.96068865339301</v>
      </c>
      <c r="Q270" s="38" t="str" cm="1">
        <f t="array" ref="Q270">INDEX('MRT station dataset'!$C$3:$C$179, MATCH(MIN(SQRT(('MRT station dataset'!$E$3:$E$179-'Resale flat dataset'!O270)^2+('MRT station dataset'!$F$3:$F$179-'Resale flat dataset'!P270)^2)), SQRT(('MRT station dataset'!$E$3:$E$179-'Resale flat dataset'!O270)^2+('MRT station dataset'!$F$3:$F$179-'Resale flat dataset'!P270)^2), 0))</f>
        <v>TAMPINES EAST MRT STATION</v>
      </c>
      <c r="R270" s="38" t="str" cm="1">
        <f t="array" ref="R270">INDEX('Mall Dataset'!$B$3:$B$157, MATCH(MIN(SQRT(('Mall Dataset'!$E$3:$E$157-'Resale flat dataset'!O270)^2+('Mall Dataset'!$F$3:$F$157-'Resale flat dataset'!P270)^2)), SQRT(('Mall Dataset'!$E$3:$E$157-'Resale flat dataset'!O270)^2+('Mall Dataset'!$F$3:$F$157-'Resale flat dataset'!P270)^2), 0))</f>
        <v>Eastpoint Mall</v>
      </c>
      <c r="S270" s="38" t="str" cm="1">
        <f t="array" ref="S270">INDEX('Schools dataset'!$B$3:$B$187, MATCH(MIN(SQRT(('Schools dataset'!$J$3:$J$187-'Resale flat dataset'!O270)^2+('Schools dataset'!$K$3:$K$187-'Resale flat dataset'!P270)^2)), SQRT(('Schools dataset'!$J$3:$J$187-'Resale flat dataset'!O270)^2+('Schools dataset'!$K$3:$K$187-'Resale flat dataset'!P270)^2), 0))</f>
        <v>EAST SPRING PRIMARY SCHOOL</v>
      </c>
      <c r="T270" s="39">
        <f>ACOS(COS(RADIANS(90-O270))*COS(RADIANS(90-_xlfn.XLOOKUP(Q270,'MRT station dataset'!$C$3:$C$179,'MRT station dataset'!$E$3:$E$179)))+SIN(RADIANS(90-O270))*SIN(RADIANS(90-_xlfn.XLOOKUP(Q270,'MRT station dataset'!$C$3:$C$179,'MRT station dataset'!$E$3:$E$179)))*COS(RADIANS(P270-_xlfn.XLOOKUP('Resale flat dataset'!Q270,'MRT station dataset'!$C$3:$C$179,'MRT station dataset'!$F$3:$F$179))))*6371*1000</f>
        <v>756.16133528741875</v>
      </c>
      <c r="U270" s="39">
        <f>ACOS(COS(RADIANS(90-O270))*COS(RADIANS(90-_xlfn.XLOOKUP(R270,'Mall Dataset'!$B$3:$B$157,'Mall Dataset'!$E$3:$E$157,,0)))+SIN(RADIANS(90-O270))*SIN(RADIANS(90-_xlfn.XLOOKUP(R270,'Mall Dataset'!$B$3:$B$157,'Mall Dataset'!$E$3:$E$157,,0)))*COS(RADIANS(P270-_xlfn.XLOOKUP(R270,'Mall Dataset'!$B$3:$B$157,'Mall Dataset'!$F$3:$F$157,,0))))*6371*1000</f>
        <v>1441.9314165642675</v>
      </c>
      <c r="V270" s="39">
        <f>ACOS(COS(RADIANS(90-O270))*COS(RADIANS(90-_xlfn.XLOOKUP(S270,'Schools dataset'!$B$3:$B$187,'Schools dataset'!$J$3:$J$187,,0)))+SIN(RADIANS(90-O270))*SIN(RADIANS(90-_xlfn.XLOOKUP(S270,'Schools dataset'!$B$3:$B$187,'Schools dataset'!$J$3:$J$187,,0)))*COS(RADIANS(P270-_xlfn.XLOOKUP(S270,'Schools dataset'!$B$3:$B$187,'Schools dataset'!$K$3:$K$187,,0))))*6371*1000</f>
        <v>122.32323807023148</v>
      </c>
      <c r="W270" s="20">
        <f>_xlfn.XLOOKUP(T270,'HDB Recommender'!$P$10:$P$39,'HDB Recommender'!$Q$10:$Q$39,"&gt;30mins",1)</f>
        <v>11</v>
      </c>
      <c r="X270" s="20">
        <f>_xlfn.XLOOKUP(U270,'HDB Recommender'!$P$10:$P$39,'HDB Recommender'!$Q$10:$Q$39,"&gt;30mins",1)</f>
        <v>20</v>
      </c>
      <c r="Y270" s="20">
        <f>_xlfn.XLOOKUP(V270,'HDB Recommender'!$P$10:$P$39,'HDB Recommender'!$Q$10:$Q$39,"&gt;30mins",1)</f>
        <v>2</v>
      </c>
      <c r="Z270" s="39">
        <f t="shared" si="9"/>
        <v>11</v>
      </c>
      <c r="AA270" s="20" t="str">
        <f t="shared" si="8"/>
        <v>Within 1km</v>
      </c>
    </row>
    <row r="271" spans="2:27" hidden="1">
      <c r="B271" s="35" t="s">
        <v>317</v>
      </c>
      <c r="C271" s="35" t="s">
        <v>751</v>
      </c>
      <c r="D271" s="35" t="s">
        <v>383</v>
      </c>
      <c r="E271" s="35"/>
      <c r="F271" s="35" t="s">
        <v>767</v>
      </c>
      <c r="G271" s="35" t="s">
        <v>191</v>
      </c>
      <c r="H271" s="35">
        <v>144</v>
      </c>
      <c r="I271" s="35" t="s">
        <v>389</v>
      </c>
      <c r="J271" s="36">
        <v>1996</v>
      </c>
      <c r="K271" s="39">
        <v>71.75</v>
      </c>
      <c r="L271" s="37">
        <v>830000</v>
      </c>
      <c r="M271" s="35" t="s">
        <v>786</v>
      </c>
      <c r="N271" s="27">
        <v>520497</v>
      </c>
      <c r="O271" s="38">
        <v>1.35933200137711</v>
      </c>
      <c r="P271" s="38">
        <v>103.958581034137</v>
      </c>
      <c r="Q271" s="38" t="str" cm="1">
        <f t="array" ref="Q271">INDEX('MRT station dataset'!$C$3:$C$179, MATCH(MIN(SQRT(('MRT station dataset'!$E$3:$E$179-'Resale flat dataset'!O271)^2+('MRT station dataset'!$F$3:$F$179-'Resale flat dataset'!P271)^2)), SQRT(('MRT station dataset'!$E$3:$E$179-'Resale flat dataset'!O271)^2+('MRT station dataset'!$F$3:$F$179-'Resale flat dataset'!P271)^2), 0))</f>
        <v>TAMPINES EAST MRT STATION</v>
      </c>
      <c r="R271" s="38" t="str" cm="1">
        <f t="array" ref="R271">INDEX('Mall Dataset'!$B$3:$B$157, MATCH(MIN(SQRT(('Mall Dataset'!$E$3:$E$157-'Resale flat dataset'!O271)^2+('Mall Dataset'!$F$3:$F$157-'Resale flat dataset'!P271)^2)), SQRT(('Mall Dataset'!$E$3:$E$157-'Resale flat dataset'!O271)^2+('Mall Dataset'!$F$3:$F$157-'Resale flat dataset'!P271)^2), 0))</f>
        <v>Loyang Point</v>
      </c>
      <c r="S271" s="38" t="str" cm="1">
        <f t="array" ref="S271">INDEX('Schools dataset'!$B$3:$B$187, MATCH(MIN(SQRT(('Schools dataset'!$J$3:$J$187-'Resale flat dataset'!O271)^2+('Schools dataset'!$K$3:$K$187-'Resale flat dataset'!P271)^2)), SQRT(('Schools dataset'!$J$3:$J$187-'Resale flat dataset'!O271)^2+('Schools dataset'!$K$3:$K$187-'Resale flat dataset'!P271)^2), 0))</f>
        <v>WHITE SANDS PRIMARY SCHOOL</v>
      </c>
      <c r="T271" s="39">
        <f>ACOS(COS(RADIANS(90-O271))*COS(RADIANS(90-_xlfn.XLOOKUP(Q271,'MRT station dataset'!$C$3:$C$179,'MRT station dataset'!$E$3:$E$179)))+SIN(RADIANS(90-O271))*SIN(RADIANS(90-_xlfn.XLOOKUP(Q271,'MRT station dataset'!$C$3:$C$179,'MRT station dataset'!$E$3:$E$179)))*COS(RADIANS(P271-_xlfn.XLOOKUP('Resale flat dataset'!Q271,'MRT station dataset'!$C$3:$C$179,'MRT station dataset'!$F$3:$F$179))))*6371*1000</f>
        <v>563.14677732917607</v>
      </c>
      <c r="U271" s="39">
        <f>ACOS(COS(RADIANS(90-O271))*COS(RADIANS(90-_xlfn.XLOOKUP(R271,'Mall Dataset'!$B$3:$B$157,'Mall Dataset'!$E$3:$E$157,,0)))+SIN(RADIANS(90-O271))*SIN(RADIANS(90-_xlfn.XLOOKUP(R271,'Mall Dataset'!$B$3:$B$157,'Mall Dataset'!$E$3:$E$157,,0)))*COS(RADIANS(P271-_xlfn.XLOOKUP(R271,'Mall Dataset'!$B$3:$B$157,'Mall Dataset'!$F$3:$F$157,,0))))*6371*1000</f>
        <v>1092.0744141815967</v>
      </c>
      <c r="V271" s="39">
        <f>ACOS(COS(RADIANS(90-O271))*COS(RADIANS(90-_xlfn.XLOOKUP(S271,'Schools dataset'!$B$3:$B$187,'Schools dataset'!$J$3:$J$187,,0)))+SIN(RADIANS(90-O271))*SIN(RADIANS(90-_xlfn.XLOOKUP(S271,'Schools dataset'!$B$3:$B$187,'Schools dataset'!$J$3:$J$187,,0)))*COS(RADIANS(P271-_xlfn.XLOOKUP(S271,'Schools dataset'!$B$3:$B$187,'Schools dataset'!$K$3:$K$187,,0))))*6371*1000</f>
        <v>739.38203462819536</v>
      </c>
      <c r="W271" s="20">
        <f>_xlfn.XLOOKUP(T271,'HDB Recommender'!$P$10:$P$39,'HDB Recommender'!$Q$10:$Q$39,"&gt;30mins",1)</f>
        <v>8</v>
      </c>
      <c r="X271" s="20">
        <f>_xlfn.XLOOKUP(U271,'HDB Recommender'!$P$10:$P$39,'HDB Recommender'!$Q$10:$Q$39,"&gt;30mins",1)</f>
        <v>15</v>
      </c>
      <c r="Y271" s="20">
        <f>_xlfn.XLOOKUP(V271,'HDB Recommender'!$P$10:$P$39,'HDB Recommender'!$Q$10:$Q$39,"&gt;30mins",1)</f>
        <v>10</v>
      </c>
      <c r="Z271" s="39">
        <f t="shared" si="9"/>
        <v>11</v>
      </c>
      <c r="AA271" s="20" t="str">
        <f t="shared" si="8"/>
        <v>Within 1km</v>
      </c>
    </row>
    <row r="272" spans="2:27" hidden="1">
      <c r="B272" s="35" t="s">
        <v>317</v>
      </c>
      <c r="C272" s="35" t="s">
        <v>787</v>
      </c>
      <c r="D272" s="35" t="s">
        <v>318</v>
      </c>
      <c r="E272" s="35">
        <v>157</v>
      </c>
      <c r="F272" s="35" t="s">
        <v>788</v>
      </c>
      <c r="G272" s="35" t="s">
        <v>349</v>
      </c>
      <c r="H272" s="35">
        <v>67</v>
      </c>
      <c r="I272" s="35" t="s">
        <v>326</v>
      </c>
      <c r="J272" s="36">
        <v>1971</v>
      </c>
      <c r="K272" s="39">
        <v>46.8333333333333</v>
      </c>
      <c r="L272" s="37">
        <v>380000</v>
      </c>
      <c r="M272" s="35" t="s">
        <v>789</v>
      </c>
      <c r="N272" s="27">
        <v>310157</v>
      </c>
      <c r="O272" s="38">
        <v>1.3322286992560299</v>
      </c>
      <c r="P272" s="38">
        <v>103.845548405014</v>
      </c>
      <c r="Q272" s="38" t="str" cm="1">
        <f t="array" ref="Q272">INDEX('MRT station dataset'!$C$3:$C$179, MATCH(MIN(SQRT(('MRT station dataset'!$E$3:$E$179-'Resale flat dataset'!O272)^2+('MRT station dataset'!$F$3:$F$179-'Resale flat dataset'!P272)^2)), SQRT(('MRT station dataset'!$E$3:$E$179-'Resale flat dataset'!O272)^2+('MRT station dataset'!$F$3:$F$179-'Resale flat dataset'!P272)^2), 0))</f>
        <v>TOA PAYOH MRT STATION</v>
      </c>
      <c r="R272" s="38" t="str" cm="1">
        <f t="array" ref="R272">INDEX('Mall Dataset'!$B$3:$B$157, MATCH(MIN(SQRT(('Mall Dataset'!$E$3:$E$157-'Resale flat dataset'!O272)^2+('Mall Dataset'!$F$3:$F$157-'Resale flat dataset'!P272)^2)), SQRT(('Mall Dataset'!$E$3:$E$157-'Resale flat dataset'!O272)^2+('Mall Dataset'!$F$3:$F$157-'Resale flat dataset'!P272)^2), 0))</f>
        <v>HDB Hub</v>
      </c>
      <c r="S272" s="38" t="str" cm="1">
        <f t="array" ref="S272">INDEX('Schools dataset'!$B$3:$B$187, MATCH(MIN(SQRT(('Schools dataset'!$J$3:$J$187-'Resale flat dataset'!O272)^2+('Schools dataset'!$K$3:$K$187-'Resale flat dataset'!P272)^2)), SQRT(('Schools dataset'!$J$3:$J$187-'Resale flat dataset'!O272)^2+('Schools dataset'!$K$3:$K$187-'Resale flat dataset'!P272)^2), 0))</f>
        <v>CHIJ PRIMARY (TOA PAYOH)</v>
      </c>
      <c r="T272" s="39">
        <f>ACOS(COS(RADIANS(90-O272))*COS(RADIANS(90-_xlfn.XLOOKUP(Q272,'MRT station dataset'!$C$3:$C$179,'MRT station dataset'!$E$3:$E$179)))+SIN(RADIANS(90-O272))*SIN(RADIANS(90-_xlfn.XLOOKUP(Q272,'MRT station dataset'!$C$3:$C$179,'MRT station dataset'!$E$3:$E$179)))*COS(RADIANS(P272-_xlfn.XLOOKUP('Resale flat dataset'!Q272,'MRT station dataset'!$C$3:$C$179,'MRT station dataset'!$F$3:$F$179))))*6371*1000</f>
        <v>220.84241941890181</v>
      </c>
      <c r="U272" s="39">
        <f>ACOS(COS(RADIANS(90-O272))*COS(RADIANS(90-_xlfn.XLOOKUP(R272,'Mall Dataset'!$B$3:$B$157,'Mall Dataset'!$E$3:$E$157,,0)))+SIN(RADIANS(90-O272))*SIN(RADIANS(90-_xlfn.XLOOKUP(R272,'Mall Dataset'!$B$3:$B$157,'Mall Dataset'!$E$3:$E$157,,0)))*COS(RADIANS(P272-_xlfn.XLOOKUP(R272,'Mall Dataset'!$B$3:$B$157,'Mall Dataset'!$F$3:$F$157,,0))))*6371*1000</f>
        <v>478.72667566768268</v>
      </c>
      <c r="V272" s="39">
        <f>ACOS(COS(RADIANS(90-O272))*COS(RADIANS(90-_xlfn.XLOOKUP(S272,'Schools dataset'!$B$3:$B$187,'Schools dataset'!$J$3:$J$187,,0)))+SIN(RADIANS(90-O272))*SIN(RADIANS(90-_xlfn.XLOOKUP(S272,'Schools dataset'!$B$3:$B$187,'Schools dataset'!$J$3:$J$187,,0)))*COS(RADIANS(P272-_xlfn.XLOOKUP(S272,'Schools dataset'!$B$3:$B$187,'Schools dataset'!$K$3:$K$187,,0))))*6371*1000</f>
        <v>415.54126666440118</v>
      </c>
      <c r="W272" s="20">
        <f>_xlfn.XLOOKUP(T272,'HDB Recommender'!$P$10:$P$39,'HDB Recommender'!$Q$10:$Q$39,"&gt;30mins",1)</f>
        <v>3</v>
      </c>
      <c r="X272" s="20">
        <f>_xlfn.XLOOKUP(U272,'HDB Recommender'!$P$10:$P$39,'HDB Recommender'!$Q$10:$Q$39,"&gt;30mins",1)</f>
        <v>7</v>
      </c>
      <c r="Y272" s="20">
        <f>_xlfn.XLOOKUP(V272,'HDB Recommender'!$P$10:$P$39,'HDB Recommender'!$Q$10:$Q$39,"&gt;30mins",1)</f>
        <v>6</v>
      </c>
      <c r="Z272" s="39">
        <f t="shared" si="9"/>
        <v>5.333333333333333</v>
      </c>
      <c r="AA272" s="20" t="str">
        <f t="shared" si="8"/>
        <v>Within 1km</v>
      </c>
    </row>
    <row r="273" spans="2:27" hidden="1">
      <c r="B273" s="35" t="s">
        <v>317</v>
      </c>
      <c r="C273" s="35" t="s">
        <v>787</v>
      </c>
      <c r="D273" s="35" t="s">
        <v>318</v>
      </c>
      <c r="E273" s="35">
        <v>3</v>
      </c>
      <c r="F273" s="35" t="s">
        <v>790</v>
      </c>
      <c r="G273" s="35" t="s">
        <v>191</v>
      </c>
      <c r="H273" s="35">
        <v>68</v>
      </c>
      <c r="I273" s="35" t="s">
        <v>326</v>
      </c>
      <c r="J273" s="36">
        <v>1969</v>
      </c>
      <c r="K273" s="39">
        <v>44.75</v>
      </c>
      <c r="L273" s="37">
        <v>355000</v>
      </c>
      <c r="M273" s="35" t="s">
        <v>791</v>
      </c>
      <c r="N273" s="27">
        <v>310003</v>
      </c>
      <c r="O273" s="38">
        <v>1.33919545395688</v>
      </c>
      <c r="P273" s="38">
        <v>103.854450883864</v>
      </c>
      <c r="Q273" s="38" t="str" cm="1">
        <f t="array" ref="Q273">INDEX('MRT station dataset'!$C$3:$C$179, MATCH(MIN(SQRT(('MRT station dataset'!$E$3:$E$179-'Resale flat dataset'!O273)^2+('MRT station dataset'!$F$3:$F$179-'Resale flat dataset'!P273)^2)), SQRT(('MRT station dataset'!$E$3:$E$179-'Resale flat dataset'!O273)^2+('MRT station dataset'!$F$3:$F$179-'Resale flat dataset'!P273)^2), 0))</f>
        <v>BRADDELL MRT STATION</v>
      </c>
      <c r="R273" s="38" t="str" cm="1">
        <f t="array" ref="R273">INDEX('Mall Dataset'!$B$3:$B$157, MATCH(MIN(SQRT(('Mall Dataset'!$E$3:$E$157-'Resale flat dataset'!O273)^2+('Mall Dataset'!$F$3:$F$157-'Resale flat dataset'!P273)^2)), SQRT(('Mall Dataset'!$E$3:$E$157-'Resale flat dataset'!O273)^2+('Mall Dataset'!$F$3:$F$157-'Resale flat dataset'!P273)^2), 0))</f>
        <v>HDB Hub</v>
      </c>
      <c r="S273" s="38" t="str" cm="1">
        <f t="array" ref="S273">INDEX('Schools dataset'!$B$3:$B$187, MATCH(MIN(SQRT(('Schools dataset'!$J$3:$J$187-'Resale flat dataset'!O273)^2+('Schools dataset'!$K$3:$K$187-'Resale flat dataset'!P273)^2)), SQRT(('Schools dataset'!$J$3:$J$187-'Resale flat dataset'!O273)^2+('Schools dataset'!$K$3:$K$187-'Resale flat dataset'!P273)^2), 0))</f>
        <v>FIRST TOA PAYOH PRIMARY SCHOOL</v>
      </c>
      <c r="T273" s="39">
        <f>ACOS(COS(RADIANS(90-O273))*COS(RADIANS(90-_xlfn.XLOOKUP(Q273,'MRT station dataset'!$C$3:$C$179,'MRT station dataset'!$E$3:$E$179)))+SIN(RADIANS(90-O273))*SIN(RADIANS(90-_xlfn.XLOOKUP(Q273,'MRT station dataset'!$C$3:$C$179,'MRT station dataset'!$E$3:$E$179)))*COS(RADIANS(P273-_xlfn.XLOOKUP('Resale flat dataset'!Q273,'MRT station dataset'!$C$3:$C$179,'MRT station dataset'!$F$3:$F$179))))*6371*1000</f>
        <v>862.78851956788549</v>
      </c>
      <c r="U273" s="39">
        <f>ACOS(COS(RADIANS(90-O273))*COS(RADIANS(90-_xlfn.XLOOKUP(R273,'Mall Dataset'!$B$3:$B$157,'Mall Dataset'!$E$3:$E$157,,0)))+SIN(RADIANS(90-O273))*SIN(RADIANS(90-_xlfn.XLOOKUP(R273,'Mall Dataset'!$B$3:$B$157,'Mall Dataset'!$E$3:$E$157,,0)))*COS(RADIANS(P273-_xlfn.XLOOKUP(R273,'Mall Dataset'!$B$3:$B$157,'Mall Dataset'!$F$3:$F$157,,0))))*6371*1000</f>
        <v>948.33307916670549</v>
      </c>
      <c r="V273" s="39">
        <f>ACOS(COS(RADIANS(90-O273))*COS(RADIANS(90-_xlfn.XLOOKUP(S273,'Schools dataset'!$B$3:$B$187,'Schools dataset'!$J$3:$J$187,,0)))+SIN(RADIANS(90-O273))*SIN(RADIANS(90-_xlfn.XLOOKUP(S273,'Schools dataset'!$B$3:$B$187,'Schools dataset'!$J$3:$J$187,,0)))*COS(RADIANS(P273-_xlfn.XLOOKUP(S273,'Schools dataset'!$B$3:$B$187,'Schools dataset'!$K$3:$K$187,,0))))*6371*1000</f>
        <v>183.09041992744434</v>
      </c>
      <c r="W273" s="20">
        <f>_xlfn.XLOOKUP(T273,'HDB Recommender'!$P$10:$P$39,'HDB Recommender'!$Q$10:$Q$39,"&gt;30mins",1)</f>
        <v>12</v>
      </c>
      <c r="X273" s="20">
        <f>_xlfn.XLOOKUP(U273,'HDB Recommender'!$P$10:$P$39,'HDB Recommender'!$Q$10:$Q$39,"&gt;30mins",1)</f>
        <v>13</v>
      </c>
      <c r="Y273" s="20">
        <f>_xlfn.XLOOKUP(V273,'HDB Recommender'!$P$10:$P$39,'HDB Recommender'!$Q$10:$Q$39,"&gt;30mins",1)</f>
        <v>3</v>
      </c>
      <c r="Z273" s="39">
        <f t="shared" si="9"/>
        <v>9.3333333333333339</v>
      </c>
      <c r="AA273" s="20" t="str">
        <f>IF(V273&lt;1000, "Within 1km", IF(V273&lt;=2000, "between 1km and 2km", "more than 2km"))</f>
        <v>Within 1km</v>
      </c>
    </row>
    <row r="274" spans="2:27" hidden="1">
      <c r="B274" s="35" t="s">
        <v>317</v>
      </c>
      <c r="C274" s="35" t="s">
        <v>787</v>
      </c>
      <c r="D274" s="35" t="s">
        <v>318</v>
      </c>
      <c r="E274" s="35">
        <v>234</v>
      </c>
      <c r="F274" s="35" t="s">
        <v>792</v>
      </c>
      <c r="G274" s="35" t="s">
        <v>184</v>
      </c>
      <c r="H274" s="35">
        <v>65</v>
      </c>
      <c r="I274" s="35" t="s">
        <v>326</v>
      </c>
      <c r="J274" s="36">
        <v>1976</v>
      </c>
      <c r="K274" s="39">
        <v>52.0833333333333</v>
      </c>
      <c r="L274" s="37">
        <v>345000</v>
      </c>
      <c r="M274" s="35" t="s">
        <v>793</v>
      </c>
      <c r="N274" s="27">
        <v>310234</v>
      </c>
      <c r="O274" s="38">
        <v>1.3386014862692599</v>
      </c>
      <c r="P274" s="38">
        <v>103.85791406983699</v>
      </c>
      <c r="Q274" s="38" t="str" cm="1">
        <f t="array" ref="Q274">INDEX('MRT station dataset'!$C$3:$C$179, MATCH(MIN(SQRT(('MRT station dataset'!$E$3:$E$179-'Resale flat dataset'!O274)^2+('MRT station dataset'!$F$3:$F$179-'Resale flat dataset'!P274)^2)), SQRT(('MRT station dataset'!$E$3:$E$179-'Resale flat dataset'!O274)^2+('MRT station dataset'!$F$3:$F$179-'Resale flat dataset'!P274)^2), 0))</f>
        <v>BRADDELL MRT STATION</v>
      </c>
      <c r="R274" s="38" t="str" cm="1">
        <f t="array" ref="R274">INDEX('Mall Dataset'!$B$3:$B$157, MATCH(MIN(SQRT(('Mall Dataset'!$E$3:$E$157-'Resale flat dataset'!O274)^2+('Mall Dataset'!$F$3:$F$157-'Resale flat dataset'!P274)^2)), SQRT(('Mall Dataset'!$E$3:$E$157-'Resale flat dataset'!O274)^2+('Mall Dataset'!$F$3:$F$157-'Resale flat dataset'!P274)^2), 0))</f>
        <v>HDB Hub</v>
      </c>
      <c r="S274" s="38" t="str" cm="1">
        <f t="array" ref="S274">INDEX('Schools dataset'!$B$3:$B$187, MATCH(MIN(SQRT(('Schools dataset'!$J$3:$J$187-'Resale flat dataset'!O274)^2+('Schools dataset'!$K$3:$K$187-'Resale flat dataset'!P274)^2)), SQRT(('Schools dataset'!$J$3:$J$187-'Resale flat dataset'!O274)^2+('Schools dataset'!$K$3:$K$187-'Resale flat dataset'!P274)^2), 0))</f>
        <v>FIRST TOA PAYOH PRIMARY SCHOOL</v>
      </c>
      <c r="T274" s="39">
        <f>ACOS(COS(RADIANS(90-O274))*COS(RADIANS(90-_xlfn.XLOOKUP(Q274,'MRT station dataset'!$C$3:$C$179,'MRT station dataset'!$E$3:$E$179)))+SIN(RADIANS(90-O274))*SIN(RADIANS(90-_xlfn.XLOOKUP(Q274,'MRT station dataset'!$C$3:$C$179,'MRT station dataset'!$E$3:$E$179)))*COS(RADIANS(P274-_xlfn.XLOOKUP('Resale flat dataset'!Q274,'MRT station dataset'!$C$3:$C$179,'MRT station dataset'!$F$3:$F$179))))*6371*1000</f>
        <v>1253.3961833641233</v>
      </c>
      <c r="U274" s="39">
        <f>ACOS(COS(RADIANS(90-O274))*COS(RADIANS(90-_xlfn.XLOOKUP(R274,'Mall Dataset'!$B$3:$B$157,'Mall Dataset'!$E$3:$E$157,,0)))+SIN(RADIANS(90-O274))*SIN(RADIANS(90-_xlfn.XLOOKUP(R274,'Mall Dataset'!$B$3:$B$157,'Mall Dataset'!$E$3:$E$157,,0)))*COS(RADIANS(P274-_xlfn.XLOOKUP(R274,'Mall Dataset'!$B$3:$B$157,'Mall Dataset'!$F$3:$F$157,,0))))*6371*1000</f>
        <v>1157.70265655359</v>
      </c>
      <c r="V274" s="39">
        <f>ACOS(COS(RADIANS(90-O274))*COS(RADIANS(90-_xlfn.XLOOKUP(S274,'Schools dataset'!$B$3:$B$187,'Schools dataset'!$J$3:$J$187,,0)))+SIN(RADIANS(90-O274))*SIN(RADIANS(90-_xlfn.XLOOKUP(S274,'Schools dataset'!$B$3:$B$187,'Schools dataset'!$J$3:$J$187,,0)))*COS(RADIANS(P274-_xlfn.XLOOKUP(S274,'Schools dataset'!$B$3:$B$187,'Schools dataset'!$K$3:$K$187,,0))))*6371*1000</f>
        <v>316.10541887338849</v>
      </c>
      <c r="W274" s="20">
        <f>_xlfn.XLOOKUP(T274,'HDB Recommender'!$P$10:$P$39,'HDB Recommender'!$Q$10:$Q$39,"&gt;30mins",1)</f>
        <v>17</v>
      </c>
      <c r="X274" s="20">
        <f>_xlfn.XLOOKUP(U274,'HDB Recommender'!$P$10:$P$39,'HDB Recommender'!$Q$10:$Q$39,"&gt;30mins",1)</f>
        <v>16</v>
      </c>
      <c r="Y274" s="20">
        <f>_xlfn.XLOOKUP(V274,'HDB Recommender'!$P$10:$P$39,'HDB Recommender'!$Q$10:$Q$39,"&gt;30mins",1)</f>
        <v>5</v>
      </c>
      <c r="Z274" s="39">
        <f t="shared" si="9"/>
        <v>12.666666666666666</v>
      </c>
      <c r="AA274" s="20" t="str">
        <f t="shared" si="8"/>
        <v>Within 1km</v>
      </c>
    </row>
    <row r="275" spans="2:27" hidden="1">
      <c r="B275" s="35" t="s">
        <v>317</v>
      </c>
      <c r="C275" s="35" t="s">
        <v>787</v>
      </c>
      <c r="D275" s="35" t="s">
        <v>20</v>
      </c>
      <c r="E275" s="35"/>
      <c r="F275" s="35" t="s">
        <v>788</v>
      </c>
      <c r="G275" s="35" t="s">
        <v>453</v>
      </c>
      <c r="H275" s="35">
        <v>93</v>
      </c>
      <c r="I275" s="35" t="s">
        <v>335</v>
      </c>
      <c r="J275" s="36">
        <v>2018</v>
      </c>
      <c r="K275" s="39">
        <v>94</v>
      </c>
      <c r="L275" s="37">
        <v>975000</v>
      </c>
      <c r="M275" s="35" t="s">
        <v>794</v>
      </c>
      <c r="N275" s="27">
        <v>311130</v>
      </c>
      <c r="O275" s="38">
        <v>1.33739384161997</v>
      </c>
      <c r="P275" s="38">
        <v>103.843183616479</v>
      </c>
      <c r="Q275" s="38" t="str" cm="1">
        <f t="array" ref="Q275">INDEX('MRT station dataset'!$C$3:$C$179, MATCH(MIN(SQRT(('MRT station dataset'!$E$3:$E$179-'Resale flat dataset'!O275)^2+('MRT station dataset'!$F$3:$F$179-'Resale flat dataset'!P275)^2)), SQRT(('MRT station dataset'!$E$3:$E$179-'Resale flat dataset'!O275)^2+('MRT station dataset'!$F$3:$F$179-'Resale flat dataset'!P275)^2), 0))</f>
        <v>CALDECOTT MRT STATION</v>
      </c>
      <c r="R275" s="38" t="str" cm="1">
        <f t="array" ref="R275">INDEX('Mall Dataset'!$B$3:$B$157, MATCH(MIN(SQRT(('Mall Dataset'!$E$3:$E$157-'Resale flat dataset'!O275)^2+('Mall Dataset'!$F$3:$F$157-'Resale flat dataset'!P275)^2)), SQRT(('Mall Dataset'!$E$3:$E$157-'Resale flat dataset'!O275)^2+('Mall Dataset'!$F$3:$F$157-'Resale flat dataset'!P275)^2), 0))</f>
        <v>HDB Hub</v>
      </c>
      <c r="S275" s="38" t="str" cm="1">
        <f t="array" ref="S275">INDEX('Schools dataset'!$B$3:$B$187, MATCH(MIN(SQRT(('Schools dataset'!$J$3:$J$187-'Resale flat dataset'!O275)^2+('Schools dataset'!$K$3:$K$187-'Resale flat dataset'!P275)^2)), SQRT(('Schools dataset'!$J$3:$J$187-'Resale flat dataset'!O275)^2+('Schools dataset'!$K$3:$K$187-'Resale flat dataset'!P275)^2), 0))</f>
        <v>KHENG CHENG SCHOOL</v>
      </c>
      <c r="T275" s="39">
        <f>ACOS(COS(RADIANS(90-O275))*COS(RADIANS(90-_xlfn.XLOOKUP(Q275,'MRT station dataset'!$C$3:$C$179,'MRT station dataset'!$E$3:$E$179)))+SIN(RADIANS(90-O275))*SIN(RADIANS(90-_xlfn.XLOOKUP(Q275,'MRT station dataset'!$C$3:$C$179,'MRT station dataset'!$E$3:$E$179)))*COS(RADIANS(P275-_xlfn.XLOOKUP('Resale flat dataset'!Q275,'MRT station dataset'!$C$3:$C$179,'MRT station dataset'!$F$3:$F$179))))*6371*1000</f>
        <v>410.90054431697376</v>
      </c>
      <c r="U275" s="39">
        <f>ACOS(COS(RADIANS(90-O275))*COS(RADIANS(90-_xlfn.XLOOKUP(R275,'Mall Dataset'!$B$3:$B$157,'Mall Dataset'!$E$3:$E$157,,0)))+SIN(RADIANS(90-O275))*SIN(RADIANS(90-_xlfn.XLOOKUP(R275,'Mall Dataset'!$B$3:$B$157,'Mall Dataset'!$E$3:$E$157,,0)))*COS(RADIANS(P275-_xlfn.XLOOKUP(R275,'Mall Dataset'!$B$3:$B$157,'Mall Dataset'!$F$3:$F$157,,0))))*6371*1000</f>
        <v>952.35026929754588</v>
      </c>
      <c r="V275" s="39">
        <f>ACOS(COS(RADIANS(90-O275))*COS(RADIANS(90-_xlfn.XLOOKUP(S275,'Schools dataset'!$B$3:$B$187,'Schools dataset'!$J$3:$J$187,,0)))+SIN(RADIANS(90-O275))*SIN(RADIANS(90-_xlfn.XLOOKUP(S275,'Schools dataset'!$B$3:$B$187,'Schools dataset'!$J$3:$J$187,,0)))*COS(RADIANS(P275-_xlfn.XLOOKUP(S275,'Schools dataset'!$B$3:$B$187,'Schools dataset'!$K$3:$K$187,,0))))*6371*1000</f>
        <v>440.79847182062281</v>
      </c>
      <c r="W275" s="20">
        <f>_xlfn.XLOOKUP(T275,'HDB Recommender'!$P$10:$P$39,'HDB Recommender'!$Q$10:$Q$39,"&gt;30mins",1)</f>
        <v>6</v>
      </c>
      <c r="X275" s="20">
        <f>_xlfn.XLOOKUP(U275,'HDB Recommender'!$P$10:$P$39,'HDB Recommender'!$Q$10:$Q$39,"&gt;30mins",1)</f>
        <v>13</v>
      </c>
      <c r="Y275" s="20">
        <f>_xlfn.XLOOKUP(V275,'HDB Recommender'!$P$10:$P$39,'HDB Recommender'!$Q$10:$Q$39,"&gt;30mins",1)</f>
        <v>6</v>
      </c>
      <c r="Z275" s="39">
        <f t="shared" si="9"/>
        <v>8.3333333333333339</v>
      </c>
      <c r="AA275" s="20" t="str">
        <f t="shared" si="8"/>
        <v>Within 1km</v>
      </c>
    </row>
    <row r="276" spans="2:27" hidden="1">
      <c r="B276" s="35" t="s">
        <v>317</v>
      </c>
      <c r="C276" s="35" t="s">
        <v>787</v>
      </c>
      <c r="D276" s="35" t="s">
        <v>20</v>
      </c>
      <c r="E276" s="35">
        <v>219</v>
      </c>
      <c r="F276" s="35" t="s">
        <v>792</v>
      </c>
      <c r="G276" s="35" t="s">
        <v>346</v>
      </c>
      <c r="H276" s="35">
        <v>82</v>
      </c>
      <c r="I276" s="35" t="s">
        <v>326</v>
      </c>
      <c r="J276" s="36">
        <v>1978</v>
      </c>
      <c r="K276" s="39">
        <v>53.4166666666666</v>
      </c>
      <c r="L276" s="37">
        <v>441800</v>
      </c>
      <c r="M276" s="35" t="s">
        <v>795</v>
      </c>
      <c r="N276" s="27">
        <v>310219</v>
      </c>
      <c r="O276" s="38">
        <v>1.3427643313539299</v>
      </c>
      <c r="P276" s="38">
        <v>103.85587255903501</v>
      </c>
      <c r="Q276" s="38" t="str" cm="1">
        <f t="array" ref="Q276">INDEX('MRT station dataset'!$C$3:$C$179, MATCH(MIN(SQRT(('MRT station dataset'!$E$3:$E$179-'Resale flat dataset'!O276)^2+('MRT station dataset'!$F$3:$F$179-'Resale flat dataset'!P276)^2)), SQRT(('MRT station dataset'!$E$3:$E$179-'Resale flat dataset'!O276)^2+('MRT station dataset'!$F$3:$F$179-'Resale flat dataset'!P276)^2), 0))</f>
        <v>BRADDELL MRT STATION</v>
      </c>
      <c r="R276" s="38" t="str" cm="1">
        <f t="array" ref="R276">INDEX('Mall Dataset'!$B$3:$B$157, MATCH(MIN(SQRT(('Mall Dataset'!$E$3:$E$157-'Resale flat dataset'!O276)^2+('Mall Dataset'!$F$3:$F$157-'Resale flat dataset'!P276)^2)), SQRT(('Mall Dataset'!$E$3:$E$157-'Resale flat dataset'!O276)^2+('Mall Dataset'!$F$3:$F$157-'Resale flat dataset'!P276)^2), 0))</f>
        <v>Junction 8</v>
      </c>
      <c r="S276" s="38" t="str" cm="1">
        <f t="array" ref="S276">INDEX('Schools dataset'!$B$3:$B$187, MATCH(MIN(SQRT(('Schools dataset'!$J$3:$J$187-'Resale flat dataset'!O276)^2+('Schools dataset'!$K$3:$K$187-'Resale flat dataset'!P276)^2)), SQRT(('Schools dataset'!$J$3:$J$187-'Resale flat dataset'!O276)^2+('Schools dataset'!$K$3:$K$187-'Resale flat dataset'!P276)^2), 0))</f>
        <v>FIRST TOA PAYOH PRIMARY SCHOOL</v>
      </c>
      <c r="T276" s="39">
        <f>ACOS(COS(RADIANS(90-O276))*COS(RADIANS(90-_xlfn.XLOOKUP(Q276,'MRT station dataset'!$C$3:$C$179,'MRT station dataset'!$E$3:$E$179)))+SIN(RADIANS(90-O276))*SIN(RADIANS(90-_xlfn.XLOOKUP(Q276,'MRT station dataset'!$C$3:$C$179,'MRT station dataset'!$E$3:$E$179)))*COS(RADIANS(P276-_xlfn.XLOOKUP('Resale flat dataset'!Q276,'MRT station dataset'!$C$3:$C$179,'MRT station dataset'!$F$3:$F$179))))*6371*1000</f>
        <v>1039.4995160842125</v>
      </c>
      <c r="U276" s="39">
        <f>ACOS(COS(RADIANS(90-O276))*COS(RADIANS(90-_xlfn.XLOOKUP(R276,'Mall Dataset'!$B$3:$B$157,'Mall Dataset'!$E$3:$E$157,,0)))+SIN(RADIANS(90-O276))*SIN(RADIANS(90-_xlfn.XLOOKUP(R276,'Mall Dataset'!$B$3:$B$157,'Mall Dataset'!$E$3:$E$157,,0)))*COS(RADIANS(P276-_xlfn.XLOOKUP(R276,'Mall Dataset'!$B$3:$B$157,'Mall Dataset'!$F$3:$F$157,,0))))*6371*1000</f>
        <v>1157.7951113699228</v>
      </c>
      <c r="V276" s="39">
        <f>ACOS(COS(RADIANS(90-O276))*COS(RADIANS(90-_xlfn.XLOOKUP(S276,'Schools dataset'!$B$3:$B$187,'Schools dataset'!$J$3:$J$187,,0)))+SIN(RADIANS(90-O276))*SIN(RADIANS(90-_xlfn.XLOOKUP(S276,'Schools dataset'!$B$3:$B$187,'Schools dataset'!$J$3:$J$187,,0)))*COS(RADIANS(P276-_xlfn.XLOOKUP(S276,'Schools dataset'!$B$3:$B$187,'Schools dataset'!$K$3:$K$187,,0))))*6371*1000</f>
        <v>272.57861704168238</v>
      </c>
      <c r="W276" s="20">
        <f>_xlfn.XLOOKUP(T276,'HDB Recommender'!$P$10:$P$39,'HDB Recommender'!$Q$10:$Q$39,"&gt;30mins",1)</f>
        <v>14</v>
      </c>
      <c r="X276" s="20">
        <f>_xlfn.XLOOKUP(U276,'HDB Recommender'!$P$10:$P$39,'HDB Recommender'!$Q$10:$Q$39,"&gt;30mins",1)</f>
        <v>16</v>
      </c>
      <c r="Y276" s="20">
        <f>_xlfn.XLOOKUP(V276,'HDB Recommender'!$P$10:$P$39,'HDB Recommender'!$Q$10:$Q$39,"&gt;30mins",1)</f>
        <v>4</v>
      </c>
      <c r="Z276" s="39">
        <f t="shared" si="9"/>
        <v>11.333333333333334</v>
      </c>
      <c r="AA276" s="20" t="str">
        <f t="shared" si="8"/>
        <v>Within 1km</v>
      </c>
    </row>
    <row r="277" spans="2:27" hidden="1">
      <c r="B277" s="35" t="s">
        <v>317</v>
      </c>
      <c r="C277" s="35" t="s">
        <v>787</v>
      </c>
      <c r="D277" s="35" t="s">
        <v>20</v>
      </c>
      <c r="E277" s="35"/>
      <c r="F277" s="35" t="s">
        <v>796</v>
      </c>
      <c r="G277" s="35" t="s">
        <v>189</v>
      </c>
      <c r="H277" s="35">
        <v>76</v>
      </c>
      <c r="I277" s="35" t="s">
        <v>335</v>
      </c>
      <c r="J277" s="36">
        <v>2009</v>
      </c>
      <c r="K277" s="39">
        <v>84.5833333333333</v>
      </c>
      <c r="L277" s="37">
        <v>750000</v>
      </c>
      <c r="M277" s="35" t="s">
        <v>797</v>
      </c>
      <c r="N277" s="27">
        <v>315079</v>
      </c>
      <c r="O277" s="38">
        <v>1.3347271362623501</v>
      </c>
      <c r="P277" s="38">
        <v>103.849822984337</v>
      </c>
      <c r="Q277" s="38" t="str" cm="1">
        <f t="array" ref="Q277">INDEX('MRT station dataset'!$C$3:$C$179, MATCH(MIN(SQRT(('MRT station dataset'!$E$3:$E$179-'Resale flat dataset'!O277)^2+('MRT station dataset'!$F$3:$F$179-'Resale flat dataset'!P277)^2)), SQRT(('MRT station dataset'!$E$3:$E$179-'Resale flat dataset'!O277)^2+('MRT station dataset'!$F$3:$F$179-'Resale flat dataset'!P277)^2), 0))</f>
        <v>TOA PAYOH MRT STATION</v>
      </c>
      <c r="R277" s="38" t="str" cm="1">
        <f t="array" ref="R277">INDEX('Mall Dataset'!$B$3:$B$157, MATCH(MIN(SQRT(('Mall Dataset'!$E$3:$E$157-'Resale flat dataset'!O277)^2+('Mall Dataset'!$F$3:$F$157-'Resale flat dataset'!P277)^2)), SQRT(('Mall Dataset'!$E$3:$E$157-'Resale flat dataset'!O277)^2+('Mall Dataset'!$F$3:$F$157-'Resale flat dataset'!P277)^2), 0))</f>
        <v>HDB Hub</v>
      </c>
      <c r="S277" s="38" t="str" cm="1">
        <f t="array" ref="S277">INDEX('Schools dataset'!$B$3:$B$187, MATCH(MIN(SQRT(('Schools dataset'!$J$3:$J$187-'Resale flat dataset'!O277)^2+('Schools dataset'!$K$3:$K$187-'Resale flat dataset'!P277)^2)), SQRT(('Schools dataset'!$J$3:$J$187-'Resale flat dataset'!O277)^2+('Schools dataset'!$K$3:$K$187-'Resale flat dataset'!P277)^2), 0))</f>
        <v>KHENG CHENG SCHOOL</v>
      </c>
      <c r="T277" s="39">
        <f>ACOS(COS(RADIANS(90-O277))*COS(RADIANS(90-_xlfn.XLOOKUP(Q277,'MRT station dataset'!$C$3:$C$179,'MRT station dataset'!$E$3:$E$179)))+SIN(RADIANS(90-O277))*SIN(RADIANS(90-_xlfn.XLOOKUP(Q277,'MRT station dataset'!$C$3:$C$179,'MRT station dataset'!$E$3:$E$179)))*COS(RADIANS(P277-_xlfn.XLOOKUP('Resale flat dataset'!Q277,'MRT station dataset'!$C$3:$C$179,'MRT station dataset'!$F$3:$F$179))))*6371*1000</f>
        <v>350.18532829456217</v>
      </c>
      <c r="U277" s="39">
        <f>ACOS(COS(RADIANS(90-O277))*COS(RADIANS(90-_xlfn.XLOOKUP(R277,'Mall Dataset'!$B$3:$B$157,'Mall Dataset'!$E$3:$E$157,,0)))+SIN(RADIANS(90-O277))*SIN(RADIANS(90-_xlfn.XLOOKUP(R277,'Mall Dataset'!$B$3:$B$157,'Mall Dataset'!$E$3:$E$157,,0)))*COS(RADIANS(P277-_xlfn.XLOOKUP(R277,'Mall Dataset'!$B$3:$B$157,'Mall Dataset'!$F$3:$F$157,,0))))*6371*1000</f>
        <v>301.71583290905102</v>
      </c>
      <c r="V277" s="39">
        <f>ACOS(COS(RADIANS(90-O277))*COS(RADIANS(90-_xlfn.XLOOKUP(S277,'Schools dataset'!$B$3:$B$187,'Schools dataset'!$J$3:$J$187,,0)))+SIN(RADIANS(90-O277))*SIN(RADIANS(90-_xlfn.XLOOKUP(S277,'Schools dataset'!$B$3:$B$187,'Schools dataset'!$J$3:$J$187,,0)))*COS(RADIANS(P277-_xlfn.XLOOKUP(S277,'Schools dataset'!$B$3:$B$187,'Schools dataset'!$K$3:$K$187,,0))))*6371*1000</f>
        <v>415.55656803483276</v>
      </c>
      <c r="W277" s="20">
        <f>_xlfn.XLOOKUP(T277,'HDB Recommender'!$P$10:$P$39,'HDB Recommender'!$Q$10:$Q$39,"&gt;30mins",1)</f>
        <v>5</v>
      </c>
      <c r="X277" s="20">
        <f>_xlfn.XLOOKUP(U277,'HDB Recommender'!$P$10:$P$39,'HDB Recommender'!$Q$10:$Q$39,"&gt;30mins",1)</f>
        <v>5</v>
      </c>
      <c r="Y277" s="20">
        <f>_xlfn.XLOOKUP(V277,'HDB Recommender'!$P$10:$P$39,'HDB Recommender'!$Q$10:$Q$39,"&gt;30mins",1)</f>
        <v>6</v>
      </c>
      <c r="Z277" s="39">
        <f t="shared" si="9"/>
        <v>5.333333333333333</v>
      </c>
      <c r="AA277" s="20" t="str">
        <f t="shared" si="8"/>
        <v>Within 1km</v>
      </c>
    </row>
    <row r="278" spans="2:27" hidden="1">
      <c r="B278" s="35" t="s">
        <v>317</v>
      </c>
      <c r="C278" s="35" t="s">
        <v>787</v>
      </c>
      <c r="D278" s="35" t="s">
        <v>341</v>
      </c>
      <c r="E278" s="35">
        <v>255</v>
      </c>
      <c r="F278" s="35" t="s">
        <v>798</v>
      </c>
      <c r="G278" s="35" t="s">
        <v>349</v>
      </c>
      <c r="H278" s="35">
        <v>122</v>
      </c>
      <c r="I278" s="35" t="s">
        <v>326</v>
      </c>
      <c r="J278" s="36">
        <v>1988</v>
      </c>
      <c r="K278" s="39">
        <v>64.1666666666666</v>
      </c>
      <c r="L278" s="37">
        <v>730000</v>
      </c>
      <c r="M278" s="35" t="s">
        <v>799</v>
      </c>
      <c r="N278" s="27">
        <v>310255</v>
      </c>
      <c r="O278" s="38">
        <v>1.3316593734688</v>
      </c>
      <c r="P278" s="38">
        <v>103.857761545923</v>
      </c>
      <c r="Q278" s="38" t="str" cm="1">
        <f t="array" ref="Q278">INDEX('MRT station dataset'!$C$3:$C$179, MATCH(MIN(SQRT(('MRT station dataset'!$E$3:$E$179-'Resale flat dataset'!O278)^2+('MRT station dataset'!$F$3:$F$179-'Resale flat dataset'!P278)^2)), SQRT(('MRT station dataset'!$E$3:$E$179-'Resale flat dataset'!O278)^2+('MRT station dataset'!$F$3:$F$179-'Resale flat dataset'!P278)^2), 0))</f>
        <v>TOA PAYOH MRT STATION</v>
      </c>
      <c r="R278" s="38" t="str" cm="1">
        <f t="array" ref="R278">INDEX('Mall Dataset'!$B$3:$B$157, MATCH(MIN(SQRT(('Mall Dataset'!$E$3:$E$157-'Resale flat dataset'!O278)^2+('Mall Dataset'!$F$3:$F$157-'Resale flat dataset'!P278)^2)), SQRT(('Mall Dataset'!$E$3:$E$157-'Resale flat dataset'!O278)^2+('Mall Dataset'!$F$3:$F$157-'Resale flat dataset'!P278)^2), 0))</f>
        <v>HDB Hub</v>
      </c>
      <c r="S278" s="38" t="str" cm="1">
        <f t="array" ref="S278">INDEX('Schools dataset'!$B$3:$B$187, MATCH(MIN(SQRT(('Schools dataset'!$J$3:$J$187-'Resale flat dataset'!O278)^2+('Schools dataset'!$K$3:$K$187-'Resale flat dataset'!P278)^2)), SQRT(('Schools dataset'!$J$3:$J$187-'Resale flat dataset'!O278)^2+('Schools dataset'!$K$3:$K$187-'Resale flat dataset'!P278)^2), 0))</f>
        <v>PEI CHUN PUBLIC SCHOOL</v>
      </c>
      <c r="T278" s="39">
        <f>ACOS(COS(RADIANS(90-O278))*COS(RADIANS(90-_xlfn.XLOOKUP(Q278,'MRT station dataset'!$C$3:$C$179,'MRT station dataset'!$E$3:$E$179)))+SIN(RADIANS(90-O278))*SIN(RADIANS(90-_xlfn.XLOOKUP(Q278,'MRT station dataset'!$C$3:$C$179,'MRT station dataset'!$E$3:$E$179)))*COS(RADIANS(P278-_xlfn.XLOOKUP('Resale flat dataset'!Q278,'MRT station dataset'!$C$3:$C$179,'MRT station dataset'!$F$3:$F$179))))*6371*1000</f>
        <v>1145.5084809579118</v>
      </c>
      <c r="U278" s="39">
        <f>ACOS(COS(RADIANS(90-O278))*COS(RADIANS(90-_xlfn.XLOOKUP(R278,'Mall Dataset'!$B$3:$B$157,'Mall Dataset'!$E$3:$E$157,,0)))+SIN(RADIANS(90-O278))*SIN(RADIANS(90-_xlfn.XLOOKUP(R278,'Mall Dataset'!$B$3:$B$157,'Mall Dataset'!$E$3:$E$157,,0)))*COS(RADIANS(P278-_xlfn.XLOOKUP(R278,'Mall Dataset'!$B$3:$B$157,'Mall Dataset'!$F$3:$F$157,,0))))*6371*1000</f>
        <v>880.42492267666137</v>
      </c>
      <c r="V278" s="39">
        <f>ACOS(COS(RADIANS(90-O278))*COS(RADIANS(90-_xlfn.XLOOKUP(S278,'Schools dataset'!$B$3:$B$187,'Schools dataset'!$J$3:$J$187,,0)))+SIN(RADIANS(90-O278))*SIN(RADIANS(90-_xlfn.XLOOKUP(S278,'Schools dataset'!$B$3:$B$187,'Schools dataset'!$J$3:$J$187,,0)))*COS(RADIANS(P278-_xlfn.XLOOKUP(S278,'Schools dataset'!$B$3:$B$187,'Schools dataset'!$K$3:$K$187,,0))))*6371*1000</f>
        <v>629.61562736779865</v>
      </c>
      <c r="W278" s="20">
        <f>_xlfn.XLOOKUP(T278,'HDB Recommender'!$P$10:$P$39,'HDB Recommender'!$Q$10:$Q$39,"&gt;30mins",1)</f>
        <v>16</v>
      </c>
      <c r="X278" s="20">
        <f>_xlfn.XLOOKUP(U278,'HDB Recommender'!$P$10:$P$39,'HDB Recommender'!$Q$10:$Q$39,"&gt;30mins",1)</f>
        <v>12</v>
      </c>
      <c r="Y278" s="20">
        <f>_xlfn.XLOOKUP(V278,'HDB Recommender'!$P$10:$P$39,'HDB Recommender'!$Q$10:$Q$39,"&gt;30mins",1)</f>
        <v>9</v>
      </c>
      <c r="Z278" s="39">
        <f t="shared" si="9"/>
        <v>12.333333333333334</v>
      </c>
      <c r="AA278" s="20" t="str">
        <f t="shared" si="8"/>
        <v>Within 1km</v>
      </c>
    </row>
    <row r="279" spans="2:27" hidden="1">
      <c r="B279" s="35" t="s">
        <v>317</v>
      </c>
      <c r="C279" s="35" t="s">
        <v>787</v>
      </c>
      <c r="D279" s="35" t="s">
        <v>341</v>
      </c>
      <c r="E279" s="35"/>
      <c r="F279" s="35" t="s">
        <v>800</v>
      </c>
      <c r="G279" s="35" t="s">
        <v>453</v>
      </c>
      <c r="H279" s="35">
        <v>117</v>
      </c>
      <c r="I279" s="35" t="s">
        <v>363</v>
      </c>
      <c r="J279" s="36">
        <v>2012</v>
      </c>
      <c r="K279" s="39">
        <v>87.6666666666666</v>
      </c>
      <c r="L279" s="37">
        <v>1330000</v>
      </c>
      <c r="M279" s="35" t="s">
        <v>801</v>
      </c>
      <c r="N279" s="27">
        <v>311139</v>
      </c>
      <c r="O279" s="38">
        <v>1.33627775831234</v>
      </c>
      <c r="P279" s="38">
        <v>103.844044881122</v>
      </c>
      <c r="Q279" s="38" t="str" cm="1">
        <f t="array" ref="Q279">INDEX('MRT station dataset'!$C$3:$C$179, MATCH(MIN(SQRT(('MRT station dataset'!$E$3:$E$179-'Resale flat dataset'!O279)^2+('MRT station dataset'!$F$3:$F$179-'Resale flat dataset'!P279)^2)), SQRT(('MRT station dataset'!$E$3:$E$179-'Resale flat dataset'!O279)^2+('MRT station dataset'!$F$3:$F$179-'Resale flat dataset'!P279)^2), 0))</f>
        <v>CALDECOTT MRT STATION</v>
      </c>
      <c r="R279" s="38" t="str" cm="1">
        <f t="array" ref="R279">INDEX('Mall Dataset'!$B$3:$B$157, MATCH(MIN(SQRT(('Mall Dataset'!$E$3:$E$157-'Resale flat dataset'!O279)^2+('Mall Dataset'!$F$3:$F$157-'Resale flat dataset'!P279)^2)), SQRT(('Mall Dataset'!$E$3:$E$157-'Resale flat dataset'!O279)^2+('Mall Dataset'!$F$3:$F$157-'Resale flat dataset'!P279)^2), 0))</f>
        <v>HDB Hub</v>
      </c>
      <c r="S279" s="38" t="str" cm="1">
        <f t="array" ref="S279">INDEX('Schools dataset'!$B$3:$B$187, MATCH(MIN(SQRT(('Schools dataset'!$J$3:$J$187-'Resale flat dataset'!O279)^2+('Schools dataset'!$K$3:$K$187-'Resale flat dataset'!P279)^2)), SQRT(('Schools dataset'!$J$3:$J$187-'Resale flat dataset'!O279)^2+('Schools dataset'!$K$3:$K$187-'Resale flat dataset'!P279)^2), 0))</f>
        <v>KHENG CHENG SCHOOL</v>
      </c>
      <c r="T279" s="39">
        <f>ACOS(COS(RADIANS(90-O279))*COS(RADIANS(90-_xlfn.XLOOKUP(Q279,'MRT station dataset'!$C$3:$C$179,'MRT station dataset'!$E$3:$E$179)))+SIN(RADIANS(90-O279))*SIN(RADIANS(90-_xlfn.XLOOKUP(Q279,'MRT station dataset'!$C$3:$C$179,'MRT station dataset'!$E$3:$E$179)))*COS(RADIANS(P279-_xlfn.XLOOKUP('Resale flat dataset'!Q279,'MRT station dataset'!$C$3:$C$179,'MRT station dataset'!$F$3:$F$179))))*6371*1000</f>
        <v>529.4031290668471</v>
      </c>
      <c r="U279" s="39">
        <f>ACOS(COS(RADIANS(90-O279))*COS(RADIANS(90-_xlfn.XLOOKUP(R279,'Mall Dataset'!$B$3:$B$157,'Mall Dataset'!$E$3:$E$157,,0)))+SIN(RADIANS(90-O279))*SIN(RADIANS(90-_xlfn.XLOOKUP(R279,'Mall Dataset'!$B$3:$B$157,'Mall Dataset'!$E$3:$E$157,,0)))*COS(RADIANS(P279-_xlfn.XLOOKUP(R279,'Mall Dataset'!$B$3:$B$157,'Mall Dataset'!$F$3:$F$157,,0))))*6371*1000</f>
        <v>800.72731258677845</v>
      </c>
      <c r="V279" s="39">
        <f>ACOS(COS(RADIANS(90-O279))*COS(RADIANS(90-_xlfn.XLOOKUP(S279,'Schools dataset'!$B$3:$B$187,'Schools dataset'!$J$3:$J$187,,0)))+SIN(RADIANS(90-O279))*SIN(RADIANS(90-_xlfn.XLOOKUP(S279,'Schools dataset'!$B$3:$B$187,'Schools dataset'!$J$3:$J$187,,0)))*COS(RADIANS(P279-_xlfn.XLOOKUP(S279,'Schools dataset'!$B$3:$B$187,'Schools dataset'!$K$3:$K$187,,0))))*6371*1000</f>
        <v>364.60648637473912</v>
      </c>
      <c r="W279" s="20">
        <f>_xlfn.XLOOKUP(T279,'HDB Recommender'!$P$10:$P$39,'HDB Recommender'!$Q$10:$Q$39,"&gt;30mins",1)</f>
        <v>8</v>
      </c>
      <c r="X279" s="20">
        <f>_xlfn.XLOOKUP(U279,'HDB Recommender'!$P$10:$P$39,'HDB Recommender'!$Q$10:$Q$39,"&gt;30mins",1)</f>
        <v>11</v>
      </c>
      <c r="Y279" s="20">
        <f>_xlfn.XLOOKUP(V279,'HDB Recommender'!$P$10:$P$39,'HDB Recommender'!$Q$10:$Q$39,"&gt;30mins",1)</f>
        <v>5</v>
      </c>
      <c r="Z279" s="39">
        <f t="shared" si="9"/>
        <v>8</v>
      </c>
      <c r="AA279" s="20" t="str">
        <f t="shared" si="8"/>
        <v>Within 1km</v>
      </c>
    </row>
    <row r="280" spans="2:27" hidden="1">
      <c r="B280" s="35" t="s">
        <v>317</v>
      </c>
      <c r="C280" s="35" t="s">
        <v>787</v>
      </c>
      <c r="D280" s="35" t="s">
        <v>341</v>
      </c>
      <c r="E280" s="35"/>
      <c r="F280" s="35" t="s">
        <v>800</v>
      </c>
      <c r="G280" s="35" t="s">
        <v>189</v>
      </c>
      <c r="H280" s="35">
        <v>110</v>
      </c>
      <c r="I280" s="35" t="s">
        <v>363</v>
      </c>
      <c r="J280" s="36">
        <v>2012</v>
      </c>
      <c r="K280" s="39">
        <v>87.6666666666666</v>
      </c>
      <c r="L280" s="37">
        <v>975000</v>
      </c>
      <c r="M280" s="35" t="s">
        <v>802</v>
      </c>
      <c r="N280" s="27">
        <v>311138</v>
      </c>
      <c r="O280" s="38">
        <v>1.33671098513786</v>
      </c>
      <c r="P280" s="38">
        <v>103.84547294551101</v>
      </c>
      <c r="Q280" s="38" t="str" cm="1">
        <f t="array" ref="Q280">INDEX('MRT station dataset'!$C$3:$C$179, MATCH(MIN(SQRT(('MRT station dataset'!$E$3:$E$179-'Resale flat dataset'!O280)^2+('MRT station dataset'!$F$3:$F$179-'Resale flat dataset'!P280)^2)), SQRT(('MRT station dataset'!$E$3:$E$179-'Resale flat dataset'!O280)^2+('MRT station dataset'!$F$3:$F$179-'Resale flat dataset'!P280)^2), 0))</f>
        <v>BRADDELL MRT STATION</v>
      </c>
      <c r="R280" s="38" t="str" cm="1">
        <f t="array" ref="R280">INDEX('Mall Dataset'!$B$3:$B$157, MATCH(MIN(SQRT(('Mall Dataset'!$E$3:$E$157-'Resale flat dataset'!O280)^2+('Mall Dataset'!$F$3:$F$157-'Resale flat dataset'!P280)^2)), SQRT(('Mall Dataset'!$E$3:$E$157-'Resale flat dataset'!O280)^2+('Mall Dataset'!$F$3:$F$157-'Resale flat dataset'!P280)^2), 0))</f>
        <v>HDB Hub</v>
      </c>
      <c r="S280" s="38" t="str" cm="1">
        <f t="array" ref="S280">INDEX('Schools dataset'!$B$3:$B$187, MATCH(MIN(SQRT(('Schools dataset'!$J$3:$J$187-'Resale flat dataset'!O280)^2+('Schools dataset'!$K$3:$K$187-'Resale flat dataset'!P280)^2)), SQRT(('Schools dataset'!$J$3:$J$187-'Resale flat dataset'!O280)^2+('Schools dataset'!$K$3:$K$187-'Resale flat dataset'!P280)^2), 0))</f>
        <v>KHENG CHENG SCHOOL</v>
      </c>
      <c r="T280" s="39">
        <f>ACOS(COS(RADIANS(90-O280))*COS(RADIANS(90-_xlfn.XLOOKUP(Q280,'MRT station dataset'!$C$3:$C$179,'MRT station dataset'!$E$3:$E$179)))+SIN(RADIANS(90-O280))*SIN(RADIANS(90-_xlfn.XLOOKUP(Q280,'MRT station dataset'!$C$3:$C$179,'MRT station dataset'!$E$3:$E$179)))*COS(RADIANS(P280-_xlfn.XLOOKUP('Resale flat dataset'!Q280,'MRT station dataset'!$C$3:$C$179,'MRT station dataset'!$F$3:$F$179))))*6371*1000</f>
        <v>446.39947010900084</v>
      </c>
      <c r="U280" s="39">
        <f>ACOS(COS(RADIANS(90-O280))*COS(RADIANS(90-_xlfn.XLOOKUP(R280,'Mall Dataset'!$B$3:$B$157,'Mall Dataset'!$E$3:$E$157,,0)))+SIN(RADIANS(90-O280))*SIN(RADIANS(90-_xlfn.XLOOKUP(R280,'Mall Dataset'!$B$3:$B$157,'Mall Dataset'!$E$3:$E$157,,0)))*COS(RADIANS(P280-_xlfn.XLOOKUP(R280,'Mall Dataset'!$B$3:$B$157,'Mall Dataset'!$F$3:$F$157,,0))))*6371*1000</f>
        <v>713.78744501191682</v>
      </c>
      <c r="V280" s="39">
        <f>ACOS(COS(RADIANS(90-O280))*COS(RADIANS(90-_xlfn.XLOOKUP(S280,'Schools dataset'!$B$3:$B$187,'Schools dataset'!$J$3:$J$187,,0)))+SIN(RADIANS(90-O280))*SIN(RADIANS(90-_xlfn.XLOOKUP(S280,'Schools dataset'!$B$3:$B$187,'Schools dataset'!$J$3:$J$187,,0)))*COS(RADIANS(P280-_xlfn.XLOOKUP(S280,'Schools dataset'!$B$3:$B$187,'Schools dataset'!$K$3:$K$187,,0))))*6371*1000</f>
        <v>198.89137513242528</v>
      </c>
      <c r="W280" s="20">
        <f>_xlfn.XLOOKUP(T280,'HDB Recommender'!$P$10:$P$39,'HDB Recommender'!$Q$10:$Q$39,"&gt;30mins",1)</f>
        <v>6</v>
      </c>
      <c r="X280" s="20">
        <f>_xlfn.XLOOKUP(U280,'HDB Recommender'!$P$10:$P$39,'HDB Recommender'!$Q$10:$Q$39,"&gt;30mins",1)</f>
        <v>10</v>
      </c>
      <c r="Y280" s="20">
        <f>_xlfn.XLOOKUP(V280,'HDB Recommender'!$P$10:$P$39,'HDB Recommender'!$Q$10:$Q$39,"&gt;30mins",1)</f>
        <v>3</v>
      </c>
      <c r="Z280" s="39">
        <f t="shared" si="9"/>
        <v>6.333333333333333</v>
      </c>
      <c r="AA280" s="20" t="str">
        <f t="shared" si="8"/>
        <v>Within 1km</v>
      </c>
    </row>
    <row r="281" spans="2:27" hidden="1">
      <c r="B281" s="35" t="s">
        <v>317</v>
      </c>
      <c r="C281" s="35" t="s">
        <v>787</v>
      </c>
      <c r="D281" s="35" t="s">
        <v>341</v>
      </c>
      <c r="E281" s="35"/>
      <c r="F281" s="35" t="s">
        <v>803</v>
      </c>
      <c r="G281" s="35" t="s">
        <v>323</v>
      </c>
      <c r="H281" s="35">
        <v>122</v>
      </c>
      <c r="I281" s="35" t="s">
        <v>326</v>
      </c>
      <c r="J281" s="36">
        <v>1996</v>
      </c>
      <c r="K281" s="39">
        <v>72</v>
      </c>
      <c r="L281" s="37">
        <v>1060000</v>
      </c>
      <c r="M281" s="35" t="s">
        <v>804</v>
      </c>
      <c r="N281" s="27">
        <v>312082</v>
      </c>
      <c r="O281" s="38">
        <v>1.3356223926548401</v>
      </c>
      <c r="P281" s="38">
        <v>103.84885147490699</v>
      </c>
      <c r="Q281" s="38" t="str" cm="1">
        <f t="array" ref="Q281">INDEX('MRT station dataset'!$C$3:$C$179, MATCH(MIN(SQRT(('MRT station dataset'!$E$3:$E$179-'Resale flat dataset'!O281)^2+('MRT station dataset'!$F$3:$F$179-'Resale flat dataset'!P281)^2)), SQRT(('MRT station dataset'!$E$3:$E$179-'Resale flat dataset'!O281)^2+('MRT station dataset'!$F$3:$F$179-'Resale flat dataset'!P281)^2), 0))</f>
        <v>TOA PAYOH MRT STATION</v>
      </c>
      <c r="R281" s="38" t="str" cm="1">
        <f t="array" ref="R281">INDEX('Mall Dataset'!$B$3:$B$157, MATCH(MIN(SQRT(('Mall Dataset'!$E$3:$E$157-'Resale flat dataset'!O281)^2+('Mall Dataset'!$F$3:$F$157-'Resale flat dataset'!P281)^2)), SQRT(('Mall Dataset'!$E$3:$E$157-'Resale flat dataset'!O281)^2+('Mall Dataset'!$F$3:$F$157-'Resale flat dataset'!P281)^2), 0))</f>
        <v>HDB Hub</v>
      </c>
      <c r="S281" s="38" t="str" cm="1">
        <f t="array" ref="S281">INDEX('Schools dataset'!$B$3:$B$187, MATCH(MIN(SQRT(('Schools dataset'!$J$3:$J$187-'Resale flat dataset'!O281)^2+('Schools dataset'!$K$3:$K$187-'Resale flat dataset'!P281)^2)), SQRT(('Schools dataset'!$J$3:$J$187-'Resale flat dataset'!O281)^2+('Schools dataset'!$K$3:$K$187-'Resale flat dataset'!P281)^2), 0))</f>
        <v>KHENG CHENG SCHOOL</v>
      </c>
      <c r="T281" s="39">
        <f>ACOS(COS(RADIANS(90-O281))*COS(RADIANS(90-_xlfn.XLOOKUP(Q281,'MRT station dataset'!$C$3:$C$179,'MRT station dataset'!$E$3:$E$179)))+SIN(RADIANS(90-O281))*SIN(RADIANS(90-_xlfn.XLOOKUP(Q281,'MRT station dataset'!$C$3:$C$179,'MRT station dataset'!$E$3:$E$179)))*COS(RADIANS(P281-_xlfn.XLOOKUP('Resale flat dataset'!Q281,'MRT station dataset'!$C$3:$C$179,'MRT station dataset'!$F$3:$F$179))))*6371*1000</f>
        <v>368.12662301660271</v>
      </c>
      <c r="U281" s="39">
        <f>ACOS(COS(RADIANS(90-O281))*COS(RADIANS(90-_xlfn.XLOOKUP(R281,'Mall Dataset'!$B$3:$B$157,'Mall Dataset'!$E$3:$E$157,,0)))+SIN(RADIANS(90-O281))*SIN(RADIANS(90-_xlfn.XLOOKUP(R281,'Mall Dataset'!$B$3:$B$157,'Mall Dataset'!$E$3:$E$157,,0)))*COS(RADIANS(P281-_xlfn.XLOOKUP(R281,'Mall Dataset'!$B$3:$B$157,'Mall Dataset'!$F$3:$F$157,,0))))*6371*1000</f>
        <v>416.30499671001189</v>
      </c>
      <c r="V281" s="39">
        <f>ACOS(COS(RADIANS(90-O281))*COS(RADIANS(90-_xlfn.XLOOKUP(S281,'Schools dataset'!$B$3:$B$187,'Schools dataset'!$J$3:$J$187,,0)))+SIN(RADIANS(90-O281))*SIN(RADIANS(90-_xlfn.XLOOKUP(S281,'Schools dataset'!$B$3:$B$187,'Schools dataset'!$J$3:$J$187,,0)))*COS(RADIANS(P281-_xlfn.XLOOKUP(S281,'Schools dataset'!$B$3:$B$187,'Schools dataset'!$K$3:$K$187,,0))))*6371*1000</f>
        <v>268.77247545606429</v>
      </c>
      <c r="W281" s="20">
        <f>_xlfn.XLOOKUP(T281,'HDB Recommender'!$P$10:$P$39,'HDB Recommender'!$Q$10:$Q$39,"&gt;30mins",1)</f>
        <v>5</v>
      </c>
      <c r="X281" s="20">
        <f>_xlfn.XLOOKUP(U281,'HDB Recommender'!$P$10:$P$39,'HDB Recommender'!$Q$10:$Q$39,"&gt;30mins",1)</f>
        <v>6</v>
      </c>
      <c r="Y281" s="20">
        <f>_xlfn.XLOOKUP(V281,'HDB Recommender'!$P$10:$P$39,'HDB Recommender'!$Q$10:$Q$39,"&gt;30mins",1)</f>
        <v>4</v>
      </c>
      <c r="Z281" s="39">
        <f t="shared" si="9"/>
        <v>5</v>
      </c>
      <c r="AA281" s="20" t="str">
        <f t="shared" si="8"/>
        <v>Within 1km</v>
      </c>
    </row>
    <row r="282" spans="2:27" hidden="1">
      <c r="B282" s="35" t="s">
        <v>317</v>
      </c>
      <c r="C282" s="35" t="s">
        <v>805</v>
      </c>
      <c r="D282" s="35" t="s">
        <v>318</v>
      </c>
      <c r="E282" s="35">
        <v>202</v>
      </c>
      <c r="F282" s="35" t="s">
        <v>806</v>
      </c>
      <c r="G282" s="35" t="s">
        <v>349</v>
      </c>
      <c r="H282" s="35">
        <v>68</v>
      </c>
      <c r="I282" s="35" t="s">
        <v>320</v>
      </c>
      <c r="J282" s="36">
        <v>1981</v>
      </c>
      <c r="K282" s="39">
        <v>56.75</v>
      </c>
      <c r="L282" s="37">
        <v>303000</v>
      </c>
      <c r="M282" s="35" t="s">
        <v>807</v>
      </c>
      <c r="N282" s="27">
        <v>730202</v>
      </c>
      <c r="O282" s="38">
        <v>1.44315121142693</v>
      </c>
      <c r="P282" s="38">
        <v>103.775164777049</v>
      </c>
      <c r="Q282" s="38" t="str" cm="1">
        <f t="array" ref="Q282">INDEX('MRT station dataset'!$C$3:$C$179, MATCH(MIN(SQRT(('MRT station dataset'!$E$3:$E$179-'Resale flat dataset'!O282)^2+('MRT station dataset'!$F$3:$F$179-'Resale flat dataset'!P282)^2)), SQRT(('MRT station dataset'!$E$3:$E$179-'Resale flat dataset'!O282)^2+('MRT station dataset'!$F$3:$F$179-'Resale flat dataset'!P282)^2), 0))</f>
        <v>MARSILING MRT STATION</v>
      </c>
      <c r="R282" s="38" t="str" cm="1">
        <f t="array" ref="R282">INDEX('Mall Dataset'!$B$3:$B$157, MATCH(MIN(SQRT(('Mall Dataset'!$E$3:$E$157-'Resale flat dataset'!O282)^2+('Mall Dataset'!$F$3:$F$157-'Resale flat dataset'!P282)^2)), SQRT(('Mall Dataset'!$E$3:$E$157-'Resale flat dataset'!O282)^2+('Mall Dataset'!$F$3:$F$157-'Resale flat dataset'!P282)^2), 0))</f>
        <v>Marsiling Mall</v>
      </c>
      <c r="S282" s="38" t="str" cm="1">
        <f t="array" ref="S282">INDEX('Schools dataset'!$B$3:$B$187, MATCH(MIN(SQRT(('Schools dataset'!$J$3:$J$187-'Resale flat dataset'!O282)^2+('Schools dataset'!$K$3:$K$187-'Resale flat dataset'!P282)^2)), SQRT(('Schools dataset'!$J$3:$J$187-'Resale flat dataset'!O282)^2+('Schools dataset'!$K$3:$K$187-'Resale flat dataset'!P282)^2), 0))</f>
        <v>MARSILING PRIMARY SCHOOL</v>
      </c>
      <c r="T282" s="39">
        <f>ACOS(COS(RADIANS(90-O282))*COS(RADIANS(90-_xlfn.XLOOKUP(Q282,'MRT station dataset'!$C$3:$C$179,'MRT station dataset'!$E$3:$E$179)))+SIN(RADIANS(90-O282))*SIN(RADIANS(90-_xlfn.XLOOKUP(Q282,'MRT station dataset'!$C$3:$C$179,'MRT station dataset'!$E$3:$E$179)))*COS(RADIANS(P282-_xlfn.XLOOKUP('Resale flat dataset'!Q282,'MRT station dataset'!$C$3:$C$179,'MRT station dataset'!$F$3:$F$179))))*6371*1000</f>
        <v>1190.2602265136788</v>
      </c>
      <c r="U282" s="39">
        <f>ACOS(COS(RADIANS(90-O282))*COS(RADIANS(90-_xlfn.XLOOKUP(R282,'Mall Dataset'!$B$3:$B$157,'Mall Dataset'!$E$3:$E$157,,0)))+SIN(RADIANS(90-O282))*SIN(RADIANS(90-_xlfn.XLOOKUP(R282,'Mall Dataset'!$B$3:$B$157,'Mall Dataset'!$E$3:$E$157,,0)))*COS(RADIANS(P282-_xlfn.XLOOKUP(R282,'Mall Dataset'!$B$3:$B$157,'Mall Dataset'!$F$3:$F$157,,0))))*6371*1000</f>
        <v>1190.1046788555188</v>
      </c>
      <c r="V282" s="39">
        <f>ACOS(COS(RADIANS(90-O282))*COS(RADIANS(90-_xlfn.XLOOKUP(S282,'Schools dataset'!$B$3:$B$187,'Schools dataset'!$J$3:$J$187,,0)))+SIN(RADIANS(90-O282))*SIN(RADIANS(90-_xlfn.XLOOKUP(S282,'Schools dataset'!$B$3:$B$187,'Schools dataset'!$J$3:$J$187,,0)))*COS(RADIANS(P282-_xlfn.XLOOKUP(S282,'Schools dataset'!$B$3:$B$187,'Schools dataset'!$K$3:$K$187,,0))))*6371*1000</f>
        <v>1039.4555830461206</v>
      </c>
      <c r="W282" s="20">
        <f>_xlfn.XLOOKUP(T282,'HDB Recommender'!$P$10:$P$39,'HDB Recommender'!$Q$10:$Q$39,"&gt;30mins",1)</f>
        <v>16</v>
      </c>
      <c r="X282" s="20">
        <f>_xlfn.XLOOKUP(U282,'HDB Recommender'!$P$10:$P$39,'HDB Recommender'!$Q$10:$Q$39,"&gt;30mins",1)</f>
        <v>16</v>
      </c>
      <c r="Y282" s="20">
        <f>_xlfn.XLOOKUP(V282,'HDB Recommender'!$P$10:$P$39,'HDB Recommender'!$Q$10:$Q$39,"&gt;30mins",1)</f>
        <v>14</v>
      </c>
      <c r="Z282" s="39">
        <f t="shared" si="9"/>
        <v>15.333333333333334</v>
      </c>
      <c r="AA282" s="20" t="str">
        <f t="shared" si="8"/>
        <v>between 1km and 2km</v>
      </c>
    </row>
    <row r="283" spans="2:27" hidden="1">
      <c r="B283" s="35" t="s">
        <v>317</v>
      </c>
      <c r="C283" s="35" t="s">
        <v>805</v>
      </c>
      <c r="D283" s="35" t="s">
        <v>318</v>
      </c>
      <c r="E283" s="35">
        <v>6</v>
      </c>
      <c r="F283" s="35" t="s">
        <v>806</v>
      </c>
      <c r="G283" s="35" t="s">
        <v>191</v>
      </c>
      <c r="H283" s="35">
        <v>65</v>
      </c>
      <c r="I283" s="35" t="s">
        <v>326</v>
      </c>
      <c r="J283" s="36">
        <v>1976</v>
      </c>
      <c r="K283" s="39">
        <v>51.3333333333333</v>
      </c>
      <c r="L283" s="37">
        <v>330000</v>
      </c>
      <c r="M283" s="35" t="s">
        <v>808</v>
      </c>
      <c r="N283" s="27">
        <v>730006</v>
      </c>
      <c r="O283" s="38">
        <v>1.44207297644105</v>
      </c>
      <c r="P283" s="38">
        <v>103.77635399053101</v>
      </c>
      <c r="Q283" s="38" t="str" cm="1">
        <f t="array" ref="Q283">INDEX('MRT station dataset'!$C$3:$C$179, MATCH(MIN(SQRT(('MRT station dataset'!$E$3:$E$179-'Resale flat dataset'!O283)^2+('MRT station dataset'!$F$3:$F$179-'Resale flat dataset'!P283)^2)), SQRT(('MRT station dataset'!$E$3:$E$179-'Resale flat dataset'!O283)^2+('MRT station dataset'!$F$3:$F$179-'Resale flat dataset'!P283)^2), 0))</f>
        <v>MARSILING MRT STATION</v>
      </c>
      <c r="R283" s="38" t="str" cm="1">
        <f t="array" ref="R283">INDEX('Mall Dataset'!$B$3:$B$157, MATCH(MIN(SQRT(('Mall Dataset'!$E$3:$E$157-'Resale flat dataset'!O283)^2+('Mall Dataset'!$F$3:$F$157-'Resale flat dataset'!P283)^2)), SQRT(('Mall Dataset'!$E$3:$E$157-'Resale flat dataset'!O283)^2+('Mall Dataset'!$F$3:$F$157-'Resale flat dataset'!P283)^2), 0))</f>
        <v>Marsiling Mall</v>
      </c>
      <c r="S283" s="38" t="str" cm="1">
        <f t="array" ref="S283">INDEX('Schools dataset'!$B$3:$B$187, MATCH(MIN(SQRT(('Schools dataset'!$J$3:$J$187-'Resale flat dataset'!O283)^2+('Schools dataset'!$K$3:$K$187-'Resale flat dataset'!P283)^2)), SQRT(('Schools dataset'!$J$3:$J$187-'Resale flat dataset'!O283)^2+('Schools dataset'!$K$3:$K$187-'Resale flat dataset'!P283)^2), 0))</f>
        <v>MARSILING PRIMARY SCHOOL</v>
      </c>
      <c r="T283" s="39">
        <f>ACOS(COS(RADIANS(90-O283))*COS(RADIANS(90-_xlfn.XLOOKUP(Q283,'MRT station dataset'!$C$3:$C$179,'MRT station dataset'!$E$3:$E$179)))+SIN(RADIANS(90-O283))*SIN(RADIANS(90-_xlfn.XLOOKUP(Q283,'MRT station dataset'!$C$3:$C$179,'MRT station dataset'!$E$3:$E$179)))*COS(RADIANS(P283-_xlfn.XLOOKUP('Resale flat dataset'!Q283,'MRT station dataset'!$C$3:$C$179,'MRT station dataset'!$F$3:$F$179))))*6371*1000</f>
        <v>1093.5564802518129</v>
      </c>
      <c r="U283" s="39">
        <f>ACOS(COS(RADIANS(90-O283))*COS(RADIANS(90-_xlfn.XLOOKUP(R283,'Mall Dataset'!$B$3:$B$157,'Mall Dataset'!$E$3:$E$157,,0)))+SIN(RADIANS(90-O283))*SIN(RADIANS(90-_xlfn.XLOOKUP(R283,'Mall Dataset'!$B$3:$B$157,'Mall Dataset'!$E$3:$E$157,,0)))*COS(RADIANS(P283-_xlfn.XLOOKUP(R283,'Mall Dataset'!$B$3:$B$157,'Mall Dataset'!$F$3:$F$157,,0))))*6371*1000</f>
        <v>1026.3457796427388</v>
      </c>
      <c r="V283" s="39">
        <f>ACOS(COS(RADIANS(90-O283))*COS(RADIANS(90-_xlfn.XLOOKUP(S283,'Schools dataset'!$B$3:$B$187,'Schools dataset'!$J$3:$J$187,,0)))+SIN(RADIANS(90-O283))*SIN(RADIANS(90-_xlfn.XLOOKUP(S283,'Schools dataset'!$B$3:$B$187,'Schools dataset'!$J$3:$J$187,,0)))*COS(RADIANS(P283-_xlfn.XLOOKUP(S283,'Schools dataset'!$B$3:$B$187,'Schools dataset'!$K$3:$K$187,,0))))*6371*1000</f>
        <v>954.62801568394059</v>
      </c>
      <c r="W283" s="20">
        <f>_xlfn.XLOOKUP(T283,'HDB Recommender'!$P$10:$P$39,'HDB Recommender'!$Q$10:$Q$39,"&gt;30mins",1)</f>
        <v>15</v>
      </c>
      <c r="X283" s="20">
        <f>_xlfn.XLOOKUP(U283,'HDB Recommender'!$P$10:$P$39,'HDB Recommender'!$Q$10:$Q$39,"&gt;30mins",1)</f>
        <v>14</v>
      </c>
      <c r="Y283" s="20">
        <f>_xlfn.XLOOKUP(V283,'HDB Recommender'!$P$10:$P$39,'HDB Recommender'!$Q$10:$Q$39,"&gt;30mins",1)</f>
        <v>13</v>
      </c>
      <c r="Z283" s="39">
        <f t="shared" si="9"/>
        <v>14</v>
      </c>
      <c r="AA283" s="20" t="str">
        <f t="shared" si="8"/>
        <v>Within 1km</v>
      </c>
    </row>
    <row r="284" spans="2:27" hidden="1">
      <c r="B284" s="35" t="s">
        <v>317</v>
      </c>
      <c r="C284" s="35" t="s">
        <v>805</v>
      </c>
      <c r="D284" s="35" t="s">
        <v>318</v>
      </c>
      <c r="E284" s="35"/>
      <c r="F284" s="35" t="s">
        <v>809</v>
      </c>
      <c r="G284" s="35" t="s">
        <v>810</v>
      </c>
      <c r="H284" s="35">
        <v>67</v>
      </c>
      <c r="I284" s="35" t="s">
        <v>335</v>
      </c>
      <c r="J284" s="36">
        <v>2016</v>
      </c>
      <c r="K284" s="39">
        <v>92.0833333333333</v>
      </c>
      <c r="L284" s="37">
        <v>505000</v>
      </c>
      <c r="M284" s="35" t="s">
        <v>811</v>
      </c>
      <c r="N284" s="27">
        <v>731302</v>
      </c>
      <c r="O284" s="38">
        <v>1.43185558749484</v>
      </c>
      <c r="P284" s="38">
        <v>103.77529404443899</v>
      </c>
      <c r="Q284" s="38" t="str" cm="1">
        <f t="array" ref="Q284">INDEX('MRT station dataset'!$C$3:$C$179, MATCH(MIN(SQRT(('MRT station dataset'!$E$3:$E$179-'Resale flat dataset'!O284)^2+('MRT station dataset'!$F$3:$F$179-'Resale flat dataset'!P284)^2)), SQRT(('MRT station dataset'!$E$3:$E$179-'Resale flat dataset'!O284)^2+('MRT station dataset'!$F$3:$F$179-'Resale flat dataset'!P284)^2), 0))</f>
        <v>MARSILING MRT STATION</v>
      </c>
      <c r="R284" s="38" t="str" cm="1">
        <f t="array" ref="R284">INDEX('Mall Dataset'!$B$3:$B$157, MATCH(MIN(SQRT(('Mall Dataset'!$E$3:$E$157-'Resale flat dataset'!O284)^2+('Mall Dataset'!$F$3:$F$157-'Resale flat dataset'!P284)^2)), SQRT(('Mall Dataset'!$E$3:$E$157-'Resale flat dataset'!O284)^2+('Mall Dataset'!$F$3:$F$157-'Resale flat dataset'!P284)^2), 0))</f>
        <v>Marsiling Mall</v>
      </c>
      <c r="S284" s="38" t="str" cm="1">
        <f t="array" ref="S284">INDEX('Schools dataset'!$B$3:$B$187, MATCH(MIN(SQRT(('Schools dataset'!$J$3:$J$187-'Resale flat dataset'!O284)^2+('Schools dataset'!$K$3:$K$187-'Resale flat dataset'!P284)^2)), SQRT(('Schools dataset'!$J$3:$J$187-'Resale flat dataset'!O284)^2+('Schools dataset'!$K$3:$K$187-'Resale flat dataset'!P284)^2), 0))</f>
        <v>MARSILING PRIMARY SCHOOL</v>
      </c>
      <c r="T284" s="39">
        <f>ACOS(COS(RADIANS(90-O284))*COS(RADIANS(90-_xlfn.XLOOKUP(Q284,'MRT station dataset'!$C$3:$C$179,'MRT station dataset'!$E$3:$E$179)))+SIN(RADIANS(90-O284))*SIN(RADIANS(90-_xlfn.XLOOKUP(Q284,'MRT station dataset'!$C$3:$C$179,'MRT station dataset'!$E$3:$E$179)))*COS(RADIANS(P284-_xlfn.XLOOKUP('Resale flat dataset'!Q284,'MRT station dataset'!$C$3:$C$179,'MRT station dataset'!$F$3:$F$179))))*6371*1000</f>
        <v>150.83698252392043</v>
      </c>
      <c r="U284" s="39">
        <f>ACOS(COS(RADIANS(90-O284))*COS(RADIANS(90-_xlfn.XLOOKUP(R284,'Mall Dataset'!$B$3:$B$157,'Mall Dataset'!$E$3:$E$157,,0)))+SIN(RADIANS(90-O284))*SIN(RADIANS(90-_xlfn.XLOOKUP(R284,'Mall Dataset'!$B$3:$B$157,'Mall Dataset'!$E$3:$E$157,,0)))*COS(RADIANS(P284-_xlfn.XLOOKUP(R284,'Mall Dataset'!$B$3:$B$157,'Mall Dataset'!$F$3:$F$157,,0))))*6371*1000</f>
        <v>543.41405744131714</v>
      </c>
      <c r="V284" s="39">
        <f>ACOS(COS(RADIANS(90-O284))*COS(RADIANS(90-_xlfn.XLOOKUP(S284,'Schools dataset'!$B$3:$B$187,'Schools dataset'!$J$3:$J$187,,0)))+SIN(RADIANS(90-O284))*SIN(RADIANS(90-_xlfn.XLOOKUP(S284,'Schools dataset'!$B$3:$B$187,'Schools dataset'!$J$3:$J$187,,0)))*COS(RADIANS(P284-_xlfn.XLOOKUP(S284,'Schools dataset'!$B$3:$B$187,'Schools dataset'!$K$3:$K$187,,0))))*6371*1000</f>
        <v>295.07288032250733</v>
      </c>
      <c r="W284" s="20">
        <f>_xlfn.XLOOKUP(T284,'HDB Recommender'!$P$10:$P$39,'HDB Recommender'!$Q$10:$Q$39,"&gt;30mins",1)</f>
        <v>3</v>
      </c>
      <c r="X284" s="20">
        <f>_xlfn.XLOOKUP(U284,'HDB Recommender'!$P$10:$P$39,'HDB Recommender'!$Q$10:$Q$39,"&gt;30mins",1)</f>
        <v>8</v>
      </c>
      <c r="Y284" s="20">
        <f>_xlfn.XLOOKUP(V284,'HDB Recommender'!$P$10:$P$39,'HDB Recommender'!$Q$10:$Q$39,"&gt;30mins",1)</f>
        <v>4</v>
      </c>
      <c r="Z284" s="39">
        <f t="shared" si="9"/>
        <v>5</v>
      </c>
      <c r="AA284" s="20" t="str">
        <f t="shared" si="8"/>
        <v>Within 1km</v>
      </c>
    </row>
    <row r="285" spans="2:27" hidden="1">
      <c r="B285" s="35" t="s">
        <v>317</v>
      </c>
      <c r="C285" s="35" t="s">
        <v>805</v>
      </c>
      <c r="D285" s="35" t="s">
        <v>20</v>
      </c>
      <c r="E285" s="35"/>
      <c r="F285" s="35" t="s">
        <v>812</v>
      </c>
      <c r="G285" s="35" t="s">
        <v>453</v>
      </c>
      <c r="H285" s="35">
        <v>93</v>
      </c>
      <c r="I285" s="35" t="s">
        <v>335</v>
      </c>
      <c r="J285" s="36">
        <v>2013</v>
      </c>
      <c r="K285" s="39">
        <v>88.75</v>
      </c>
      <c r="L285" s="37">
        <v>612000</v>
      </c>
      <c r="M285" s="35" t="s">
        <v>813</v>
      </c>
      <c r="N285" s="27">
        <v>733012</v>
      </c>
      <c r="O285" s="38">
        <v>1.44108587711762</v>
      </c>
      <c r="P285" s="38">
        <v>103.77778123439801</v>
      </c>
      <c r="Q285" s="38" t="str" cm="1">
        <f t="array" ref="Q285">INDEX('MRT station dataset'!$C$3:$C$179, MATCH(MIN(SQRT(('MRT station dataset'!$E$3:$E$179-'Resale flat dataset'!O285)^2+('MRT station dataset'!$F$3:$F$179-'Resale flat dataset'!P285)^2)), SQRT(('MRT station dataset'!$E$3:$E$179-'Resale flat dataset'!O285)^2+('MRT station dataset'!$F$3:$F$179-'Resale flat dataset'!P285)^2), 0))</f>
        <v>MARSILING MRT STATION</v>
      </c>
      <c r="R285" s="38" t="str" cm="1">
        <f t="array" ref="R285">INDEX('Mall Dataset'!$B$3:$B$157, MATCH(MIN(SQRT(('Mall Dataset'!$E$3:$E$157-'Resale flat dataset'!O285)^2+('Mall Dataset'!$F$3:$F$157-'Resale flat dataset'!P285)^2)), SQRT(('Mall Dataset'!$E$3:$E$157-'Resale flat dataset'!O285)^2+('Mall Dataset'!$F$3:$F$157-'Resale flat dataset'!P285)^2), 0))</f>
        <v>Marsiling Mall</v>
      </c>
      <c r="S285" s="38" t="str" cm="1">
        <f t="array" ref="S285">INDEX('Schools dataset'!$B$3:$B$187, MATCH(MIN(SQRT(('Schools dataset'!$J$3:$J$187-'Resale flat dataset'!O285)^2+('Schools dataset'!$K$3:$K$187-'Resale flat dataset'!P285)^2)), SQRT(('Schools dataset'!$J$3:$J$187-'Resale flat dataset'!O285)^2+('Schools dataset'!$K$3:$K$187-'Resale flat dataset'!P285)^2), 0))</f>
        <v>MARSILING PRIMARY SCHOOL</v>
      </c>
      <c r="T285" s="39">
        <f>ACOS(COS(RADIANS(90-O285))*COS(RADIANS(90-_xlfn.XLOOKUP(Q285,'MRT station dataset'!$C$3:$C$179,'MRT station dataset'!$E$3:$E$179)))+SIN(RADIANS(90-O285))*SIN(RADIANS(90-_xlfn.XLOOKUP(Q285,'MRT station dataset'!$C$3:$C$179,'MRT station dataset'!$E$3:$E$179)))*COS(RADIANS(P285-_xlfn.XLOOKUP('Resale flat dataset'!Q285,'MRT station dataset'!$C$3:$C$179,'MRT station dataset'!$F$3:$F$179))))*6371*1000</f>
        <v>1038.7073481675654</v>
      </c>
      <c r="U285" s="39">
        <f>ACOS(COS(RADIANS(90-O285))*COS(RADIANS(90-_xlfn.XLOOKUP(R285,'Mall Dataset'!$B$3:$B$157,'Mall Dataset'!$E$3:$E$157,,0)))+SIN(RADIANS(90-O285))*SIN(RADIANS(90-_xlfn.XLOOKUP(R285,'Mall Dataset'!$B$3:$B$157,'Mall Dataset'!$E$3:$E$157,,0)))*COS(RADIANS(P285-_xlfn.XLOOKUP(R285,'Mall Dataset'!$B$3:$B$157,'Mall Dataset'!$F$3:$F$157,,0))))*6371*1000</f>
        <v>870.60902009919141</v>
      </c>
      <c r="V285" s="39">
        <f>ACOS(COS(RADIANS(90-O285))*COS(RADIANS(90-_xlfn.XLOOKUP(S285,'Schools dataset'!$B$3:$B$187,'Schools dataset'!$J$3:$J$187,,0)))+SIN(RADIANS(90-O285))*SIN(RADIANS(90-_xlfn.XLOOKUP(S285,'Schools dataset'!$B$3:$B$187,'Schools dataset'!$J$3:$J$187,,0)))*COS(RADIANS(P285-_xlfn.XLOOKUP(S285,'Schools dataset'!$B$3:$B$187,'Schools dataset'!$K$3:$K$187,,0))))*6371*1000</f>
        <v>919.54629118618243</v>
      </c>
      <c r="W285" s="20">
        <f>_xlfn.XLOOKUP(T285,'HDB Recommender'!$P$10:$P$39,'HDB Recommender'!$Q$10:$Q$39,"&gt;30mins",1)</f>
        <v>14</v>
      </c>
      <c r="X285" s="20">
        <f>_xlfn.XLOOKUP(U285,'HDB Recommender'!$P$10:$P$39,'HDB Recommender'!$Q$10:$Q$39,"&gt;30mins",1)</f>
        <v>12</v>
      </c>
      <c r="Y285" s="20">
        <f>_xlfn.XLOOKUP(V285,'HDB Recommender'!$P$10:$P$39,'HDB Recommender'!$Q$10:$Q$39,"&gt;30mins",1)</f>
        <v>13</v>
      </c>
      <c r="Z285" s="39">
        <f t="shared" si="9"/>
        <v>13</v>
      </c>
      <c r="AA285" s="20" t="str">
        <f t="shared" si="8"/>
        <v>Within 1km</v>
      </c>
    </row>
    <row r="286" spans="2:27" hidden="1">
      <c r="B286" s="35" t="s">
        <v>317</v>
      </c>
      <c r="C286" s="35" t="s">
        <v>805</v>
      </c>
      <c r="D286" s="35" t="s">
        <v>20</v>
      </c>
      <c r="E286" s="35"/>
      <c r="F286" s="35" t="s">
        <v>814</v>
      </c>
      <c r="G286" s="35" t="s">
        <v>184</v>
      </c>
      <c r="H286" s="35">
        <v>92</v>
      </c>
      <c r="I286" s="35" t="s">
        <v>335</v>
      </c>
      <c r="J286" s="36">
        <v>2018</v>
      </c>
      <c r="K286" s="39">
        <v>94</v>
      </c>
      <c r="L286" s="37">
        <v>535000</v>
      </c>
      <c r="M286" s="35" t="s">
        <v>815</v>
      </c>
      <c r="N286" s="27">
        <v>732693</v>
      </c>
      <c r="O286" s="38">
        <v>1.4385060591638501</v>
      </c>
      <c r="P286" s="38">
        <v>103.804250612304</v>
      </c>
      <c r="Q286" s="38" t="str" cm="1">
        <f t="array" ref="Q286">INDEX('MRT station dataset'!$C$3:$C$179, MATCH(MIN(SQRT(('MRT station dataset'!$E$3:$E$179-'Resale flat dataset'!O286)^2+('MRT station dataset'!$F$3:$F$179-'Resale flat dataset'!P286)^2)), SQRT(('MRT station dataset'!$E$3:$E$179-'Resale flat dataset'!O286)^2+('MRT station dataset'!$F$3:$F$179-'Resale flat dataset'!P286)^2), 0))</f>
        <v>ADMIRALTY MRT STATION</v>
      </c>
      <c r="R286" s="38" t="str" cm="1">
        <f t="array" ref="R286">INDEX('Mall Dataset'!$B$3:$B$157, MATCH(MIN(SQRT(('Mall Dataset'!$E$3:$E$157-'Resale flat dataset'!O286)^2+('Mall Dataset'!$F$3:$F$157-'Resale flat dataset'!P286)^2)), SQRT(('Mall Dataset'!$E$3:$E$157-'Resale flat dataset'!O286)^2+('Mall Dataset'!$F$3:$F$157-'Resale flat dataset'!P286)^2), 0))</f>
        <v>Admiralty Place</v>
      </c>
      <c r="S286" s="38" t="str" cm="1">
        <f t="array" ref="S286">INDEX('Schools dataset'!$B$3:$B$187, MATCH(MIN(SQRT(('Schools dataset'!$J$3:$J$187-'Resale flat dataset'!O286)^2+('Schools dataset'!$K$3:$K$187-'Resale flat dataset'!P286)^2)), SQRT(('Schools dataset'!$J$3:$J$187-'Resale flat dataset'!O286)^2+('Schools dataset'!$K$3:$K$187-'Resale flat dataset'!P286)^2), 0))</f>
        <v>GREENWOOD PRIMARY SCHOOL</v>
      </c>
      <c r="T286" s="39">
        <f>ACOS(COS(RADIANS(90-O286))*COS(RADIANS(90-_xlfn.XLOOKUP(Q286,'MRT station dataset'!$C$3:$C$179,'MRT station dataset'!$E$3:$E$179)))+SIN(RADIANS(90-O286))*SIN(RADIANS(90-_xlfn.XLOOKUP(Q286,'MRT station dataset'!$C$3:$C$179,'MRT station dataset'!$E$3:$E$179)))*COS(RADIANS(P286-_xlfn.XLOOKUP('Resale flat dataset'!Q286,'MRT station dataset'!$C$3:$C$179,'MRT station dataset'!$F$3:$F$179))))*6371*1000</f>
        <v>429.85720645852064</v>
      </c>
      <c r="U286" s="39">
        <f>ACOS(COS(RADIANS(90-O286))*COS(RADIANS(90-_xlfn.XLOOKUP(R286,'Mall Dataset'!$B$3:$B$157,'Mall Dataset'!$E$3:$E$157,,0)))+SIN(RADIANS(90-O286))*SIN(RADIANS(90-_xlfn.XLOOKUP(R286,'Mall Dataset'!$B$3:$B$157,'Mall Dataset'!$E$3:$E$157,,0)))*COS(RADIANS(P286-_xlfn.XLOOKUP(R286,'Mall Dataset'!$B$3:$B$157,'Mall Dataset'!$F$3:$F$157,,0))))*6371*1000</f>
        <v>368.73648225631507</v>
      </c>
      <c r="V286" s="39">
        <f>ACOS(COS(RADIANS(90-O286))*COS(RADIANS(90-_xlfn.XLOOKUP(S286,'Schools dataset'!$B$3:$B$187,'Schools dataset'!$J$3:$J$187,,0)))+SIN(RADIANS(90-O286))*SIN(RADIANS(90-_xlfn.XLOOKUP(S286,'Schools dataset'!$B$3:$B$187,'Schools dataset'!$J$3:$J$187,,0)))*COS(RADIANS(P286-_xlfn.XLOOKUP(S286,'Schools dataset'!$B$3:$B$187,'Schools dataset'!$K$3:$K$187,,0))))*6371*1000</f>
        <v>180.81194516236687</v>
      </c>
      <c r="W286" s="20">
        <f>_xlfn.XLOOKUP(T286,'HDB Recommender'!$P$10:$P$39,'HDB Recommender'!$Q$10:$Q$39,"&gt;30mins",1)</f>
        <v>6</v>
      </c>
      <c r="X286" s="20">
        <f>_xlfn.XLOOKUP(U286,'HDB Recommender'!$P$10:$P$39,'HDB Recommender'!$Q$10:$Q$39,"&gt;30mins",1)</f>
        <v>5</v>
      </c>
      <c r="Y286" s="20">
        <f>_xlfn.XLOOKUP(V286,'HDB Recommender'!$P$10:$P$39,'HDB Recommender'!$Q$10:$Q$39,"&gt;30mins",1)</f>
        <v>3</v>
      </c>
      <c r="Z286" s="39">
        <f t="shared" si="9"/>
        <v>4.666666666666667</v>
      </c>
      <c r="AA286" s="20" t="str">
        <f t="shared" si="8"/>
        <v>Within 1km</v>
      </c>
    </row>
    <row r="287" spans="2:27" hidden="1">
      <c r="B287" s="35" t="s">
        <v>317</v>
      </c>
      <c r="C287" s="35" t="s">
        <v>805</v>
      </c>
      <c r="D287" s="35" t="s">
        <v>20</v>
      </c>
      <c r="E287" s="35">
        <v>793</v>
      </c>
      <c r="F287" s="35" t="s">
        <v>814</v>
      </c>
      <c r="G287" s="35" t="s">
        <v>191</v>
      </c>
      <c r="H287" s="35">
        <v>100</v>
      </c>
      <c r="I287" s="35" t="s">
        <v>335</v>
      </c>
      <c r="J287" s="36">
        <v>1997</v>
      </c>
      <c r="K287" s="39">
        <v>73.1666666666666</v>
      </c>
      <c r="L287" s="37">
        <v>500388</v>
      </c>
      <c r="M287" s="35" t="s">
        <v>816</v>
      </c>
      <c r="N287" s="27">
        <v>730793</v>
      </c>
      <c r="O287" s="38">
        <v>1.4423941127629401</v>
      </c>
      <c r="P287" s="38">
        <v>103.802849502125</v>
      </c>
      <c r="Q287" s="38" t="str" cm="1">
        <f t="array" ref="Q287">INDEX('MRT station dataset'!$C$3:$C$179, MATCH(MIN(SQRT(('MRT station dataset'!$E$3:$E$179-'Resale flat dataset'!O287)^2+('MRT station dataset'!$F$3:$F$179-'Resale flat dataset'!P287)^2)), SQRT(('MRT station dataset'!$E$3:$E$179-'Resale flat dataset'!O287)^2+('MRT station dataset'!$F$3:$F$179-'Resale flat dataset'!P287)^2), 0))</f>
        <v>ADMIRALTY MRT STATION</v>
      </c>
      <c r="R287" s="38" t="str" cm="1">
        <f t="array" ref="R287">INDEX('Mall Dataset'!$B$3:$B$157, MATCH(MIN(SQRT(('Mall Dataset'!$E$3:$E$157-'Resale flat dataset'!O287)^2+('Mall Dataset'!$F$3:$F$157-'Resale flat dataset'!P287)^2)), SQRT(('Mall Dataset'!$E$3:$E$157-'Resale flat dataset'!O287)^2+('Mall Dataset'!$F$3:$F$157-'Resale flat dataset'!P287)^2), 0))</f>
        <v>Admiralty Place</v>
      </c>
      <c r="S287" s="38" t="str" cm="1">
        <f t="array" ref="S287">INDEX('Schools dataset'!$B$3:$B$187, MATCH(MIN(SQRT(('Schools dataset'!$J$3:$J$187-'Resale flat dataset'!O287)^2+('Schools dataset'!$K$3:$K$187-'Resale flat dataset'!P287)^2)), SQRT(('Schools dataset'!$J$3:$J$187-'Resale flat dataset'!O287)^2+('Schools dataset'!$K$3:$K$187-'Resale flat dataset'!P287)^2), 0))</f>
        <v>ADMIRALTY PRIMARY SCHOOL</v>
      </c>
      <c r="T287" s="39">
        <f>ACOS(COS(RADIANS(90-O287))*COS(RADIANS(90-_xlfn.XLOOKUP(Q287,'MRT station dataset'!$C$3:$C$179,'MRT station dataset'!$E$3:$E$179)))+SIN(RADIANS(90-O287))*SIN(RADIANS(90-_xlfn.XLOOKUP(Q287,'MRT station dataset'!$C$3:$C$179,'MRT station dataset'!$E$3:$E$179)))*COS(RADIANS(P287-_xlfn.XLOOKUP('Resale flat dataset'!Q287,'MRT station dataset'!$C$3:$C$179,'MRT station dataset'!$F$3:$F$179))))*6371*1000</f>
        <v>286.4717566732802</v>
      </c>
      <c r="U287" s="39">
        <f>ACOS(COS(RADIANS(90-O287))*COS(RADIANS(90-_xlfn.XLOOKUP(R287,'Mall Dataset'!$B$3:$B$157,'Mall Dataset'!$E$3:$E$157,,0)))+SIN(RADIANS(90-O287))*SIN(RADIANS(90-_xlfn.XLOOKUP(R287,'Mall Dataset'!$B$3:$B$157,'Mall Dataset'!$E$3:$E$157,,0)))*COS(RADIANS(P287-_xlfn.XLOOKUP(R287,'Mall Dataset'!$B$3:$B$157,'Mall Dataset'!$F$3:$F$157,,0))))*6371*1000</f>
        <v>263.27302373393024</v>
      </c>
      <c r="V287" s="39">
        <f>ACOS(COS(RADIANS(90-O287))*COS(RADIANS(90-_xlfn.XLOOKUP(S287,'Schools dataset'!$B$3:$B$187,'Schools dataset'!$J$3:$J$187,,0)))+SIN(RADIANS(90-O287))*SIN(RADIANS(90-_xlfn.XLOOKUP(S287,'Schools dataset'!$B$3:$B$187,'Schools dataset'!$J$3:$J$187,,0)))*COS(RADIANS(P287-_xlfn.XLOOKUP(S287,'Schools dataset'!$B$3:$B$187,'Schools dataset'!$K$3:$K$187,,0))))*6371*1000</f>
        <v>293.50679501072773</v>
      </c>
      <c r="W287" s="20">
        <f>_xlfn.XLOOKUP(T287,'HDB Recommender'!$P$10:$P$39,'HDB Recommender'!$Q$10:$Q$39,"&gt;30mins",1)</f>
        <v>4</v>
      </c>
      <c r="X287" s="20">
        <f>_xlfn.XLOOKUP(U287,'HDB Recommender'!$P$10:$P$39,'HDB Recommender'!$Q$10:$Q$39,"&gt;30mins",1)</f>
        <v>4</v>
      </c>
      <c r="Y287" s="20">
        <f>_xlfn.XLOOKUP(V287,'HDB Recommender'!$P$10:$P$39,'HDB Recommender'!$Q$10:$Q$39,"&gt;30mins",1)</f>
        <v>4</v>
      </c>
      <c r="Z287" s="39">
        <f t="shared" si="9"/>
        <v>4</v>
      </c>
      <c r="AA287" s="20" t="str">
        <f t="shared" si="8"/>
        <v>Within 1km</v>
      </c>
    </row>
    <row r="288" spans="2:27" hidden="1">
      <c r="B288" s="35" t="s">
        <v>317</v>
      </c>
      <c r="C288" s="35" t="s">
        <v>805</v>
      </c>
      <c r="D288" s="35" t="s">
        <v>20</v>
      </c>
      <c r="E288" s="35">
        <v>736</v>
      </c>
      <c r="F288" s="35" t="s">
        <v>817</v>
      </c>
      <c r="G288" s="35" t="s">
        <v>349</v>
      </c>
      <c r="H288" s="35">
        <v>103</v>
      </c>
      <c r="I288" s="35" t="s">
        <v>335</v>
      </c>
      <c r="J288" s="36">
        <v>1998</v>
      </c>
      <c r="K288" s="39">
        <v>73.5</v>
      </c>
      <c r="L288" s="37">
        <v>470000</v>
      </c>
      <c r="M288" s="35" t="s">
        <v>818</v>
      </c>
      <c r="N288" s="27">
        <v>730736</v>
      </c>
      <c r="O288" s="38">
        <v>1.4428376412703301</v>
      </c>
      <c r="P288" s="38">
        <v>103.79681412544799</v>
      </c>
      <c r="Q288" s="38" t="str" cm="1">
        <f t="array" ref="Q288">INDEX('MRT station dataset'!$C$3:$C$179, MATCH(MIN(SQRT(('MRT station dataset'!$E$3:$E$179-'Resale flat dataset'!O288)^2+('MRT station dataset'!$F$3:$F$179-'Resale flat dataset'!P288)^2)), SQRT(('MRT station dataset'!$E$3:$E$179-'Resale flat dataset'!O288)^2+('MRT station dataset'!$F$3:$F$179-'Resale flat dataset'!P288)^2), 0))</f>
        <v>ADMIRALTY MRT STATION</v>
      </c>
      <c r="R288" s="38" t="str" cm="1">
        <f t="array" ref="R288">INDEX('Mall Dataset'!$B$3:$B$157, MATCH(MIN(SQRT(('Mall Dataset'!$E$3:$E$157-'Resale flat dataset'!O288)^2+('Mall Dataset'!$F$3:$F$157-'Resale flat dataset'!P288)^2)), SQRT(('Mall Dataset'!$E$3:$E$157-'Resale flat dataset'!O288)^2+('Mall Dataset'!$F$3:$F$157-'Resale flat dataset'!P288)^2), 0))</f>
        <v>Woodlands Mart</v>
      </c>
      <c r="S288" s="38" t="str" cm="1">
        <f t="array" ref="S288">INDEX('Schools dataset'!$B$3:$B$187, MATCH(MIN(SQRT(('Schools dataset'!$J$3:$J$187-'Resale flat dataset'!O288)^2+('Schools dataset'!$K$3:$K$187-'Resale flat dataset'!P288)^2)), SQRT(('Schools dataset'!$J$3:$J$187-'Resale flat dataset'!O288)^2+('Schools dataset'!$K$3:$K$187-'Resale flat dataset'!P288)^2), 0))</f>
        <v>EVERGREEN PRIMARY SCHOOL</v>
      </c>
      <c r="T288" s="39">
        <f>ACOS(COS(RADIANS(90-O288))*COS(RADIANS(90-_xlfn.XLOOKUP(Q288,'MRT station dataset'!$C$3:$C$179,'MRT station dataset'!$E$3:$E$179)))+SIN(RADIANS(90-O288))*SIN(RADIANS(90-_xlfn.XLOOKUP(Q288,'MRT station dataset'!$C$3:$C$179,'MRT station dataset'!$E$3:$E$179)))*COS(RADIANS(P288-_xlfn.XLOOKUP('Resale flat dataset'!Q288,'MRT station dataset'!$C$3:$C$179,'MRT station dataset'!$F$3:$F$179))))*6371*1000</f>
        <v>527.64884896738829</v>
      </c>
      <c r="U288" s="39">
        <f>ACOS(COS(RADIANS(90-O288))*COS(RADIANS(90-_xlfn.XLOOKUP(R288,'Mall Dataset'!$B$3:$B$157,'Mall Dataset'!$E$3:$E$157,,0)))+SIN(RADIANS(90-O288))*SIN(RADIANS(90-_xlfn.XLOOKUP(R288,'Mall Dataset'!$B$3:$B$157,'Mall Dataset'!$E$3:$E$157,,0)))*COS(RADIANS(P288-_xlfn.XLOOKUP(R288,'Mall Dataset'!$B$3:$B$157,'Mall Dataset'!$F$3:$F$157,,0))))*6371*1000</f>
        <v>346.56031378285348</v>
      </c>
      <c r="V288" s="39">
        <f>ACOS(COS(RADIANS(90-O288))*COS(RADIANS(90-_xlfn.XLOOKUP(S288,'Schools dataset'!$B$3:$B$187,'Schools dataset'!$J$3:$J$187,,0)))+SIN(RADIANS(90-O288))*SIN(RADIANS(90-_xlfn.XLOOKUP(S288,'Schools dataset'!$B$3:$B$187,'Schools dataset'!$J$3:$J$187,,0)))*COS(RADIANS(P288-_xlfn.XLOOKUP(S288,'Schools dataset'!$B$3:$B$187,'Schools dataset'!$K$3:$K$187,,0))))*6371*1000</f>
        <v>291.28595415885394</v>
      </c>
      <c r="W288" s="20">
        <f>_xlfn.XLOOKUP(T288,'HDB Recommender'!$P$10:$P$39,'HDB Recommender'!$Q$10:$Q$39,"&gt;30mins",1)</f>
        <v>8</v>
      </c>
      <c r="X288" s="20">
        <f>_xlfn.XLOOKUP(U288,'HDB Recommender'!$P$10:$P$39,'HDB Recommender'!$Q$10:$Q$39,"&gt;30mins",1)</f>
        <v>5</v>
      </c>
      <c r="Y288" s="20">
        <f>_xlfn.XLOOKUP(V288,'HDB Recommender'!$P$10:$P$39,'HDB Recommender'!$Q$10:$Q$39,"&gt;30mins",1)</f>
        <v>4</v>
      </c>
      <c r="Z288" s="39">
        <f t="shared" si="9"/>
        <v>5.666666666666667</v>
      </c>
      <c r="AA288" s="20" t="str">
        <f t="shared" si="8"/>
        <v>Within 1km</v>
      </c>
    </row>
    <row r="289" spans="2:27" hidden="1">
      <c r="B289" s="35" t="s">
        <v>317</v>
      </c>
      <c r="C289" s="35" t="s">
        <v>805</v>
      </c>
      <c r="D289" s="35" t="s">
        <v>20</v>
      </c>
      <c r="E289" s="35">
        <v>520</v>
      </c>
      <c r="F289" s="35" t="s">
        <v>819</v>
      </c>
      <c r="G289" s="35" t="s">
        <v>189</v>
      </c>
      <c r="H289" s="35">
        <v>105</v>
      </c>
      <c r="I289" s="35" t="s">
        <v>389</v>
      </c>
      <c r="J289" s="36">
        <v>2000</v>
      </c>
      <c r="K289" s="39">
        <v>76.0833333333333</v>
      </c>
      <c r="L289" s="37">
        <v>517000</v>
      </c>
      <c r="M289" s="35" t="s">
        <v>820</v>
      </c>
      <c r="N289" s="27">
        <v>730520</v>
      </c>
      <c r="O289" s="38">
        <v>1.43417410308188</v>
      </c>
      <c r="P289" s="38">
        <v>103.79239730506499</v>
      </c>
      <c r="Q289" s="38" t="str" cm="1">
        <f t="array" ref="Q289">INDEX('MRT station dataset'!$C$3:$C$179, MATCH(MIN(SQRT(('MRT station dataset'!$E$3:$E$179-'Resale flat dataset'!O289)^2+('MRT station dataset'!$F$3:$F$179-'Resale flat dataset'!P289)^2)), SQRT(('MRT station dataset'!$E$3:$E$179-'Resale flat dataset'!O289)^2+('MRT station dataset'!$F$3:$F$179-'Resale flat dataset'!P289)^2), 0))</f>
        <v>WOODLANDS MRT STATION</v>
      </c>
      <c r="R289" s="38" t="str" cm="1">
        <f t="array" ref="R289">INDEX('Mall Dataset'!$B$3:$B$157, MATCH(MIN(SQRT(('Mall Dataset'!$E$3:$E$157-'Resale flat dataset'!O289)^2+('Mall Dataset'!$F$3:$F$157-'Resale flat dataset'!P289)^2)), SQRT(('Mall Dataset'!$E$3:$E$157-'Resale flat dataset'!O289)^2+('Mall Dataset'!$F$3:$F$157-'Resale flat dataset'!P289)^2), 0))</f>
        <v>Vista Point</v>
      </c>
      <c r="S289" s="38" t="str" cm="1">
        <f t="array" ref="S289">INDEX('Schools dataset'!$B$3:$B$187, MATCH(MIN(SQRT(('Schools dataset'!$J$3:$J$187-'Resale flat dataset'!O289)^2+('Schools dataset'!$K$3:$K$187-'Resale flat dataset'!P289)^2)), SQRT(('Schools dataset'!$J$3:$J$187-'Resale flat dataset'!O289)^2+('Schools dataset'!$K$3:$K$187-'Resale flat dataset'!P289)^2), 0))</f>
        <v>WOODLANDS PRIMARY SCHOOL</v>
      </c>
      <c r="T289" s="39">
        <f>ACOS(COS(RADIANS(90-O289))*COS(RADIANS(90-_xlfn.XLOOKUP(Q289,'MRT station dataset'!$C$3:$C$179,'MRT station dataset'!$E$3:$E$179)))+SIN(RADIANS(90-O289))*SIN(RADIANS(90-_xlfn.XLOOKUP(Q289,'MRT station dataset'!$C$3:$C$179,'MRT station dataset'!$E$3:$E$179)))*COS(RADIANS(P289-_xlfn.XLOOKUP('Resale flat dataset'!Q289,'MRT station dataset'!$C$3:$C$179,'MRT station dataset'!$F$3:$F$179))))*6371*1000</f>
        <v>722.22704178164258</v>
      </c>
      <c r="U289" s="39">
        <f>ACOS(COS(RADIANS(90-O289))*COS(RADIANS(90-_xlfn.XLOOKUP(R289,'Mall Dataset'!$B$3:$B$157,'Mall Dataset'!$E$3:$E$157,,0)))+SIN(RADIANS(90-O289))*SIN(RADIANS(90-_xlfn.XLOOKUP(R289,'Mall Dataset'!$B$3:$B$157,'Mall Dataset'!$E$3:$E$157,,0)))*COS(RADIANS(P289-_xlfn.XLOOKUP(R289,'Mall Dataset'!$B$3:$B$157,'Mall Dataset'!$F$3:$F$157,,0))))*6371*1000</f>
        <v>420.34902526057772</v>
      </c>
      <c r="V289" s="39">
        <f>ACOS(COS(RADIANS(90-O289))*COS(RADIANS(90-_xlfn.XLOOKUP(S289,'Schools dataset'!$B$3:$B$187,'Schools dataset'!$J$3:$J$187,,0)))+SIN(RADIANS(90-O289))*SIN(RADIANS(90-_xlfn.XLOOKUP(S289,'Schools dataset'!$B$3:$B$187,'Schools dataset'!$J$3:$J$187,,0)))*COS(RADIANS(P289-_xlfn.XLOOKUP(S289,'Schools dataset'!$B$3:$B$187,'Schools dataset'!$K$3:$K$187,,0))))*6371*1000</f>
        <v>279.83032193984104</v>
      </c>
      <c r="W289" s="20">
        <f>_xlfn.XLOOKUP(T289,'HDB Recommender'!$P$10:$P$39,'HDB Recommender'!$Q$10:$Q$39,"&gt;30mins",1)</f>
        <v>10</v>
      </c>
      <c r="X289" s="20">
        <f>_xlfn.XLOOKUP(U289,'HDB Recommender'!$P$10:$P$39,'HDB Recommender'!$Q$10:$Q$39,"&gt;30mins",1)</f>
        <v>6</v>
      </c>
      <c r="Y289" s="20">
        <f>_xlfn.XLOOKUP(V289,'HDB Recommender'!$P$10:$P$39,'HDB Recommender'!$Q$10:$Q$39,"&gt;30mins",1)</f>
        <v>4</v>
      </c>
      <c r="Z289" s="39">
        <f t="shared" si="9"/>
        <v>6.666666666666667</v>
      </c>
      <c r="AA289" s="20" t="str">
        <f t="shared" si="8"/>
        <v>Within 1km</v>
      </c>
    </row>
    <row r="290" spans="2:27" hidden="1">
      <c r="B290" s="35" t="s">
        <v>317</v>
      </c>
      <c r="C290" s="35" t="s">
        <v>805</v>
      </c>
      <c r="D290" s="35" t="s">
        <v>20</v>
      </c>
      <c r="E290" s="35">
        <v>533</v>
      </c>
      <c r="F290" s="35" t="s">
        <v>819</v>
      </c>
      <c r="G290" s="35" t="s">
        <v>349</v>
      </c>
      <c r="H290" s="35">
        <v>104</v>
      </c>
      <c r="I290" s="35" t="s">
        <v>389</v>
      </c>
      <c r="J290" s="36">
        <v>1999</v>
      </c>
      <c r="K290" s="39">
        <v>74.9166666666666</v>
      </c>
      <c r="L290" s="37">
        <v>515000</v>
      </c>
      <c r="M290" s="35" t="s">
        <v>821</v>
      </c>
      <c r="N290" s="27">
        <v>730533</v>
      </c>
      <c r="O290" s="38">
        <v>1.4305485147127399</v>
      </c>
      <c r="P290" s="38">
        <v>103.79207205122999</v>
      </c>
      <c r="Q290" s="38" t="str" cm="1">
        <f t="array" ref="Q290">INDEX('MRT station dataset'!$C$3:$C$179, MATCH(MIN(SQRT(('MRT station dataset'!$E$3:$E$179-'Resale flat dataset'!O290)^2+('MRT station dataset'!$F$3:$F$179-'Resale flat dataset'!P290)^2)), SQRT(('MRT station dataset'!$E$3:$E$179-'Resale flat dataset'!O290)^2+('MRT station dataset'!$F$3:$F$179-'Resale flat dataset'!P290)^2), 0))</f>
        <v>WOODLANDS SOUTH MRT STATION</v>
      </c>
      <c r="R290" s="38" t="str" cm="1">
        <f t="array" ref="R290">INDEX('Mall Dataset'!$B$3:$B$157, MATCH(MIN(SQRT(('Mall Dataset'!$E$3:$E$157-'Resale flat dataset'!O290)^2+('Mall Dataset'!$F$3:$F$157-'Resale flat dataset'!P290)^2)), SQRT(('Mall Dataset'!$E$3:$E$157-'Resale flat dataset'!O290)^2+('Mall Dataset'!$F$3:$F$157-'Resale flat dataset'!P290)^2), 0))</f>
        <v>Vista Point</v>
      </c>
      <c r="S290" s="38" t="str" cm="1">
        <f t="array" ref="S290">INDEX('Schools dataset'!$B$3:$B$187, MATCH(MIN(SQRT(('Schools dataset'!$J$3:$J$187-'Resale flat dataset'!O290)^2+('Schools dataset'!$K$3:$K$187-'Resale flat dataset'!P290)^2)), SQRT(('Schools dataset'!$J$3:$J$187-'Resale flat dataset'!O290)^2+('Schools dataset'!$K$3:$K$187-'Resale flat dataset'!P290)^2), 0))</f>
        <v>INNOVA PRIMARY SCHOOL</v>
      </c>
      <c r="T290" s="39">
        <f>ACOS(COS(RADIANS(90-O290))*COS(RADIANS(90-_xlfn.XLOOKUP(Q290,'MRT station dataset'!$C$3:$C$179,'MRT station dataset'!$E$3:$E$179)))+SIN(RADIANS(90-O290))*SIN(RADIANS(90-_xlfn.XLOOKUP(Q290,'MRT station dataset'!$C$3:$C$179,'MRT station dataset'!$E$3:$E$179)))*COS(RADIANS(P290-_xlfn.XLOOKUP('Resale flat dataset'!Q290,'MRT station dataset'!$C$3:$C$179,'MRT station dataset'!$F$3:$F$179))))*6371*1000</f>
        <v>414.44791286239723</v>
      </c>
      <c r="U290" s="39">
        <f>ACOS(COS(RADIANS(90-O290))*COS(RADIANS(90-_xlfn.XLOOKUP(R290,'Mall Dataset'!$B$3:$B$157,'Mall Dataset'!$E$3:$E$157,,0)))+SIN(RADIANS(90-O290))*SIN(RADIANS(90-_xlfn.XLOOKUP(R290,'Mall Dataset'!$B$3:$B$157,'Mall Dataset'!$E$3:$E$157,,0)))*COS(RADIANS(P290-_xlfn.XLOOKUP(R290,'Mall Dataset'!$B$3:$B$157,'Mall Dataset'!$F$3:$F$157,,0))))*6371*1000</f>
        <v>227.69979382116244</v>
      </c>
      <c r="V290" s="39">
        <f>ACOS(COS(RADIANS(90-O290))*COS(RADIANS(90-_xlfn.XLOOKUP(S290,'Schools dataset'!$B$3:$B$187,'Schools dataset'!$J$3:$J$187,,0)))+SIN(RADIANS(90-O290))*SIN(RADIANS(90-_xlfn.XLOOKUP(S290,'Schools dataset'!$B$3:$B$187,'Schools dataset'!$J$3:$J$187,,0)))*COS(RADIANS(P290-_xlfn.XLOOKUP(S290,'Schools dataset'!$B$3:$B$187,'Schools dataset'!$K$3:$K$187,,0))))*6371*1000</f>
        <v>239.64059397045511</v>
      </c>
      <c r="W290" s="20">
        <f>_xlfn.XLOOKUP(T290,'HDB Recommender'!$P$10:$P$39,'HDB Recommender'!$Q$10:$Q$39,"&gt;30mins",1)</f>
        <v>6</v>
      </c>
      <c r="X290" s="20">
        <f>_xlfn.XLOOKUP(U290,'HDB Recommender'!$P$10:$P$39,'HDB Recommender'!$Q$10:$Q$39,"&gt;30mins",1)</f>
        <v>4</v>
      </c>
      <c r="Y290" s="20">
        <f>_xlfn.XLOOKUP(V290,'HDB Recommender'!$P$10:$P$39,'HDB Recommender'!$Q$10:$Q$39,"&gt;30mins",1)</f>
        <v>4</v>
      </c>
      <c r="Z290" s="39">
        <f t="shared" si="9"/>
        <v>4.666666666666667</v>
      </c>
      <c r="AA290" s="20" t="str">
        <f t="shared" si="8"/>
        <v>Within 1km</v>
      </c>
    </row>
    <row r="291" spans="2:27" hidden="1">
      <c r="B291" s="35" t="s">
        <v>317</v>
      </c>
      <c r="C291" s="35" t="s">
        <v>805</v>
      </c>
      <c r="D291" s="35" t="s">
        <v>20</v>
      </c>
      <c r="E291" s="35">
        <v>537</v>
      </c>
      <c r="F291" s="35" t="s">
        <v>822</v>
      </c>
      <c r="G291" s="35" t="s">
        <v>349</v>
      </c>
      <c r="H291" s="35">
        <v>100</v>
      </c>
      <c r="I291" s="35" t="s">
        <v>335</v>
      </c>
      <c r="J291" s="36">
        <v>2000</v>
      </c>
      <c r="K291" s="39">
        <v>75.9166666666666</v>
      </c>
      <c r="L291" s="37">
        <v>473000</v>
      </c>
      <c r="M291" s="35" t="s">
        <v>823</v>
      </c>
      <c r="N291" s="27">
        <v>730537</v>
      </c>
      <c r="O291" s="38">
        <v>1.42965785733974</v>
      </c>
      <c r="P291" s="38">
        <v>103.79258293019301</v>
      </c>
      <c r="Q291" s="38" t="str" cm="1">
        <f t="array" ref="Q291">INDEX('MRT station dataset'!$C$3:$C$179, MATCH(MIN(SQRT(('MRT station dataset'!$E$3:$E$179-'Resale flat dataset'!O291)^2+('MRT station dataset'!$F$3:$F$179-'Resale flat dataset'!P291)^2)), SQRT(('MRT station dataset'!$E$3:$E$179-'Resale flat dataset'!O291)^2+('MRT station dataset'!$F$3:$F$179-'Resale flat dataset'!P291)^2), 0))</f>
        <v>WOODLANDS SOUTH MRT STATION</v>
      </c>
      <c r="R291" s="38" t="str" cm="1">
        <f t="array" ref="R291">INDEX('Mall Dataset'!$B$3:$B$157, MATCH(MIN(SQRT(('Mall Dataset'!$E$3:$E$157-'Resale flat dataset'!O291)^2+('Mall Dataset'!$F$3:$F$157-'Resale flat dataset'!P291)^2)), SQRT(('Mall Dataset'!$E$3:$E$157-'Resale flat dataset'!O291)^2+('Mall Dataset'!$F$3:$F$157-'Resale flat dataset'!P291)^2), 0))</f>
        <v>Vista Point</v>
      </c>
      <c r="S291" s="38" t="str" cm="1">
        <f t="array" ref="S291">INDEX('Schools dataset'!$B$3:$B$187, MATCH(MIN(SQRT(('Schools dataset'!$J$3:$J$187-'Resale flat dataset'!O291)^2+('Schools dataset'!$K$3:$K$187-'Resale flat dataset'!P291)^2)), SQRT(('Schools dataset'!$J$3:$J$187-'Resale flat dataset'!O291)^2+('Schools dataset'!$K$3:$K$187-'Resale flat dataset'!P291)^2), 0))</f>
        <v>INNOVA PRIMARY SCHOOL</v>
      </c>
      <c r="T291" s="39">
        <f>ACOS(COS(RADIANS(90-O291))*COS(RADIANS(90-_xlfn.XLOOKUP(Q291,'MRT station dataset'!$C$3:$C$179,'MRT station dataset'!$E$3:$E$179)))+SIN(RADIANS(90-O291))*SIN(RADIANS(90-_xlfn.XLOOKUP(Q291,'MRT station dataset'!$C$3:$C$179,'MRT station dataset'!$E$3:$E$179)))*COS(RADIANS(P291-_xlfn.XLOOKUP('Resale flat dataset'!Q291,'MRT station dataset'!$C$3:$C$179,'MRT station dataset'!$F$3:$F$179))))*6371*1000</f>
        <v>300.28983186981708</v>
      </c>
      <c r="U291" s="39">
        <f>ACOS(COS(RADIANS(90-O291))*COS(RADIANS(90-_xlfn.XLOOKUP(R291,'Mall Dataset'!$B$3:$B$157,'Mall Dataset'!$E$3:$E$157,,0)))+SIN(RADIANS(90-O291))*SIN(RADIANS(90-_xlfn.XLOOKUP(R291,'Mall Dataset'!$B$3:$B$157,'Mall Dataset'!$E$3:$E$157,,0)))*COS(RADIANS(P291-_xlfn.XLOOKUP(R291,'Mall Dataset'!$B$3:$B$157,'Mall Dataset'!$F$3:$F$157,,0))))*6371*1000</f>
        <v>211.61320684760088</v>
      </c>
      <c r="V291" s="39">
        <f>ACOS(COS(RADIANS(90-O291))*COS(RADIANS(90-_xlfn.XLOOKUP(S291,'Schools dataset'!$B$3:$B$187,'Schools dataset'!$J$3:$J$187,,0)))+SIN(RADIANS(90-O291))*SIN(RADIANS(90-_xlfn.XLOOKUP(S291,'Schools dataset'!$B$3:$B$187,'Schools dataset'!$J$3:$J$187,,0)))*COS(RADIANS(P291-_xlfn.XLOOKUP(S291,'Schools dataset'!$B$3:$B$187,'Schools dataset'!$K$3:$K$187,,0))))*6371*1000</f>
        <v>232.63446818432487</v>
      </c>
      <c r="W291" s="20">
        <f>_xlfn.XLOOKUP(T291,'HDB Recommender'!$P$10:$P$39,'HDB Recommender'!$Q$10:$Q$39,"&gt;30mins",1)</f>
        <v>5</v>
      </c>
      <c r="X291" s="20">
        <f>_xlfn.XLOOKUP(U291,'HDB Recommender'!$P$10:$P$39,'HDB Recommender'!$Q$10:$Q$39,"&gt;30mins",1)</f>
        <v>3</v>
      </c>
      <c r="Y291" s="20">
        <f>_xlfn.XLOOKUP(V291,'HDB Recommender'!$P$10:$P$39,'HDB Recommender'!$Q$10:$Q$39,"&gt;30mins",1)</f>
        <v>4</v>
      </c>
      <c r="Z291" s="39">
        <f t="shared" si="9"/>
        <v>4</v>
      </c>
      <c r="AA291" s="20" t="str">
        <f t="shared" si="8"/>
        <v>Within 1km</v>
      </c>
    </row>
    <row r="292" spans="2:27" hidden="1">
      <c r="B292" s="35" t="s">
        <v>317</v>
      </c>
      <c r="C292" s="35" t="s">
        <v>805</v>
      </c>
      <c r="D292" s="35" t="s">
        <v>20</v>
      </c>
      <c r="E292" s="35">
        <v>541</v>
      </c>
      <c r="F292" s="35" t="s">
        <v>822</v>
      </c>
      <c r="G292" s="35" t="s">
        <v>189</v>
      </c>
      <c r="H292" s="35">
        <v>101</v>
      </c>
      <c r="I292" s="35" t="s">
        <v>335</v>
      </c>
      <c r="J292" s="36">
        <v>2000</v>
      </c>
      <c r="K292" s="39">
        <v>75.6666666666666</v>
      </c>
      <c r="L292" s="37">
        <v>500000</v>
      </c>
      <c r="M292" s="35" t="s">
        <v>824</v>
      </c>
      <c r="N292" s="27">
        <v>730541</v>
      </c>
      <c r="O292" s="38">
        <v>1.4280190435087201</v>
      </c>
      <c r="P292" s="38">
        <v>103.793053953282</v>
      </c>
      <c r="Q292" s="38" t="str" cm="1">
        <f t="array" ref="Q292">INDEX('MRT station dataset'!$C$3:$C$179, MATCH(MIN(SQRT(('MRT station dataset'!$E$3:$E$179-'Resale flat dataset'!O292)^2+('MRT station dataset'!$F$3:$F$179-'Resale flat dataset'!P292)^2)), SQRT(('MRT station dataset'!$E$3:$E$179-'Resale flat dataset'!O292)^2+('MRT station dataset'!$F$3:$F$179-'Resale flat dataset'!P292)^2), 0))</f>
        <v>WOODLANDS SOUTH MRT STATION</v>
      </c>
      <c r="R292" s="38" t="str" cm="1">
        <f t="array" ref="R292">INDEX('Mall Dataset'!$B$3:$B$157, MATCH(MIN(SQRT(('Mall Dataset'!$E$3:$E$157-'Resale flat dataset'!O292)^2+('Mall Dataset'!$F$3:$F$157-'Resale flat dataset'!P292)^2)), SQRT(('Mall Dataset'!$E$3:$E$157-'Resale flat dataset'!O292)^2+('Mall Dataset'!$F$3:$F$157-'Resale flat dataset'!P292)^2), 0))</f>
        <v>Vista Point</v>
      </c>
      <c r="S292" s="38" t="str" cm="1">
        <f t="array" ref="S292">INDEX('Schools dataset'!$B$3:$B$187, MATCH(MIN(SQRT(('Schools dataset'!$J$3:$J$187-'Resale flat dataset'!O292)^2+('Schools dataset'!$K$3:$K$187-'Resale flat dataset'!P292)^2)), SQRT(('Schools dataset'!$J$3:$J$187-'Resale flat dataset'!O292)^2+('Schools dataset'!$K$3:$K$187-'Resale flat dataset'!P292)^2), 0))</f>
        <v>INNOVA PRIMARY SCHOOL</v>
      </c>
      <c r="T292" s="39">
        <f>ACOS(COS(RADIANS(90-O292))*COS(RADIANS(90-_xlfn.XLOOKUP(Q292,'MRT station dataset'!$C$3:$C$179,'MRT station dataset'!$E$3:$E$179)))+SIN(RADIANS(90-O292))*SIN(RADIANS(90-_xlfn.XLOOKUP(Q292,'MRT station dataset'!$C$3:$C$179,'MRT station dataset'!$E$3:$E$179)))*COS(RADIANS(P292-_xlfn.XLOOKUP('Resale flat dataset'!Q292,'MRT station dataset'!$C$3:$C$179,'MRT station dataset'!$F$3:$F$179))))*6371*1000</f>
        <v>123.44009348397145</v>
      </c>
      <c r="U292" s="39">
        <f>ACOS(COS(RADIANS(90-O292))*COS(RADIANS(90-_xlfn.XLOOKUP(R292,'Mall Dataset'!$B$3:$B$157,'Mall Dataset'!$E$3:$E$157,,0)))+SIN(RADIANS(90-O292))*SIN(RADIANS(90-_xlfn.XLOOKUP(R292,'Mall Dataset'!$B$3:$B$157,'Mall Dataset'!$E$3:$E$157,,0)))*COS(RADIANS(P292-_xlfn.XLOOKUP(R292,'Mall Dataset'!$B$3:$B$157,'Mall Dataset'!$F$3:$F$157,,0))))*6371*1000</f>
        <v>330.67430666440424</v>
      </c>
      <c r="V292" s="39">
        <f>ACOS(COS(RADIANS(90-O292))*COS(RADIANS(90-_xlfn.XLOOKUP(S292,'Schools dataset'!$B$3:$B$187,'Schools dataset'!$J$3:$J$187,,0)))+SIN(RADIANS(90-O292))*SIN(RADIANS(90-_xlfn.XLOOKUP(S292,'Schools dataset'!$B$3:$B$187,'Schools dataset'!$J$3:$J$187,,0)))*COS(RADIANS(P292-_xlfn.XLOOKUP(S292,'Schools dataset'!$B$3:$B$187,'Schools dataset'!$K$3:$K$187,,0))))*6371*1000</f>
        <v>291.65852532549263</v>
      </c>
      <c r="W292" s="20">
        <f>_xlfn.XLOOKUP(T292,'HDB Recommender'!$P$10:$P$39,'HDB Recommender'!$Q$10:$Q$39,"&gt;30mins",1)</f>
        <v>2</v>
      </c>
      <c r="X292" s="20">
        <f>_xlfn.XLOOKUP(U292,'HDB Recommender'!$P$10:$P$39,'HDB Recommender'!$Q$10:$Q$39,"&gt;30mins",1)</f>
        <v>5</v>
      </c>
      <c r="Y292" s="20">
        <f>_xlfn.XLOOKUP(V292,'HDB Recommender'!$P$10:$P$39,'HDB Recommender'!$Q$10:$Q$39,"&gt;30mins",1)</f>
        <v>4</v>
      </c>
      <c r="Z292" s="39">
        <f t="shared" si="9"/>
        <v>3.6666666666666665</v>
      </c>
      <c r="AA292" s="20" t="str">
        <f t="shared" si="8"/>
        <v>Within 1km</v>
      </c>
    </row>
    <row r="293" spans="2:27" hidden="1">
      <c r="B293" s="35" t="s">
        <v>317</v>
      </c>
      <c r="C293" s="35" t="s">
        <v>805</v>
      </c>
      <c r="D293" s="35" t="s">
        <v>20</v>
      </c>
      <c r="E293" s="35"/>
      <c r="F293" s="35" t="s">
        <v>825</v>
      </c>
      <c r="G293" s="35" t="s">
        <v>191</v>
      </c>
      <c r="H293" s="35">
        <v>92</v>
      </c>
      <c r="I293" s="35" t="s">
        <v>389</v>
      </c>
      <c r="J293" s="36">
        <v>2015</v>
      </c>
      <c r="K293" s="39">
        <v>90.5</v>
      </c>
      <c r="L293" s="37">
        <v>548000</v>
      </c>
      <c r="M293" s="35" t="s">
        <v>826</v>
      </c>
      <c r="N293" s="27">
        <v>732886</v>
      </c>
      <c r="O293" s="38">
        <v>1.4382580996932299</v>
      </c>
      <c r="P293" s="38">
        <v>103.79411548724801</v>
      </c>
      <c r="Q293" s="38" t="str" cm="1">
        <f t="array" ref="Q293">INDEX('MRT station dataset'!$C$3:$C$179, MATCH(MIN(SQRT(('MRT station dataset'!$E$3:$E$179-'Resale flat dataset'!O293)^2+('MRT station dataset'!$F$3:$F$179-'Resale flat dataset'!P293)^2)), SQRT(('MRT station dataset'!$E$3:$E$179-'Resale flat dataset'!O293)^2+('MRT station dataset'!$F$3:$F$179-'Resale flat dataset'!P293)^2), 0))</f>
        <v>ADMIRALTY MRT STATION</v>
      </c>
      <c r="R293" s="38" t="str" cm="1">
        <f t="array" ref="R293">INDEX('Mall Dataset'!$B$3:$B$157, MATCH(MIN(SQRT(('Mall Dataset'!$E$3:$E$157-'Resale flat dataset'!O293)^2+('Mall Dataset'!$F$3:$F$157-'Resale flat dataset'!P293)^2)), SQRT(('Mall Dataset'!$E$3:$E$157-'Resale flat dataset'!O293)^2+('Mall Dataset'!$F$3:$F$157-'Resale flat dataset'!P293)^2), 0))</f>
        <v>888 Plaza</v>
      </c>
      <c r="S293" s="38" t="str" cm="1">
        <f t="array" ref="S293">INDEX('Schools dataset'!$B$3:$B$187, MATCH(MIN(SQRT(('Schools dataset'!$J$3:$J$187-'Resale flat dataset'!O293)^2+('Schools dataset'!$K$3:$K$187-'Resale flat dataset'!P293)^2)), SQRT(('Schools dataset'!$J$3:$J$187-'Resale flat dataset'!O293)^2+('Schools dataset'!$K$3:$K$187-'Resale flat dataset'!P293)^2), 0))</f>
        <v>WOODLANDS PRIMARY SCHOOL</v>
      </c>
      <c r="T293" s="39">
        <f>ACOS(COS(RADIANS(90-O293))*COS(RADIANS(90-_xlfn.XLOOKUP(Q293,'MRT station dataset'!$C$3:$C$179,'MRT station dataset'!$E$3:$E$179)))+SIN(RADIANS(90-O293))*SIN(RADIANS(90-_xlfn.XLOOKUP(Q293,'MRT station dataset'!$C$3:$C$179,'MRT station dataset'!$E$3:$E$179)))*COS(RADIANS(P293-_xlfn.XLOOKUP('Resale flat dataset'!Q293,'MRT station dataset'!$C$3:$C$179,'MRT station dataset'!$F$3:$F$179))))*6371*1000</f>
        <v>808.3733881963966</v>
      </c>
      <c r="U293" s="39">
        <f>ACOS(COS(RADIANS(90-O293))*COS(RADIANS(90-_xlfn.XLOOKUP(R293,'Mall Dataset'!$B$3:$B$157,'Mall Dataset'!$E$3:$E$157,,0)))+SIN(RADIANS(90-O293))*SIN(RADIANS(90-_xlfn.XLOOKUP(R293,'Mall Dataset'!$B$3:$B$157,'Mall Dataset'!$E$3:$E$157,,0)))*COS(RADIANS(P293-_xlfn.XLOOKUP(R293,'Mall Dataset'!$B$3:$B$157,'Mall Dataset'!$F$3:$F$157,,0))))*6371*1000</f>
        <v>184.02768580235173</v>
      </c>
      <c r="V293" s="39">
        <f>ACOS(COS(RADIANS(90-O293))*COS(RADIANS(90-_xlfn.XLOOKUP(S293,'Schools dataset'!$B$3:$B$187,'Schools dataset'!$J$3:$J$187,,0)))+SIN(RADIANS(90-O293))*SIN(RADIANS(90-_xlfn.XLOOKUP(S293,'Schools dataset'!$B$3:$B$187,'Schools dataset'!$J$3:$J$187,,0)))*COS(RADIANS(P293-_xlfn.XLOOKUP(S293,'Schools dataset'!$B$3:$B$187,'Schools dataset'!$K$3:$K$187,,0))))*6371*1000</f>
        <v>340.67309122114818</v>
      </c>
      <c r="W293" s="20">
        <f>_xlfn.XLOOKUP(T293,'HDB Recommender'!$P$10:$P$39,'HDB Recommender'!$Q$10:$Q$39,"&gt;30mins",1)</f>
        <v>11</v>
      </c>
      <c r="X293" s="20">
        <f>_xlfn.XLOOKUP(U293,'HDB Recommender'!$P$10:$P$39,'HDB Recommender'!$Q$10:$Q$39,"&gt;30mins",1)</f>
        <v>3</v>
      </c>
      <c r="Y293" s="20">
        <f>_xlfn.XLOOKUP(V293,'HDB Recommender'!$P$10:$P$39,'HDB Recommender'!$Q$10:$Q$39,"&gt;30mins",1)</f>
        <v>5</v>
      </c>
      <c r="Z293" s="39">
        <f t="shared" si="9"/>
        <v>6.333333333333333</v>
      </c>
      <c r="AA293" s="20" t="str">
        <f t="shared" si="8"/>
        <v>Within 1km</v>
      </c>
    </row>
    <row r="294" spans="2:27" hidden="1">
      <c r="B294" s="35" t="s">
        <v>317</v>
      </c>
      <c r="C294" s="35" t="s">
        <v>805</v>
      </c>
      <c r="D294" s="35" t="s">
        <v>20</v>
      </c>
      <c r="E294" s="35"/>
      <c r="F294" s="35" t="s">
        <v>825</v>
      </c>
      <c r="G294" s="35" t="s">
        <v>189</v>
      </c>
      <c r="H294" s="35">
        <v>100</v>
      </c>
      <c r="I294" s="35" t="s">
        <v>335</v>
      </c>
      <c r="J294" s="36">
        <v>1997</v>
      </c>
      <c r="K294" s="39">
        <v>72.8333333333333</v>
      </c>
      <c r="L294" s="37">
        <v>474000</v>
      </c>
      <c r="M294" s="35" t="s">
        <v>827</v>
      </c>
      <c r="N294" s="27">
        <v>732897</v>
      </c>
      <c r="O294" s="38">
        <v>1.4357439573906301</v>
      </c>
      <c r="P294" s="38">
        <v>103.794134055957</v>
      </c>
      <c r="Q294" s="38" t="str" cm="1">
        <f t="array" ref="Q294">INDEX('MRT station dataset'!$C$3:$C$179, MATCH(MIN(SQRT(('MRT station dataset'!$E$3:$E$179-'Resale flat dataset'!O294)^2+('MRT station dataset'!$F$3:$F$179-'Resale flat dataset'!P294)^2)), SQRT(('MRT station dataset'!$E$3:$E$179-'Resale flat dataset'!O294)^2+('MRT station dataset'!$F$3:$F$179-'Resale flat dataset'!P294)^2), 0))</f>
        <v>WOODLANDS MRT STATION</v>
      </c>
      <c r="R294" s="38" t="str" cm="1">
        <f t="array" ref="R294">INDEX('Mall Dataset'!$B$3:$B$157, MATCH(MIN(SQRT(('Mall Dataset'!$E$3:$E$157-'Resale flat dataset'!O294)^2+('Mall Dataset'!$F$3:$F$157-'Resale flat dataset'!P294)^2)), SQRT(('Mall Dataset'!$E$3:$E$157-'Resale flat dataset'!O294)^2+('Mall Dataset'!$F$3:$F$157-'Resale flat dataset'!P294)^2), 0))</f>
        <v>888 Plaza</v>
      </c>
      <c r="S294" s="38" t="str" cm="1">
        <f t="array" ref="S294">INDEX('Schools dataset'!$B$3:$B$187, MATCH(MIN(SQRT(('Schools dataset'!$J$3:$J$187-'Resale flat dataset'!O294)^2+('Schools dataset'!$K$3:$K$187-'Resale flat dataset'!P294)^2)), SQRT(('Schools dataset'!$J$3:$J$187-'Resale flat dataset'!O294)^2+('Schools dataset'!$K$3:$K$187-'Resale flat dataset'!P294)^2), 0))</f>
        <v>WOODLANDS PRIMARY SCHOOL</v>
      </c>
      <c r="T294" s="39">
        <f>ACOS(COS(RADIANS(90-O294))*COS(RADIANS(90-_xlfn.XLOOKUP(Q294,'MRT station dataset'!$C$3:$C$179,'MRT station dataset'!$E$3:$E$179)))+SIN(RADIANS(90-O294))*SIN(RADIANS(90-_xlfn.XLOOKUP(Q294,'MRT station dataset'!$C$3:$C$179,'MRT station dataset'!$E$3:$E$179)))*COS(RADIANS(P294-_xlfn.XLOOKUP('Resale flat dataset'!Q294,'MRT station dataset'!$C$3:$C$179,'MRT station dataset'!$F$3:$F$179))))*6371*1000</f>
        <v>858.28243372169459</v>
      </c>
      <c r="U294" s="39">
        <f>ACOS(COS(RADIANS(90-O294))*COS(RADIANS(90-_xlfn.XLOOKUP(R294,'Mall Dataset'!$B$3:$B$157,'Mall Dataset'!$E$3:$E$157,,0)))+SIN(RADIANS(90-O294))*SIN(RADIANS(90-_xlfn.XLOOKUP(R294,'Mall Dataset'!$B$3:$B$157,'Mall Dataset'!$E$3:$E$157,,0)))*COS(RADIANS(P294-_xlfn.XLOOKUP(R294,'Mall Dataset'!$B$3:$B$157,'Mall Dataset'!$F$3:$F$157,,0))))*6371*1000</f>
        <v>201.56060525431107</v>
      </c>
      <c r="V294" s="39">
        <f>ACOS(COS(RADIANS(90-O294))*COS(RADIANS(90-_xlfn.XLOOKUP(S294,'Schools dataset'!$B$3:$B$187,'Schools dataset'!$J$3:$J$187,,0)))+SIN(RADIANS(90-O294))*SIN(RADIANS(90-_xlfn.XLOOKUP(S294,'Schools dataset'!$B$3:$B$187,'Schools dataset'!$J$3:$J$187,,0)))*COS(RADIANS(P294-_xlfn.XLOOKUP(S294,'Schools dataset'!$B$3:$B$187,'Schools dataset'!$K$3:$K$187,,0))))*6371*1000</f>
        <v>298.75884869424141</v>
      </c>
      <c r="W294" s="20">
        <f>_xlfn.XLOOKUP(T294,'HDB Recommender'!$P$10:$P$39,'HDB Recommender'!$Q$10:$Q$39,"&gt;30mins",1)</f>
        <v>12</v>
      </c>
      <c r="X294" s="20">
        <f>_xlfn.XLOOKUP(U294,'HDB Recommender'!$P$10:$P$39,'HDB Recommender'!$Q$10:$Q$39,"&gt;30mins",1)</f>
        <v>3</v>
      </c>
      <c r="Y294" s="20">
        <f>_xlfn.XLOOKUP(V294,'HDB Recommender'!$P$10:$P$39,'HDB Recommender'!$Q$10:$Q$39,"&gt;30mins",1)</f>
        <v>4</v>
      </c>
      <c r="Z294" s="39">
        <f t="shared" si="9"/>
        <v>6.333333333333333</v>
      </c>
      <c r="AA294" s="20" t="str">
        <f t="shared" si="8"/>
        <v>Within 1km</v>
      </c>
    </row>
    <row r="295" spans="2:27" hidden="1">
      <c r="B295" s="35" t="s">
        <v>317</v>
      </c>
      <c r="C295" s="35" t="s">
        <v>805</v>
      </c>
      <c r="D295" s="35" t="s">
        <v>20</v>
      </c>
      <c r="E295" s="35"/>
      <c r="F295" s="35" t="s">
        <v>825</v>
      </c>
      <c r="G295" s="35" t="s">
        <v>184</v>
      </c>
      <c r="H295" s="35">
        <v>100</v>
      </c>
      <c r="I295" s="35" t="s">
        <v>335</v>
      </c>
      <c r="J295" s="36">
        <v>1997</v>
      </c>
      <c r="K295" s="39">
        <v>72.8333333333333</v>
      </c>
      <c r="L295" s="37">
        <v>495000</v>
      </c>
      <c r="M295" s="35" t="s">
        <v>827</v>
      </c>
      <c r="N295" s="27">
        <v>732897</v>
      </c>
      <c r="O295" s="38">
        <v>1.4357439573906301</v>
      </c>
      <c r="P295" s="38">
        <v>103.794134055957</v>
      </c>
      <c r="Q295" s="38" t="str" cm="1">
        <f t="array" ref="Q295">INDEX('MRT station dataset'!$C$3:$C$179, MATCH(MIN(SQRT(('MRT station dataset'!$E$3:$E$179-'Resale flat dataset'!O295)^2+('MRT station dataset'!$F$3:$F$179-'Resale flat dataset'!P295)^2)), SQRT(('MRT station dataset'!$E$3:$E$179-'Resale flat dataset'!O295)^2+('MRT station dataset'!$F$3:$F$179-'Resale flat dataset'!P295)^2), 0))</f>
        <v>WOODLANDS MRT STATION</v>
      </c>
      <c r="R295" s="38" t="str" cm="1">
        <f t="array" ref="R295">INDEX('Mall Dataset'!$B$3:$B$157, MATCH(MIN(SQRT(('Mall Dataset'!$E$3:$E$157-'Resale flat dataset'!O295)^2+('Mall Dataset'!$F$3:$F$157-'Resale flat dataset'!P295)^2)), SQRT(('Mall Dataset'!$E$3:$E$157-'Resale flat dataset'!O295)^2+('Mall Dataset'!$F$3:$F$157-'Resale flat dataset'!P295)^2), 0))</f>
        <v>888 Plaza</v>
      </c>
      <c r="S295" s="38" t="str" cm="1">
        <f t="array" ref="S295">INDEX('Schools dataset'!$B$3:$B$187, MATCH(MIN(SQRT(('Schools dataset'!$J$3:$J$187-'Resale flat dataset'!O295)^2+('Schools dataset'!$K$3:$K$187-'Resale flat dataset'!P295)^2)), SQRT(('Schools dataset'!$J$3:$J$187-'Resale flat dataset'!O295)^2+('Schools dataset'!$K$3:$K$187-'Resale flat dataset'!P295)^2), 0))</f>
        <v>WOODLANDS PRIMARY SCHOOL</v>
      </c>
      <c r="T295" s="39">
        <f>ACOS(COS(RADIANS(90-O295))*COS(RADIANS(90-_xlfn.XLOOKUP(Q295,'MRT station dataset'!$C$3:$C$179,'MRT station dataset'!$E$3:$E$179)))+SIN(RADIANS(90-O295))*SIN(RADIANS(90-_xlfn.XLOOKUP(Q295,'MRT station dataset'!$C$3:$C$179,'MRT station dataset'!$E$3:$E$179)))*COS(RADIANS(P295-_xlfn.XLOOKUP('Resale flat dataset'!Q295,'MRT station dataset'!$C$3:$C$179,'MRT station dataset'!$F$3:$F$179))))*6371*1000</f>
        <v>858.28243372169459</v>
      </c>
      <c r="U295" s="39">
        <f>ACOS(COS(RADIANS(90-O295))*COS(RADIANS(90-_xlfn.XLOOKUP(R295,'Mall Dataset'!$B$3:$B$157,'Mall Dataset'!$E$3:$E$157,,0)))+SIN(RADIANS(90-O295))*SIN(RADIANS(90-_xlfn.XLOOKUP(R295,'Mall Dataset'!$B$3:$B$157,'Mall Dataset'!$E$3:$E$157,,0)))*COS(RADIANS(P295-_xlfn.XLOOKUP(R295,'Mall Dataset'!$B$3:$B$157,'Mall Dataset'!$F$3:$F$157,,0))))*6371*1000</f>
        <v>201.56060525431107</v>
      </c>
      <c r="V295" s="39">
        <f>ACOS(COS(RADIANS(90-O295))*COS(RADIANS(90-_xlfn.XLOOKUP(S295,'Schools dataset'!$B$3:$B$187,'Schools dataset'!$J$3:$J$187,,0)))+SIN(RADIANS(90-O295))*SIN(RADIANS(90-_xlfn.XLOOKUP(S295,'Schools dataset'!$B$3:$B$187,'Schools dataset'!$J$3:$J$187,,0)))*COS(RADIANS(P295-_xlfn.XLOOKUP(S295,'Schools dataset'!$B$3:$B$187,'Schools dataset'!$K$3:$K$187,,0))))*6371*1000</f>
        <v>298.75884869424141</v>
      </c>
      <c r="W295" s="20">
        <f>_xlfn.XLOOKUP(T295,'HDB Recommender'!$P$10:$P$39,'HDB Recommender'!$Q$10:$Q$39,"&gt;30mins",1)</f>
        <v>12</v>
      </c>
      <c r="X295" s="20">
        <f>_xlfn.XLOOKUP(U295,'HDB Recommender'!$P$10:$P$39,'HDB Recommender'!$Q$10:$Q$39,"&gt;30mins",1)</f>
        <v>3</v>
      </c>
      <c r="Y295" s="20">
        <f>_xlfn.XLOOKUP(V295,'HDB Recommender'!$P$10:$P$39,'HDB Recommender'!$Q$10:$Q$39,"&gt;30mins",1)</f>
        <v>4</v>
      </c>
      <c r="Z295" s="39">
        <f t="shared" si="9"/>
        <v>6.333333333333333</v>
      </c>
      <c r="AA295" s="20" t="str">
        <f t="shared" si="8"/>
        <v>Within 1km</v>
      </c>
    </row>
    <row r="296" spans="2:27" hidden="1">
      <c r="B296" s="35" t="s">
        <v>317</v>
      </c>
      <c r="C296" s="35" t="s">
        <v>805</v>
      </c>
      <c r="D296" s="35" t="s">
        <v>20</v>
      </c>
      <c r="E296" s="35"/>
      <c r="F296" s="35" t="s">
        <v>825</v>
      </c>
      <c r="G296" s="35" t="s">
        <v>349</v>
      </c>
      <c r="H296" s="35">
        <v>99</v>
      </c>
      <c r="I296" s="35" t="s">
        <v>335</v>
      </c>
      <c r="J296" s="36">
        <v>1997</v>
      </c>
      <c r="K296" s="39">
        <v>73</v>
      </c>
      <c r="L296" s="37">
        <v>475000</v>
      </c>
      <c r="M296" s="35" t="s">
        <v>828</v>
      </c>
      <c r="N296" s="27">
        <v>730899</v>
      </c>
      <c r="O296" s="38">
        <v>1.43580504809942</v>
      </c>
      <c r="P296" s="38">
        <v>103.795253987843</v>
      </c>
      <c r="Q296" s="38" t="str" cm="1">
        <f t="array" ref="Q296">INDEX('MRT station dataset'!$C$3:$C$179, MATCH(MIN(SQRT(('MRT station dataset'!$E$3:$E$179-'Resale flat dataset'!O296)^2+('MRT station dataset'!$F$3:$F$179-'Resale flat dataset'!P296)^2)), SQRT(('MRT station dataset'!$E$3:$E$179-'Resale flat dataset'!O296)^2+('MRT station dataset'!$F$3:$F$179-'Resale flat dataset'!P296)^2), 0))</f>
        <v>ADMIRALTY MRT STATION</v>
      </c>
      <c r="R296" s="38" t="str" cm="1">
        <f t="array" ref="R296">INDEX('Mall Dataset'!$B$3:$B$157, MATCH(MIN(SQRT(('Mall Dataset'!$E$3:$E$157-'Resale flat dataset'!O296)^2+('Mall Dataset'!$F$3:$F$157-'Resale flat dataset'!P296)^2)), SQRT(('Mall Dataset'!$E$3:$E$157-'Resale flat dataset'!O296)^2+('Mall Dataset'!$F$3:$F$157-'Resale flat dataset'!P296)^2), 0))</f>
        <v>888 Plaza</v>
      </c>
      <c r="S296" s="38" t="str" cm="1">
        <f t="array" ref="S296">INDEX('Schools dataset'!$B$3:$B$187, MATCH(MIN(SQRT(('Schools dataset'!$J$3:$J$187-'Resale flat dataset'!O296)^2+('Schools dataset'!$K$3:$K$187-'Resale flat dataset'!P296)^2)), SQRT(('Schools dataset'!$J$3:$J$187-'Resale flat dataset'!O296)^2+('Schools dataset'!$K$3:$K$187-'Resale flat dataset'!P296)^2), 0))</f>
        <v>WOODLANDS RING PRIMARY SCHOOL</v>
      </c>
      <c r="T296" s="39">
        <f>ACOS(COS(RADIANS(90-O296))*COS(RADIANS(90-_xlfn.XLOOKUP(Q296,'MRT station dataset'!$C$3:$C$179,'MRT station dataset'!$E$3:$E$179)))+SIN(RADIANS(90-O296))*SIN(RADIANS(90-_xlfn.XLOOKUP(Q296,'MRT station dataset'!$C$3:$C$179,'MRT station dataset'!$E$3:$E$179)))*COS(RADIANS(P296-_xlfn.XLOOKUP('Resale flat dataset'!Q296,'MRT station dataset'!$C$3:$C$179,'MRT station dataset'!$F$3:$F$179))))*6371*1000</f>
        <v>832.01317402945983</v>
      </c>
      <c r="U296" s="39">
        <f>ACOS(COS(RADIANS(90-O296))*COS(RADIANS(90-_xlfn.XLOOKUP(R296,'Mall Dataset'!$B$3:$B$157,'Mall Dataset'!$E$3:$E$157,,0)))+SIN(RADIANS(90-O296))*SIN(RADIANS(90-_xlfn.XLOOKUP(R296,'Mall Dataset'!$B$3:$B$157,'Mall Dataset'!$E$3:$E$157,,0)))*COS(RADIANS(P296-_xlfn.XLOOKUP(R296,'Mall Dataset'!$B$3:$B$157,'Mall Dataset'!$F$3:$F$157,,0))))*6371*1000</f>
        <v>146.21888240879866</v>
      </c>
      <c r="V296" s="39">
        <f>ACOS(COS(RADIANS(90-O296))*COS(RADIANS(90-_xlfn.XLOOKUP(S296,'Schools dataset'!$B$3:$B$187,'Schools dataset'!$J$3:$J$187,,0)))+SIN(RADIANS(90-O296))*SIN(RADIANS(90-_xlfn.XLOOKUP(S296,'Schools dataset'!$B$3:$B$187,'Schools dataset'!$J$3:$J$187,,0)))*COS(RADIANS(P296-_xlfn.XLOOKUP(S296,'Schools dataset'!$B$3:$B$187,'Schools dataset'!$K$3:$K$187,,0))))*6371*1000</f>
        <v>262.49781562128339</v>
      </c>
      <c r="W296" s="20">
        <f>_xlfn.XLOOKUP(T296,'HDB Recommender'!$P$10:$P$39,'HDB Recommender'!$Q$10:$Q$39,"&gt;30mins",1)</f>
        <v>12</v>
      </c>
      <c r="X296" s="20">
        <f>_xlfn.XLOOKUP(U296,'HDB Recommender'!$P$10:$P$39,'HDB Recommender'!$Q$10:$Q$39,"&gt;30mins",1)</f>
        <v>2</v>
      </c>
      <c r="Y296" s="20">
        <f>_xlfn.XLOOKUP(V296,'HDB Recommender'!$P$10:$P$39,'HDB Recommender'!$Q$10:$Q$39,"&gt;30mins",1)</f>
        <v>4</v>
      </c>
      <c r="Z296" s="39">
        <f t="shared" si="9"/>
        <v>6</v>
      </c>
      <c r="AA296" s="20" t="str">
        <f t="shared" si="8"/>
        <v>Within 1km</v>
      </c>
    </row>
    <row r="297" spans="2:27" hidden="1">
      <c r="B297" s="35" t="s">
        <v>317</v>
      </c>
      <c r="C297" s="35" t="s">
        <v>805</v>
      </c>
      <c r="D297" s="35" t="s">
        <v>20</v>
      </c>
      <c r="E297" s="35"/>
      <c r="F297" s="35" t="s">
        <v>829</v>
      </c>
      <c r="G297" s="35" t="s">
        <v>323</v>
      </c>
      <c r="H297" s="35">
        <v>91</v>
      </c>
      <c r="I297" s="35" t="s">
        <v>713</v>
      </c>
      <c r="J297" s="36">
        <v>1997</v>
      </c>
      <c r="K297" s="39">
        <v>72.9166666666666</v>
      </c>
      <c r="L297" s="37">
        <v>487000</v>
      </c>
      <c r="M297" s="35" t="s">
        <v>830</v>
      </c>
      <c r="N297" s="27">
        <v>732786</v>
      </c>
      <c r="O297" s="38">
        <v>1.4456879899150099</v>
      </c>
      <c r="P297" s="38">
        <v>103.80069395076001</v>
      </c>
      <c r="Q297" s="38" t="str" cm="1">
        <f t="array" ref="Q297">INDEX('MRT station dataset'!$C$3:$C$179, MATCH(MIN(SQRT(('MRT station dataset'!$E$3:$E$179-'Resale flat dataset'!O297)^2+('MRT station dataset'!$F$3:$F$179-'Resale flat dataset'!P297)^2)), SQRT(('MRT station dataset'!$E$3:$E$179-'Resale flat dataset'!O297)^2+('MRT station dataset'!$F$3:$F$179-'Resale flat dataset'!P297)^2), 0))</f>
        <v>ADMIRALTY MRT STATION</v>
      </c>
      <c r="R297" s="38" t="str" cm="1">
        <f t="array" ref="R297">INDEX('Mall Dataset'!$B$3:$B$157, MATCH(MIN(SQRT(('Mall Dataset'!$E$3:$E$157-'Resale flat dataset'!O297)^2+('Mall Dataset'!$F$3:$F$157-'Resale flat dataset'!P297)^2)), SQRT(('Mall Dataset'!$E$3:$E$157-'Resale flat dataset'!O297)^2+('Mall Dataset'!$F$3:$F$157-'Resale flat dataset'!P297)^2), 0))</f>
        <v>Woodlands Mart</v>
      </c>
      <c r="S297" s="38" t="str" cm="1">
        <f t="array" ref="S297">INDEX('Schools dataset'!$B$3:$B$187, MATCH(MIN(SQRT(('Schools dataset'!$J$3:$J$187-'Resale flat dataset'!O297)^2+('Schools dataset'!$K$3:$K$187-'Resale flat dataset'!P297)^2)), SQRT(('Schools dataset'!$J$3:$J$187-'Resale flat dataset'!O297)^2+('Schools dataset'!$K$3:$K$187-'Resale flat dataset'!P297)^2), 0))</f>
        <v>RIVERSIDE PRIMARY SCHOOL</v>
      </c>
      <c r="T297" s="39">
        <f>ACOS(COS(RADIANS(90-O297))*COS(RADIANS(90-_xlfn.XLOOKUP(Q297,'MRT station dataset'!$C$3:$C$179,'MRT station dataset'!$E$3:$E$179)))+SIN(RADIANS(90-O297))*SIN(RADIANS(90-_xlfn.XLOOKUP(Q297,'MRT station dataset'!$C$3:$C$179,'MRT station dataset'!$E$3:$E$179)))*COS(RADIANS(P297-_xlfn.XLOOKUP('Resale flat dataset'!Q297,'MRT station dataset'!$C$3:$C$179,'MRT station dataset'!$F$3:$F$179))))*6371*1000</f>
        <v>566.78059292768967</v>
      </c>
      <c r="U297" s="39">
        <f>ACOS(COS(RADIANS(90-O297))*COS(RADIANS(90-_xlfn.XLOOKUP(R297,'Mall Dataset'!$B$3:$B$157,'Mall Dataset'!$E$3:$E$157,,0)))+SIN(RADIANS(90-O297))*SIN(RADIANS(90-_xlfn.XLOOKUP(R297,'Mall Dataset'!$B$3:$B$157,'Mall Dataset'!$E$3:$E$157,,0)))*COS(RADIANS(P297-_xlfn.XLOOKUP(R297,'Mall Dataset'!$B$3:$B$157,'Mall Dataset'!$F$3:$F$157,,0))))*6371*1000</f>
        <v>281.45403602258546</v>
      </c>
      <c r="V297" s="39">
        <f>ACOS(COS(RADIANS(90-O297))*COS(RADIANS(90-_xlfn.XLOOKUP(S297,'Schools dataset'!$B$3:$B$187,'Schools dataset'!$J$3:$J$187,,0)))+SIN(RADIANS(90-O297))*SIN(RADIANS(90-_xlfn.XLOOKUP(S297,'Schools dataset'!$B$3:$B$187,'Schools dataset'!$J$3:$J$187,,0)))*COS(RADIANS(P297-_xlfn.XLOOKUP(S297,'Schools dataset'!$B$3:$B$187,'Schools dataset'!$K$3:$K$187,,0))))*6371*1000</f>
        <v>277.92429684027132</v>
      </c>
      <c r="W297" s="20">
        <f>_xlfn.XLOOKUP(T297,'HDB Recommender'!$P$10:$P$39,'HDB Recommender'!$Q$10:$Q$39,"&gt;30mins",1)</f>
        <v>8</v>
      </c>
      <c r="X297" s="20">
        <f>_xlfn.XLOOKUP(U297,'HDB Recommender'!$P$10:$P$39,'HDB Recommender'!$Q$10:$Q$39,"&gt;30mins",1)</f>
        <v>4</v>
      </c>
      <c r="Y297" s="20">
        <f>_xlfn.XLOOKUP(V297,'HDB Recommender'!$P$10:$P$39,'HDB Recommender'!$Q$10:$Q$39,"&gt;30mins",1)</f>
        <v>4</v>
      </c>
      <c r="Z297" s="39">
        <f t="shared" si="9"/>
        <v>5.333333333333333</v>
      </c>
      <c r="AA297" s="20" t="str">
        <f t="shared" si="8"/>
        <v>Within 1km</v>
      </c>
    </row>
    <row r="298" spans="2:27" hidden="1">
      <c r="B298" s="35" t="s">
        <v>317</v>
      </c>
      <c r="C298" s="35" t="s">
        <v>805</v>
      </c>
      <c r="D298" s="35" t="s">
        <v>20</v>
      </c>
      <c r="E298" s="35">
        <v>769</v>
      </c>
      <c r="F298" s="35" t="s">
        <v>829</v>
      </c>
      <c r="G298" s="35" t="s">
        <v>323</v>
      </c>
      <c r="H298" s="35">
        <v>101</v>
      </c>
      <c r="I298" s="35" t="s">
        <v>335</v>
      </c>
      <c r="J298" s="36">
        <v>1997</v>
      </c>
      <c r="K298" s="39">
        <v>73.25</v>
      </c>
      <c r="L298" s="37">
        <v>495000</v>
      </c>
      <c r="M298" s="35" t="s">
        <v>831</v>
      </c>
      <c r="N298" s="27">
        <v>730769</v>
      </c>
      <c r="O298" s="38">
        <v>1.4472907067512399</v>
      </c>
      <c r="P298" s="38">
        <v>103.798950715823</v>
      </c>
      <c r="Q298" s="38" t="str" cm="1">
        <f t="array" ref="Q298">INDEX('MRT station dataset'!$C$3:$C$179, MATCH(MIN(SQRT(('MRT station dataset'!$E$3:$E$179-'Resale flat dataset'!O298)^2+('MRT station dataset'!$F$3:$F$179-'Resale flat dataset'!P298)^2)), SQRT(('MRT station dataset'!$E$3:$E$179-'Resale flat dataset'!O298)^2+('MRT station dataset'!$F$3:$F$179-'Resale flat dataset'!P298)^2), 0))</f>
        <v>ADMIRALTY MRT STATION</v>
      </c>
      <c r="R298" s="38" t="str" cm="1">
        <f t="array" ref="R298">INDEX('Mall Dataset'!$B$3:$B$157, MATCH(MIN(SQRT(('Mall Dataset'!$E$3:$E$157-'Resale flat dataset'!O298)^2+('Mall Dataset'!$F$3:$F$157-'Resale flat dataset'!P298)^2)), SQRT(('Mall Dataset'!$E$3:$E$157-'Resale flat dataset'!O298)^2+('Mall Dataset'!$F$3:$F$157-'Resale flat dataset'!P298)^2), 0))</f>
        <v>Woodlands Mart</v>
      </c>
      <c r="S298" s="38" t="str" cm="1">
        <f t="array" ref="S298">INDEX('Schools dataset'!$B$3:$B$187, MATCH(MIN(SQRT(('Schools dataset'!$J$3:$J$187-'Resale flat dataset'!O298)^2+('Schools dataset'!$K$3:$K$187-'Resale flat dataset'!P298)^2)), SQRT(('Schools dataset'!$J$3:$J$187-'Resale flat dataset'!O298)^2+('Schools dataset'!$K$3:$K$187-'Resale flat dataset'!P298)^2), 0))</f>
        <v>RIVERSIDE PRIMARY SCHOOL</v>
      </c>
      <c r="T298" s="39">
        <f>ACOS(COS(RADIANS(90-O298))*COS(RADIANS(90-_xlfn.XLOOKUP(Q298,'MRT station dataset'!$C$3:$C$179,'MRT station dataset'!$E$3:$E$179)))+SIN(RADIANS(90-O298))*SIN(RADIANS(90-_xlfn.XLOOKUP(Q298,'MRT station dataset'!$C$3:$C$179,'MRT station dataset'!$E$3:$E$179)))*COS(RADIANS(P298-_xlfn.XLOOKUP('Resale flat dataset'!Q298,'MRT station dataset'!$C$3:$C$179,'MRT station dataset'!$F$3:$F$179))))*6371*1000</f>
        <v>778.0662406384082</v>
      </c>
      <c r="U298" s="39">
        <f>ACOS(COS(RADIANS(90-O298))*COS(RADIANS(90-_xlfn.XLOOKUP(R298,'Mall Dataset'!$B$3:$B$157,'Mall Dataset'!$E$3:$E$157,,0)))+SIN(RADIANS(90-O298))*SIN(RADIANS(90-_xlfn.XLOOKUP(R298,'Mall Dataset'!$B$3:$B$157,'Mall Dataset'!$E$3:$E$157,,0)))*COS(RADIANS(P298-_xlfn.XLOOKUP(R298,'Mall Dataset'!$B$3:$B$157,'Mall Dataset'!$F$3:$F$157,,0))))*6371*1000</f>
        <v>202.61103214146337</v>
      </c>
      <c r="V298" s="39">
        <f>ACOS(COS(RADIANS(90-O298))*COS(RADIANS(90-_xlfn.XLOOKUP(S298,'Schools dataset'!$B$3:$B$187,'Schools dataset'!$J$3:$J$187,,0)))+SIN(RADIANS(90-O298))*SIN(RADIANS(90-_xlfn.XLOOKUP(S298,'Schools dataset'!$B$3:$B$187,'Schools dataset'!$J$3:$J$187,,0)))*COS(RADIANS(P298-_xlfn.XLOOKUP(S298,'Schools dataset'!$B$3:$B$187,'Schools dataset'!$K$3:$K$187,,0))))*6371*1000</f>
        <v>341.68731776246352</v>
      </c>
      <c r="W298" s="20">
        <f>_xlfn.XLOOKUP(T298,'HDB Recommender'!$P$10:$P$39,'HDB Recommender'!$Q$10:$Q$39,"&gt;30mins",1)</f>
        <v>11</v>
      </c>
      <c r="X298" s="20">
        <f>_xlfn.XLOOKUP(U298,'HDB Recommender'!$P$10:$P$39,'HDB Recommender'!$Q$10:$Q$39,"&gt;30mins",1)</f>
        <v>3</v>
      </c>
      <c r="Y298" s="20">
        <f>_xlfn.XLOOKUP(V298,'HDB Recommender'!$P$10:$P$39,'HDB Recommender'!$Q$10:$Q$39,"&gt;30mins",1)</f>
        <v>5</v>
      </c>
      <c r="Z298" s="39">
        <f t="shared" si="9"/>
        <v>6.333333333333333</v>
      </c>
      <c r="AA298" s="20" t="str">
        <f t="shared" si="8"/>
        <v>Within 1km</v>
      </c>
    </row>
    <row r="299" spans="2:27" hidden="1">
      <c r="B299" s="35" t="s">
        <v>317</v>
      </c>
      <c r="C299" s="35" t="s">
        <v>805</v>
      </c>
      <c r="D299" s="35" t="s">
        <v>20</v>
      </c>
      <c r="E299" s="35"/>
      <c r="F299" s="35" t="s">
        <v>832</v>
      </c>
      <c r="G299" s="35" t="s">
        <v>189</v>
      </c>
      <c r="H299" s="35">
        <v>93</v>
      </c>
      <c r="I299" s="35" t="s">
        <v>335</v>
      </c>
      <c r="J299" s="36">
        <v>2018</v>
      </c>
      <c r="K299" s="39">
        <v>93.8333333333333</v>
      </c>
      <c r="L299" s="37">
        <v>538000</v>
      </c>
      <c r="M299" s="35" t="s">
        <v>833</v>
      </c>
      <c r="N299" s="27">
        <v>733783</v>
      </c>
      <c r="O299" s="38">
        <v>1.4466076324122199</v>
      </c>
      <c r="P299" s="38">
        <v>103.80360504629699</v>
      </c>
      <c r="Q299" s="38" t="str" cm="1">
        <f t="array" ref="Q299">INDEX('MRT station dataset'!$C$3:$C$179, MATCH(MIN(SQRT(('MRT station dataset'!$E$3:$E$179-'Resale flat dataset'!O299)^2+('MRT station dataset'!$F$3:$F$179-'Resale flat dataset'!P299)^2)), SQRT(('MRT station dataset'!$E$3:$E$179-'Resale flat dataset'!O299)^2+('MRT station dataset'!$F$3:$F$179-'Resale flat dataset'!P299)^2), 0))</f>
        <v>ADMIRALTY MRT STATION</v>
      </c>
      <c r="R299" s="38" t="str" cm="1">
        <f t="array" ref="R299">INDEX('Mall Dataset'!$B$3:$B$157, MATCH(MIN(SQRT(('Mall Dataset'!$E$3:$E$157-'Resale flat dataset'!O299)^2+('Mall Dataset'!$F$3:$F$157-'Resale flat dataset'!P299)^2)), SQRT(('Mall Dataset'!$E$3:$E$157-'Resale flat dataset'!O299)^2+('Mall Dataset'!$F$3:$F$157-'Resale flat dataset'!P299)^2), 0))</f>
        <v>Woodlands Mart</v>
      </c>
      <c r="S299" s="38" t="str" cm="1">
        <f t="array" ref="S299">INDEX('Schools dataset'!$B$3:$B$187, MATCH(MIN(SQRT(('Schools dataset'!$J$3:$J$187-'Resale flat dataset'!O299)^2+('Schools dataset'!$K$3:$K$187-'Resale flat dataset'!P299)^2)), SQRT(('Schools dataset'!$J$3:$J$187-'Resale flat dataset'!O299)^2+('Schools dataset'!$K$3:$K$187-'Resale flat dataset'!P299)^2), 0))</f>
        <v>RIVERSIDE PRIMARY SCHOOL</v>
      </c>
      <c r="T299" s="39">
        <f>ACOS(COS(RADIANS(90-O299))*COS(RADIANS(90-_xlfn.XLOOKUP(Q299,'MRT station dataset'!$C$3:$C$179,'MRT station dataset'!$E$3:$E$179)))+SIN(RADIANS(90-O299))*SIN(RADIANS(90-_xlfn.XLOOKUP(Q299,'MRT station dataset'!$C$3:$C$179,'MRT station dataset'!$E$3:$E$179)))*COS(RADIANS(P299-_xlfn.XLOOKUP('Resale flat dataset'!Q299,'MRT station dataset'!$C$3:$C$179,'MRT station dataset'!$F$3:$F$179))))*6371*1000</f>
        <v>728.08147865065018</v>
      </c>
      <c r="U299" s="39">
        <f>ACOS(COS(RADIANS(90-O299))*COS(RADIANS(90-_xlfn.XLOOKUP(R299,'Mall Dataset'!$B$3:$B$157,'Mall Dataset'!$E$3:$E$157,,0)))+SIN(RADIANS(90-O299))*SIN(RADIANS(90-_xlfn.XLOOKUP(R299,'Mall Dataset'!$B$3:$B$157,'Mall Dataset'!$E$3:$E$157,,0)))*COS(RADIANS(P299-_xlfn.XLOOKUP(R299,'Mall Dataset'!$B$3:$B$157,'Mall Dataset'!$F$3:$F$157,,0))))*6371*1000</f>
        <v>614.35492827128371</v>
      </c>
      <c r="V299" s="39">
        <f>ACOS(COS(RADIANS(90-O299))*COS(RADIANS(90-_xlfn.XLOOKUP(S299,'Schools dataset'!$B$3:$B$187,'Schools dataset'!$J$3:$J$187,,0)))+SIN(RADIANS(90-O299))*SIN(RADIANS(90-_xlfn.XLOOKUP(S299,'Schools dataset'!$B$3:$B$187,'Schools dataset'!$J$3:$J$187,,0)))*COS(RADIANS(P299-_xlfn.XLOOKUP(S299,'Schools dataset'!$B$3:$B$187,'Schools dataset'!$K$3:$K$187,,0))))*6371*1000</f>
        <v>226.64970821598595</v>
      </c>
      <c r="W299" s="20">
        <f>_xlfn.XLOOKUP(T299,'HDB Recommender'!$P$10:$P$39,'HDB Recommender'!$Q$10:$Q$39,"&gt;30mins",1)</f>
        <v>10</v>
      </c>
      <c r="X299" s="20">
        <f>_xlfn.XLOOKUP(U299,'HDB Recommender'!$P$10:$P$39,'HDB Recommender'!$Q$10:$Q$39,"&gt;30mins",1)</f>
        <v>9</v>
      </c>
      <c r="Y299" s="20">
        <f>_xlfn.XLOOKUP(V299,'HDB Recommender'!$P$10:$P$39,'HDB Recommender'!$Q$10:$Q$39,"&gt;30mins",1)</f>
        <v>4</v>
      </c>
      <c r="Z299" s="39">
        <f t="shared" si="9"/>
        <v>7.666666666666667</v>
      </c>
      <c r="AA299" s="20" t="str">
        <f t="shared" si="8"/>
        <v>Within 1km</v>
      </c>
    </row>
    <row r="300" spans="2:27" hidden="1">
      <c r="B300" s="35" t="s">
        <v>317</v>
      </c>
      <c r="C300" s="35" t="s">
        <v>805</v>
      </c>
      <c r="D300" s="35" t="s">
        <v>341</v>
      </c>
      <c r="E300" s="35">
        <v>36</v>
      </c>
      <c r="F300" s="35" t="s">
        <v>806</v>
      </c>
      <c r="G300" s="35" t="s">
        <v>189</v>
      </c>
      <c r="H300" s="35">
        <v>124</v>
      </c>
      <c r="I300" s="35" t="s">
        <v>342</v>
      </c>
      <c r="J300" s="36">
        <v>1978</v>
      </c>
      <c r="K300" s="39">
        <v>53.6666666666666</v>
      </c>
      <c r="L300" s="37">
        <v>460000</v>
      </c>
      <c r="M300" s="35" t="s">
        <v>834</v>
      </c>
      <c r="N300" s="27">
        <v>730036</v>
      </c>
      <c r="O300" s="38">
        <v>1.4453237960488501</v>
      </c>
      <c r="P300" s="38">
        <v>103.77219271243401</v>
      </c>
      <c r="Q300" s="38" t="str" cm="1">
        <f t="array" ref="Q300">INDEX('MRT station dataset'!$C$3:$C$179, MATCH(MIN(SQRT(('MRT station dataset'!$E$3:$E$179-'Resale flat dataset'!O300)^2+('MRT station dataset'!$F$3:$F$179-'Resale flat dataset'!P300)^2)), SQRT(('MRT station dataset'!$E$3:$E$179-'Resale flat dataset'!O300)^2+('MRT station dataset'!$F$3:$F$179-'Resale flat dataset'!P300)^2), 0))</f>
        <v>MARSILING MRT STATION</v>
      </c>
      <c r="R300" s="38" t="str" cm="1">
        <f t="array" ref="R300">INDEX('Mall Dataset'!$B$3:$B$157, MATCH(MIN(SQRT(('Mall Dataset'!$E$3:$E$157-'Resale flat dataset'!O300)^2+('Mall Dataset'!$F$3:$F$157-'Resale flat dataset'!P300)^2)), SQRT(('Mall Dataset'!$E$3:$E$157-'Resale flat dataset'!O300)^2+('Mall Dataset'!$F$3:$F$157-'Resale flat dataset'!P300)^2), 0))</f>
        <v>Marsiling Mall</v>
      </c>
      <c r="S300" s="38" t="str" cm="1">
        <f t="array" ref="S300">INDEX('Schools dataset'!$B$3:$B$187, MATCH(MIN(SQRT(('Schools dataset'!$J$3:$J$187-'Resale flat dataset'!O300)^2+('Schools dataset'!$K$3:$K$187-'Resale flat dataset'!P300)^2)), SQRT(('Schools dataset'!$J$3:$J$187-'Resale flat dataset'!O300)^2+('Schools dataset'!$K$3:$K$187-'Resale flat dataset'!P300)^2), 0))</f>
        <v>MARSILING PRIMARY SCHOOL</v>
      </c>
      <c r="T300" s="39">
        <f>ACOS(COS(RADIANS(90-O300))*COS(RADIANS(90-_xlfn.XLOOKUP(Q300,'MRT station dataset'!$C$3:$C$179,'MRT station dataset'!$E$3:$E$179)))+SIN(RADIANS(90-O300))*SIN(RADIANS(90-_xlfn.XLOOKUP(Q300,'MRT station dataset'!$C$3:$C$179,'MRT station dataset'!$E$3:$E$179)))*COS(RADIANS(P300-_xlfn.XLOOKUP('Resale flat dataset'!Q300,'MRT station dataset'!$C$3:$C$179,'MRT station dataset'!$F$3:$F$179))))*6371*1000</f>
        <v>1441.6163691693102</v>
      </c>
      <c r="U300" s="39">
        <f>ACOS(COS(RADIANS(90-O300))*COS(RADIANS(90-_xlfn.XLOOKUP(R300,'Mall Dataset'!$B$3:$B$157,'Mall Dataset'!$E$3:$E$157,,0)))+SIN(RADIANS(90-O300))*SIN(RADIANS(90-_xlfn.XLOOKUP(R300,'Mall Dataset'!$B$3:$B$157,'Mall Dataset'!$E$3:$E$157,,0)))*COS(RADIANS(P300-_xlfn.XLOOKUP(R300,'Mall Dataset'!$B$3:$B$157,'Mall Dataset'!$F$3:$F$157,,0))))*6371*1000</f>
        <v>1564.1338462954081</v>
      </c>
      <c r="V300" s="39">
        <f>ACOS(COS(RADIANS(90-O300))*COS(RADIANS(90-_xlfn.XLOOKUP(S300,'Schools dataset'!$B$3:$B$187,'Schools dataset'!$J$3:$J$187,,0)))+SIN(RADIANS(90-O300))*SIN(RADIANS(90-_xlfn.XLOOKUP(S300,'Schools dataset'!$B$3:$B$187,'Schools dataset'!$J$3:$J$187,,0)))*COS(RADIANS(P300-_xlfn.XLOOKUP(S300,'Schools dataset'!$B$3:$B$187,'Schools dataset'!$K$3:$K$187,,0))))*6371*1000</f>
        <v>1277.2019168375064</v>
      </c>
      <c r="W300" s="20">
        <f>_xlfn.XLOOKUP(T300,'HDB Recommender'!$P$10:$P$39,'HDB Recommender'!$Q$10:$Q$39,"&gt;30mins",1)</f>
        <v>20</v>
      </c>
      <c r="X300" s="20">
        <f>_xlfn.XLOOKUP(U300,'HDB Recommender'!$P$10:$P$39,'HDB Recommender'!$Q$10:$Q$39,"&gt;30mins",1)</f>
        <v>21</v>
      </c>
      <c r="Y300" s="20">
        <f>_xlfn.XLOOKUP(V300,'HDB Recommender'!$P$10:$P$39,'HDB Recommender'!$Q$10:$Q$39,"&gt;30mins",1)</f>
        <v>18</v>
      </c>
      <c r="Z300" s="39">
        <f t="shared" si="9"/>
        <v>19.666666666666668</v>
      </c>
      <c r="AA300" s="20" t="str">
        <f t="shared" si="8"/>
        <v>between 1km and 2km</v>
      </c>
    </row>
    <row r="301" spans="2:27" hidden="1">
      <c r="B301" s="35" t="s">
        <v>317</v>
      </c>
      <c r="C301" s="35" t="s">
        <v>805</v>
      </c>
      <c r="D301" s="35" t="s">
        <v>341</v>
      </c>
      <c r="E301" s="35">
        <v>750</v>
      </c>
      <c r="F301" s="35" t="s">
        <v>835</v>
      </c>
      <c r="G301" s="35" t="s">
        <v>189</v>
      </c>
      <c r="H301" s="35">
        <v>122</v>
      </c>
      <c r="I301" s="35" t="s">
        <v>326</v>
      </c>
      <c r="J301" s="36">
        <v>1998</v>
      </c>
      <c r="K301" s="39">
        <v>73.3333333333333</v>
      </c>
      <c r="L301" s="37">
        <v>575000</v>
      </c>
      <c r="M301" s="35" t="s">
        <v>836</v>
      </c>
      <c r="N301" s="27">
        <v>730750</v>
      </c>
      <c r="O301" s="38">
        <v>1.4444230260528199</v>
      </c>
      <c r="P301" s="38">
        <v>103.793883697759</v>
      </c>
      <c r="Q301" s="38" t="str" cm="1">
        <f t="array" ref="Q301">INDEX('MRT station dataset'!$C$3:$C$179, MATCH(MIN(SQRT(('MRT station dataset'!$E$3:$E$179-'Resale flat dataset'!O301)^2+('MRT station dataset'!$F$3:$F$179-'Resale flat dataset'!P301)^2)), SQRT(('MRT station dataset'!$E$3:$E$179-'Resale flat dataset'!O301)^2+('MRT station dataset'!$F$3:$F$179-'Resale flat dataset'!P301)^2), 0))</f>
        <v>ADMIRALTY MRT STATION</v>
      </c>
      <c r="R301" s="38" t="str" cm="1">
        <f t="array" ref="R301">INDEX('Mall Dataset'!$B$3:$B$157, MATCH(MIN(SQRT(('Mall Dataset'!$E$3:$E$157-'Resale flat dataset'!O301)^2+('Mall Dataset'!$F$3:$F$157-'Resale flat dataset'!P301)^2)), SQRT(('Mall Dataset'!$E$3:$E$157-'Resale flat dataset'!O301)^2+('Mall Dataset'!$F$3:$F$157-'Resale flat dataset'!P301)^2), 0))</f>
        <v>Woodlands North Plaza</v>
      </c>
      <c r="S301" s="38" t="str" cm="1">
        <f t="array" ref="S301">INDEX('Schools dataset'!$B$3:$B$187, MATCH(MIN(SQRT(('Schools dataset'!$J$3:$J$187-'Resale flat dataset'!O301)^2+('Schools dataset'!$K$3:$K$187-'Resale flat dataset'!P301)^2)), SQRT(('Schools dataset'!$J$3:$J$187-'Resale flat dataset'!O301)^2+('Schools dataset'!$K$3:$K$187-'Resale flat dataset'!P301)^2), 0))</f>
        <v>EVERGREEN PRIMARY SCHOOL</v>
      </c>
      <c r="T301" s="39">
        <f>ACOS(COS(RADIANS(90-O301))*COS(RADIANS(90-_xlfn.XLOOKUP(Q301,'MRT station dataset'!$C$3:$C$179,'MRT station dataset'!$E$3:$E$179)))+SIN(RADIANS(90-O301))*SIN(RADIANS(90-_xlfn.XLOOKUP(Q301,'MRT station dataset'!$C$3:$C$179,'MRT station dataset'!$E$3:$E$179)))*COS(RADIANS(P301-_xlfn.XLOOKUP('Resale flat dataset'!Q301,'MRT station dataset'!$C$3:$C$179,'MRT station dataset'!$F$3:$F$179))))*6371*1000</f>
        <v>898.03375156013669</v>
      </c>
      <c r="U301" s="39">
        <f>ACOS(COS(RADIANS(90-O301))*COS(RADIANS(90-_xlfn.XLOOKUP(R301,'Mall Dataset'!$B$3:$B$157,'Mall Dataset'!$E$3:$E$157,,0)))+SIN(RADIANS(90-O301))*SIN(RADIANS(90-_xlfn.XLOOKUP(R301,'Mall Dataset'!$B$3:$B$157,'Mall Dataset'!$E$3:$E$157,,0)))*COS(RADIANS(P301-_xlfn.XLOOKUP(R301,'Mall Dataset'!$B$3:$B$157,'Mall Dataset'!$F$3:$F$157,,0))))*6371*1000</f>
        <v>414.67740332227379</v>
      </c>
      <c r="V301" s="39">
        <f>ACOS(COS(RADIANS(90-O301))*COS(RADIANS(90-_xlfn.XLOOKUP(S301,'Schools dataset'!$B$3:$B$187,'Schools dataset'!$J$3:$J$187,,0)))+SIN(RADIANS(90-O301))*SIN(RADIANS(90-_xlfn.XLOOKUP(S301,'Schools dataset'!$B$3:$B$187,'Schools dataset'!$J$3:$J$187,,0)))*COS(RADIANS(P301-_xlfn.XLOOKUP(S301,'Schools dataset'!$B$3:$B$187,'Schools dataset'!$K$3:$K$187,,0))))*6371*1000</f>
        <v>79.632891415008402</v>
      </c>
      <c r="W301" s="20">
        <f>_xlfn.XLOOKUP(T301,'HDB Recommender'!$P$10:$P$39,'HDB Recommender'!$Q$10:$Q$39,"&gt;30mins",1)</f>
        <v>12</v>
      </c>
      <c r="X301" s="20">
        <f>_xlfn.XLOOKUP(U301,'HDB Recommender'!$P$10:$P$39,'HDB Recommender'!$Q$10:$Q$39,"&gt;30mins",1)</f>
        <v>6</v>
      </c>
      <c r="Y301" s="20">
        <f>_xlfn.XLOOKUP(V301,'HDB Recommender'!$P$10:$P$39,'HDB Recommender'!$Q$10:$Q$39,"&gt;30mins",1)</f>
        <v>2</v>
      </c>
      <c r="Z301" s="39">
        <f t="shared" si="9"/>
        <v>6.666666666666667</v>
      </c>
      <c r="AA301" s="20" t="str">
        <f t="shared" si="8"/>
        <v>Within 1km</v>
      </c>
    </row>
    <row r="302" spans="2:27" hidden="1">
      <c r="B302" s="35" t="s">
        <v>317</v>
      </c>
      <c r="C302" s="35" t="s">
        <v>805</v>
      </c>
      <c r="D302" s="35" t="s">
        <v>341</v>
      </c>
      <c r="E302" s="35">
        <v>766</v>
      </c>
      <c r="F302" s="35" t="s">
        <v>817</v>
      </c>
      <c r="G302" s="35" t="s">
        <v>191</v>
      </c>
      <c r="H302" s="35">
        <v>110</v>
      </c>
      <c r="I302" s="35" t="s">
        <v>326</v>
      </c>
      <c r="J302" s="36">
        <v>2003</v>
      </c>
      <c r="K302" s="39">
        <v>78.8333333333333</v>
      </c>
      <c r="L302" s="37">
        <v>520000</v>
      </c>
      <c r="M302" s="35" t="s">
        <v>837</v>
      </c>
      <c r="N302" s="27">
        <v>730766</v>
      </c>
      <c r="O302" s="38">
        <v>1.4461080937995601</v>
      </c>
      <c r="P302" s="38">
        <v>103.797116575205</v>
      </c>
      <c r="Q302" s="38" t="str" cm="1">
        <f t="array" ref="Q302">INDEX('MRT station dataset'!$C$3:$C$179, MATCH(MIN(SQRT(('MRT station dataset'!$E$3:$E$179-'Resale flat dataset'!O302)^2+('MRT station dataset'!$F$3:$F$179-'Resale flat dataset'!P302)^2)), SQRT(('MRT station dataset'!$E$3:$E$179-'Resale flat dataset'!O302)^2+('MRT station dataset'!$F$3:$F$179-'Resale flat dataset'!P302)^2), 0))</f>
        <v>ADMIRALTY MRT STATION</v>
      </c>
      <c r="R302" s="38" t="str" cm="1">
        <f t="array" ref="R302">INDEX('Mall Dataset'!$B$3:$B$157, MATCH(MIN(SQRT(('Mall Dataset'!$E$3:$E$157-'Resale flat dataset'!O302)^2+('Mall Dataset'!$F$3:$F$157-'Resale flat dataset'!P302)^2)), SQRT(('Mall Dataset'!$E$3:$E$157-'Resale flat dataset'!O302)^2+('Mall Dataset'!$F$3:$F$157-'Resale flat dataset'!P302)^2), 0))</f>
        <v>Woodlands Mart</v>
      </c>
      <c r="S302" s="38" t="str" cm="1">
        <f t="array" ref="S302">INDEX('Schools dataset'!$B$3:$B$187, MATCH(MIN(SQRT(('Schools dataset'!$J$3:$J$187-'Resale flat dataset'!O302)^2+('Schools dataset'!$K$3:$K$187-'Resale flat dataset'!P302)^2)), SQRT(('Schools dataset'!$J$3:$J$187-'Resale flat dataset'!O302)^2+('Schools dataset'!$K$3:$K$187-'Resale flat dataset'!P302)^2), 0))</f>
        <v>EVERGREEN PRIMARY SCHOOL</v>
      </c>
      <c r="T302" s="39">
        <f>ACOS(COS(RADIANS(90-O302))*COS(RADIANS(90-_xlfn.XLOOKUP(Q302,'MRT station dataset'!$C$3:$C$179,'MRT station dataset'!$E$3:$E$179)))+SIN(RADIANS(90-O302))*SIN(RADIANS(90-_xlfn.XLOOKUP(Q302,'MRT station dataset'!$C$3:$C$179,'MRT station dataset'!$E$3:$E$179)))*COS(RADIANS(P302-_xlfn.XLOOKUP('Resale flat dataset'!Q302,'MRT station dataset'!$C$3:$C$179,'MRT station dataset'!$F$3:$F$179))))*6371*1000</f>
        <v>749.31287478150784</v>
      </c>
      <c r="U302" s="39">
        <f>ACOS(COS(RADIANS(90-O302))*COS(RADIANS(90-_xlfn.XLOOKUP(R302,'Mall Dataset'!$B$3:$B$157,'Mall Dataset'!$E$3:$E$157,,0)))+SIN(RADIANS(90-O302))*SIN(RADIANS(90-_xlfn.XLOOKUP(R302,'Mall Dataset'!$B$3:$B$157,'Mall Dataset'!$E$3:$E$157,,0)))*COS(RADIANS(P302-_xlfn.XLOOKUP(R302,'Mall Dataset'!$B$3:$B$157,'Mall Dataset'!$F$3:$F$157,,0))))*6371*1000</f>
        <v>127.00682456041568</v>
      </c>
      <c r="V302" s="39">
        <f>ACOS(COS(RADIANS(90-O302))*COS(RADIANS(90-_xlfn.XLOOKUP(S302,'Schools dataset'!$B$3:$B$187,'Schools dataset'!$J$3:$J$187,,0)))+SIN(RADIANS(90-O302))*SIN(RADIANS(90-_xlfn.XLOOKUP(S302,'Schools dataset'!$B$3:$B$187,'Schools dataset'!$J$3:$J$187,,0)))*COS(RADIANS(P302-_xlfn.XLOOKUP(S302,'Schools dataset'!$B$3:$B$187,'Schools dataset'!$K$3:$K$187,,0))))*6371*1000</f>
        <v>359.41686348712932</v>
      </c>
      <c r="W302" s="20">
        <f>_xlfn.XLOOKUP(T302,'HDB Recommender'!$P$10:$P$39,'HDB Recommender'!$Q$10:$Q$39,"&gt;30mins",1)</f>
        <v>10</v>
      </c>
      <c r="X302" s="20">
        <f>_xlfn.XLOOKUP(U302,'HDB Recommender'!$P$10:$P$39,'HDB Recommender'!$Q$10:$Q$39,"&gt;30mins",1)</f>
        <v>2</v>
      </c>
      <c r="Y302" s="20">
        <f>_xlfn.XLOOKUP(V302,'HDB Recommender'!$P$10:$P$39,'HDB Recommender'!$Q$10:$Q$39,"&gt;30mins",1)</f>
        <v>5</v>
      </c>
      <c r="Z302" s="39">
        <f t="shared" si="9"/>
        <v>5.666666666666667</v>
      </c>
      <c r="AA302" s="20" t="str">
        <f t="shared" si="8"/>
        <v>Within 1km</v>
      </c>
    </row>
    <row r="303" spans="2:27" hidden="1">
      <c r="B303" s="35" t="s">
        <v>317</v>
      </c>
      <c r="C303" s="35" t="s">
        <v>805</v>
      </c>
      <c r="D303" s="35" t="s">
        <v>341</v>
      </c>
      <c r="E303" s="35">
        <v>777</v>
      </c>
      <c r="F303" s="35" t="s">
        <v>838</v>
      </c>
      <c r="G303" s="35" t="s">
        <v>349</v>
      </c>
      <c r="H303" s="35">
        <v>123</v>
      </c>
      <c r="I303" s="35" t="s">
        <v>326</v>
      </c>
      <c r="J303" s="36">
        <v>1998</v>
      </c>
      <c r="K303" s="39">
        <v>73.3333333333333</v>
      </c>
      <c r="L303" s="37">
        <v>550000</v>
      </c>
      <c r="M303" s="35" t="s">
        <v>839</v>
      </c>
      <c r="N303" s="27">
        <v>730777</v>
      </c>
      <c r="O303" s="38">
        <v>1.4478605930962301</v>
      </c>
      <c r="P303" s="38">
        <v>103.799327953961</v>
      </c>
      <c r="Q303" s="38" t="str" cm="1">
        <f t="array" ref="Q303">INDEX('MRT station dataset'!$C$3:$C$179, MATCH(MIN(SQRT(('MRT station dataset'!$E$3:$E$179-'Resale flat dataset'!O303)^2+('MRT station dataset'!$F$3:$F$179-'Resale flat dataset'!P303)^2)), SQRT(('MRT station dataset'!$E$3:$E$179-'Resale flat dataset'!O303)^2+('MRT station dataset'!$F$3:$F$179-'Resale flat dataset'!P303)^2), 0))</f>
        <v>ADMIRALTY MRT STATION</v>
      </c>
      <c r="R303" s="38" t="str" cm="1">
        <f t="array" ref="R303">INDEX('Mall Dataset'!$B$3:$B$157, MATCH(MIN(SQRT(('Mall Dataset'!$E$3:$E$157-'Resale flat dataset'!O303)^2+('Mall Dataset'!$F$3:$F$157-'Resale flat dataset'!P303)^2)), SQRT(('Mall Dataset'!$E$3:$E$157-'Resale flat dataset'!O303)^2+('Mall Dataset'!$F$3:$F$157-'Resale flat dataset'!P303)^2), 0))</f>
        <v>Woodlands Mart</v>
      </c>
      <c r="S303" s="38" t="str" cm="1">
        <f t="array" ref="S303">INDEX('Schools dataset'!$B$3:$B$187, MATCH(MIN(SQRT(('Schools dataset'!$J$3:$J$187-'Resale flat dataset'!O303)^2+('Schools dataset'!$K$3:$K$187-'Resale flat dataset'!P303)^2)), SQRT(('Schools dataset'!$J$3:$J$187-'Resale flat dataset'!O303)^2+('Schools dataset'!$K$3:$K$187-'Resale flat dataset'!P303)^2), 0))</f>
        <v>RIVERSIDE PRIMARY SCHOOL</v>
      </c>
      <c r="T303" s="39">
        <f>ACOS(COS(RADIANS(90-O303))*COS(RADIANS(90-_xlfn.XLOOKUP(Q303,'MRT station dataset'!$C$3:$C$179,'MRT station dataset'!$E$3:$E$179)))+SIN(RADIANS(90-O303))*SIN(RADIANS(90-_xlfn.XLOOKUP(Q303,'MRT station dataset'!$C$3:$C$179,'MRT station dataset'!$E$3:$E$179)))*COS(RADIANS(P303-_xlfn.XLOOKUP('Resale flat dataset'!Q303,'MRT station dataset'!$C$3:$C$179,'MRT station dataset'!$F$3:$F$179))))*6371*1000</f>
        <v>828.45947499048793</v>
      </c>
      <c r="U303" s="39">
        <f>ACOS(COS(RADIANS(90-O303))*COS(RADIANS(90-_xlfn.XLOOKUP(R303,'Mall Dataset'!$B$3:$B$157,'Mall Dataset'!$E$3:$E$157,,0)))+SIN(RADIANS(90-O303))*SIN(RADIANS(90-_xlfn.XLOOKUP(R303,'Mall Dataset'!$B$3:$B$157,'Mall Dataset'!$E$3:$E$157,,0)))*COS(RADIANS(P303-_xlfn.XLOOKUP(R303,'Mall Dataset'!$B$3:$B$157,'Mall Dataset'!$F$3:$F$157,,0))))*6371*1000</f>
        <v>278.07757724783124</v>
      </c>
      <c r="V303" s="39">
        <f>ACOS(COS(RADIANS(90-O303))*COS(RADIANS(90-_xlfn.XLOOKUP(S303,'Schools dataset'!$B$3:$B$187,'Schools dataset'!$J$3:$J$187,,0)))+SIN(RADIANS(90-O303))*SIN(RADIANS(90-_xlfn.XLOOKUP(S303,'Schools dataset'!$B$3:$B$187,'Schools dataset'!$J$3:$J$187,,0)))*COS(RADIANS(P303-_xlfn.XLOOKUP(S303,'Schools dataset'!$B$3:$B$187,'Schools dataset'!$K$3:$K$187,,0))))*6371*1000</f>
        <v>294.39203231410517</v>
      </c>
      <c r="W303" s="20">
        <f>_xlfn.XLOOKUP(T303,'HDB Recommender'!$P$10:$P$39,'HDB Recommender'!$Q$10:$Q$39,"&gt;30mins",1)</f>
        <v>12</v>
      </c>
      <c r="X303" s="20">
        <f>_xlfn.XLOOKUP(U303,'HDB Recommender'!$P$10:$P$39,'HDB Recommender'!$Q$10:$Q$39,"&gt;30mins",1)</f>
        <v>4</v>
      </c>
      <c r="Y303" s="20">
        <f>_xlfn.XLOOKUP(V303,'HDB Recommender'!$P$10:$P$39,'HDB Recommender'!$Q$10:$Q$39,"&gt;30mins",1)</f>
        <v>4</v>
      </c>
      <c r="Z303" s="39">
        <f t="shared" si="9"/>
        <v>6.666666666666667</v>
      </c>
      <c r="AA303" s="20" t="str">
        <f t="shared" si="8"/>
        <v>Within 1km</v>
      </c>
    </row>
    <row r="304" spans="2:27" hidden="1">
      <c r="B304" s="35" t="s">
        <v>317</v>
      </c>
      <c r="C304" s="35" t="s">
        <v>805</v>
      </c>
      <c r="D304" s="35" t="s">
        <v>341</v>
      </c>
      <c r="E304" s="35">
        <v>518</v>
      </c>
      <c r="F304" s="35" t="s">
        <v>819</v>
      </c>
      <c r="G304" s="35" t="s">
        <v>184</v>
      </c>
      <c r="H304" s="35">
        <v>126</v>
      </c>
      <c r="I304" s="35" t="s">
        <v>389</v>
      </c>
      <c r="J304" s="36">
        <v>2000</v>
      </c>
      <c r="K304" s="39">
        <v>76</v>
      </c>
      <c r="L304" s="37">
        <v>630000</v>
      </c>
      <c r="M304" s="35" t="s">
        <v>840</v>
      </c>
      <c r="N304" s="27">
        <v>730518</v>
      </c>
      <c r="O304" s="38">
        <v>1.43438159664305</v>
      </c>
      <c r="P304" s="38">
        <v>103.791681037687</v>
      </c>
      <c r="Q304" s="38" t="str" cm="1">
        <f t="array" ref="Q304">INDEX('MRT station dataset'!$C$3:$C$179, MATCH(MIN(SQRT(('MRT station dataset'!$E$3:$E$179-'Resale flat dataset'!O304)^2+('MRT station dataset'!$F$3:$F$179-'Resale flat dataset'!P304)^2)), SQRT(('MRT station dataset'!$E$3:$E$179-'Resale flat dataset'!O304)^2+('MRT station dataset'!$F$3:$F$179-'Resale flat dataset'!P304)^2), 0))</f>
        <v>WOODLANDS MRT STATION</v>
      </c>
      <c r="R304" s="38" t="str" cm="1">
        <f t="array" ref="R304">INDEX('Mall Dataset'!$B$3:$B$157, MATCH(MIN(SQRT(('Mall Dataset'!$E$3:$E$157-'Resale flat dataset'!O304)^2+('Mall Dataset'!$F$3:$F$157-'Resale flat dataset'!P304)^2)), SQRT(('Mall Dataset'!$E$3:$E$157-'Resale flat dataset'!O304)^2+('Mall Dataset'!$F$3:$F$157-'Resale flat dataset'!P304)^2), 0))</f>
        <v>Vista Point</v>
      </c>
      <c r="S304" s="38" t="str" cm="1">
        <f t="array" ref="S304">INDEX('Schools dataset'!$B$3:$B$187, MATCH(MIN(SQRT(('Schools dataset'!$J$3:$J$187-'Resale flat dataset'!O304)^2+('Schools dataset'!$K$3:$K$187-'Resale flat dataset'!P304)^2)), SQRT(('Schools dataset'!$J$3:$J$187-'Resale flat dataset'!O304)^2+('Schools dataset'!$K$3:$K$187-'Resale flat dataset'!P304)^2), 0))</f>
        <v>WOODLANDS PRIMARY SCHOOL</v>
      </c>
      <c r="T304" s="39">
        <f>ACOS(COS(RADIANS(90-O304))*COS(RADIANS(90-_xlfn.XLOOKUP(Q304,'MRT station dataset'!$C$3:$C$179,'MRT station dataset'!$E$3:$E$179)))+SIN(RADIANS(90-O304))*SIN(RADIANS(90-_xlfn.XLOOKUP(Q304,'MRT station dataset'!$C$3:$C$179,'MRT station dataset'!$E$3:$E$179)))*COS(RADIANS(P304-_xlfn.XLOOKUP('Resale flat dataset'!Q304,'MRT station dataset'!$C$3:$C$179,'MRT station dataset'!$F$3:$F$179))))*6371*1000</f>
        <v>640.3964584834971</v>
      </c>
      <c r="U304" s="39">
        <f>ACOS(COS(RADIANS(90-O304))*COS(RADIANS(90-_xlfn.XLOOKUP(R304,'Mall Dataset'!$B$3:$B$157,'Mall Dataset'!$E$3:$E$157,,0)))+SIN(RADIANS(90-O304))*SIN(RADIANS(90-_xlfn.XLOOKUP(R304,'Mall Dataset'!$B$3:$B$157,'Mall Dataset'!$E$3:$E$157,,0)))*COS(RADIANS(P304-_xlfn.XLOOKUP(R304,'Mall Dataset'!$B$3:$B$157,'Mall Dataset'!$F$3:$F$157,,0))))*6371*1000</f>
        <v>480.72499622086394</v>
      </c>
      <c r="V304" s="39">
        <f>ACOS(COS(RADIANS(90-O304))*COS(RADIANS(90-_xlfn.XLOOKUP(S304,'Schools dataset'!$B$3:$B$187,'Schools dataset'!$J$3:$J$187,,0)))+SIN(RADIANS(90-O304))*SIN(RADIANS(90-_xlfn.XLOOKUP(S304,'Schools dataset'!$B$3:$B$187,'Schools dataset'!$J$3:$J$187,,0)))*COS(RADIANS(P304-_xlfn.XLOOKUP(S304,'Schools dataset'!$B$3:$B$187,'Schools dataset'!$K$3:$K$187,,0))))*6371*1000</f>
        <v>241.54866415185739</v>
      </c>
      <c r="W304" s="20">
        <f>_xlfn.XLOOKUP(T304,'HDB Recommender'!$P$10:$P$39,'HDB Recommender'!$Q$10:$Q$39,"&gt;30mins",1)</f>
        <v>9</v>
      </c>
      <c r="X304" s="20">
        <f>_xlfn.XLOOKUP(U304,'HDB Recommender'!$P$10:$P$39,'HDB Recommender'!$Q$10:$Q$39,"&gt;30mins",1)</f>
        <v>7</v>
      </c>
      <c r="Y304" s="20">
        <f>_xlfn.XLOOKUP(V304,'HDB Recommender'!$P$10:$P$39,'HDB Recommender'!$Q$10:$Q$39,"&gt;30mins",1)</f>
        <v>4</v>
      </c>
      <c r="Z304" s="39">
        <f t="shared" si="9"/>
        <v>6.666666666666667</v>
      </c>
      <c r="AA304" s="20" t="str">
        <f t="shared" si="8"/>
        <v>Within 1km</v>
      </c>
    </row>
    <row r="305" spans="2:27" hidden="1">
      <c r="B305" s="35" t="s">
        <v>317</v>
      </c>
      <c r="C305" s="35" t="s">
        <v>805</v>
      </c>
      <c r="D305" s="35" t="s">
        <v>341</v>
      </c>
      <c r="E305" s="35"/>
      <c r="F305" s="35" t="s">
        <v>825</v>
      </c>
      <c r="G305" s="35" t="s">
        <v>191</v>
      </c>
      <c r="H305" s="35">
        <v>118</v>
      </c>
      <c r="I305" s="35" t="s">
        <v>326</v>
      </c>
      <c r="J305" s="36">
        <v>1997</v>
      </c>
      <c r="K305" s="39">
        <v>73</v>
      </c>
      <c r="L305" s="37">
        <v>560000</v>
      </c>
      <c r="M305" s="35" t="s">
        <v>841</v>
      </c>
      <c r="N305" s="27">
        <v>731896</v>
      </c>
      <c r="O305" s="38">
        <v>1.43692442499246</v>
      </c>
      <c r="P305" s="38">
        <v>103.792568796601</v>
      </c>
      <c r="Q305" s="38" t="str" cm="1">
        <f t="array" ref="Q305">INDEX('MRT station dataset'!$C$3:$C$179, MATCH(MIN(SQRT(('MRT station dataset'!$E$3:$E$179-'Resale flat dataset'!O305)^2+('MRT station dataset'!$F$3:$F$179-'Resale flat dataset'!P305)^2)), SQRT(('MRT station dataset'!$E$3:$E$179-'Resale flat dataset'!O305)^2+('MRT station dataset'!$F$3:$F$179-'Resale flat dataset'!P305)^2), 0))</f>
        <v>WOODLANDS MRT STATION</v>
      </c>
      <c r="R305" s="38" t="str" cm="1">
        <f t="array" ref="R305">INDEX('Mall Dataset'!$B$3:$B$157, MATCH(MIN(SQRT(('Mall Dataset'!$E$3:$E$157-'Resale flat dataset'!O305)^2+('Mall Dataset'!$F$3:$F$157-'Resale flat dataset'!P305)^2)), SQRT(('Mall Dataset'!$E$3:$E$157-'Resale flat dataset'!O305)^2+('Mall Dataset'!$F$3:$F$157-'Resale flat dataset'!P305)^2), 0))</f>
        <v>888 Plaza</v>
      </c>
      <c r="S305" s="38" t="str" cm="1">
        <f t="array" ref="S305">INDEX('Schools dataset'!$B$3:$B$187, MATCH(MIN(SQRT(('Schools dataset'!$J$3:$J$187-'Resale flat dataset'!O305)^2+('Schools dataset'!$K$3:$K$187-'Resale flat dataset'!P305)^2)), SQRT(('Schools dataset'!$J$3:$J$187-'Resale flat dataset'!O305)^2+('Schools dataset'!$K$3:$K$187-'Resale flat dataset'!P305)^2), 0))</f>
        <v>WOODLANDS PRIMARY SCHOOL</v>
      </c>
      <c r="T305" s="39">
        <f>ACOS(COS(RADIANS(90-O305))*COS(RADIANS(90-_xlfn.XLOOKUP(Q305,'MRT station dataset'!$C$3:$C$179,'MRT station dataset'!$E$3:$E$179)))+SIN(RADIANS(90-O305))*SIN(RADIANS(90-_xlfn.XLOOKUP(Q305,'MRT station dataset'!$C$3:$C$179,'MRT station dataset'!$E$3:$E$179)))*COS(RADIANS(P305-_xlfn.XLOOKUP('Resale flat dataset'!Q305,'MRT station dataset'!$C$3:$C$179,'MRT station dataset'!$F$3:$F$179))))*6371*1000</f>
        <v>674.6126591543225</v>
      </c>
      <c r="U305" s="39">
        <f>ACOS(COS(RADIANS(90-O305))*COS(RADIANS(90-_xlfn.XLOOKUP(R305,'Mall Dataset'!$B$3:$B$157,'Mall Dataset'!$E$3:$E$157,,0)))+SIN(RADIANS(90-O305))*SIN(RADIANS(90-_xlfn.XLOOKUP(R305,'Mall Dataset'!$B$3:$B$157,'Mall Dataset'!$E$3:$E$157,,0)))*COS(RADIANS(P305-_xlfn.XLOOKUP(R305,'Mall Dataset'!$B$3:$B$157,'Mall Dataset'!$F$3:$F$157,,0))))*6371*1000</f>
        <v>306.14823149379646</v>
      </c>
      <c r="V305" s="39">
        <f>ACOS(COS(RADIANS(90-O305))*COS(RADIANS(90-_xlfn.XLOOKUP(S305,'Schools dataset'!$B$3:$B$187,'Schools dataset'!$J$3:$J$187,,0)))+SIN(RADIANS(90-O305))*SIN(RADIANS(90-_xlfn.XLOOKUP(S305,'Schools dataset'!$B$3:$B$187,'Schools dataset'!$J$3:$J$187,,0)))*COS(RADIANS(P305-_xlfn.XLOOKUP(S305,'Schools dataset'!$B$3:$B$187,'Schools dataset'!$K$3:$K$187,,0))))*6371*1000</f>
        <v>118.47658938429362</v>
      </c>
      <c r="W305" s="20">
        <f>_xlfn.XLOOKUP(T305,'HDB Recommender'!$P$10:$P$39,'HDB Recommender'!$Q$10:$Q$39,"&gt;30mins",1)</f>
        <v>9</v>
      </c>
      <c r="X305" s="20">
        <f>_xlfn.XLOOKUP(U305,'HDB Recommender'!$P$10:$P$39,'HDB Recommender'!$Q$10:$Q$39,"&gt;30mins",1)</f>
        <v>5</v>
      </c>
      <c r="Y305" s="20">
        <f>_xlfn.XLOOKUP(V305,'HDB Recommender'!$P$10:$P$39,'HDB Recommender'!$Q$10:$Q$39,"&gt;30mins",1)</f>
        <v>2</v>
      </c>
      <c r="Z305" s="39">
        <f t="shared" si="9"/>
        <v>5.333333333333333</v>
      </c>
      <c r="AA305" s="20" t="str">
        <f t="shared" si="8"/>
        <v>Within 1km</v>
      </c>
    </row>
    <row r="306" spans="2:27" hidden="1">
      <c r="B306" s="35" t="s">
        <v>317</v>
      </c>
      <c r="C306" s="35" t="s">
        <v>805</v>
      </c>
      <c r="D306" s="35" t="s">
        <v>341</v>
      </c>
      <c r="E306" s="35">
        <v>712</v>
      </c>
      <c r="F306" s="35" t="s">
        <v>842</v>
      </c>
      <c r="G306" s="35" t="s">
        <v>191</v>
      </c>
      <c r="H306" s="35">
        <v>119</v>
      </c>
      <c r="I306" s="35" t="s">
        <v>326</v>
      </c>
      <c r="J306" s="36">
        <v>1996</v>
      </c>
      <c r="K306" s="39">
        <v>72.25</v>
      </c>
      <c r="L306" s="37">
        <v>585000</v>
      </c>
      <c r="M306" s="35" t="s">
        <v>843</v>
      </c>
      <c r="N306" s="27">
        <v>730712</v>
      </c>
      <c r="O306" s="38">
        <v>1.4419074118124899</v>
      </c>
      <c r="P306" s="38">
        <v>103.797234182141</v>
      </c>
      <c r="Q306" s="38" t="str" cm="1">
        <f t="array" ref="Q306">INDEX('MRT station dataset'!$C$3:$C$179, MATCH(MIN(SQRT(('MRT station dataset'!$E$3:$E$179-'Resale flat dataset'!O306)^2+('MRT station dataset'!$F$3:$F$179-'Resale flat dataset'!P306)^2)), SQRT(('MRT station dataset'!$E$3:$E$179-'Resale flat dataset'!O306)^2+('MRT station dataset'!$F$3:$F$179-'Resale flat dataset'!P306)^2), 0))</f>
        <v>ADMIRALTY MRT STATION</v>
      </c>
      <c r="R306" s="38" t="str" cm="1">
        <f t="array" ref="R306">INDEX('Mall Dataset'!$B$3:$B$157, MATCH(MIN(SQRT(('Mall Dataset'!$E$3:$E$157-'Resale flat dataset'!O306)^2+('Mall Dataset'!$F$3:$F$157-'Resale flat dataset'!P306)^2)), SQRT(('Mall Dataset'!$E$3:$E$157-'Resale flat dataset'!O306)^2+('Mall Dataset'!$F$3:$F$157-'Resale flat dataset'!P306)^2), 0))</f>
        <v>Woodlands Mart</v>
      </c>
      <c r="S306" s="38" t="str" cm="1">
        <f t="array" ref="S306">INDEX('Schools dataset'!$B$3:$B$187, MATCH(MIN(SQRT(('Schools dataset'!$J$3:$J$187-'Resale flat dataset'!O306)^2+('Schools dataset'!$K$3:$K$187-'Resale flat dataset'!P306)^2)), SQRT(('Schools dataset'!$J$3:$J$187-'Resale flat dataset'!O306)^2+('Schools dataset'!$K$3:$K$187-'Resale flat dataset'!P306)^2), 0))</f>
        <v>ADMIRALTY PRIMARY SCHOOL</v>
      </c>
      <c r="T306" s="39">
        <f>ACOS(COS(RADIANS(90-O306))*COS(RADIANS(90-_xlfn.XLOOKUP(Q306,'MRT station dataset'!$C$3:$C$179,'MRT station dataset'!$E$3:$E$179)))+SIN(RADIANS(90-O306))*SIN(RADIANS(90-_xlfn.XLOOKUP(Q306,'MRT station dataset'!$C$3:$C$179,'MRT station dataset'!$E$3:$E$179)))*COS(RADIANS(P306-_xlfn.XLOOKUP('Resale flat dataset'!Q306,'MRT station dataset'!$C$3:$C$179,'MRT station dataset'!$F$3:$F$179))))*6371*1000</f>
        <v>443.13289418690329</v>
      </c>
      <c r="U306" s="39">
        <f>ACOS(COS(RADIANS(90-O306))*COS(RADIANS(90-_xlfn.XLOOKUP(R306,'Mall Dataset'!$B$3:$B$157,'Mall Dataset'!$E$3:$E$157,,0)))+SIN(RADIANS(90-O306))*SIN(RADIANS(90-_xlfn.XLOOKUP(R306,'Mall Dataset'!$B$3:$B$157,'Mall Dataset'!$E$3:$E$157,,0)))*COS(RADIANS(P306-_xlfn.XLOOKUP(R306,'Mall Dataset'!$B$3:$B$157,'Mall Dataset'!$F$3:$F$157,,0))))*6371*1000</f>
        <v>428.52421195470214</v>
      </c>
      <c r="V306" s="39">
        <f>ACOS(COS(RADIANS(90-O306))*COS(RADIANS(90-_xlfn.XLOOKUP(S306,'Schools dataset'!$B$3:$B$187,'Schools dataset'!$J$3:$J$187,,0)))+SIN(RADIANS(90-O306))*SIN(RADIANS(90-_xlfn.XLOOKUP(S306,'Schools dataset'!$B$3:$B$187,'Schools dataset'!$J$3:$J$187,,0)))*COS(RADIANS(P306-_xlfn.XLOOKUP(S306,'Schools dataset'!$B$3:$B$187,'Schools dataset'!$K$3:$K$187,,0))))*6371*1000</f>
        <v>338.81181567080978</v>
      </c>
      <c r="W306" s="20">
        <f>_xlfn.XLOOKUP(T306,'HDB Recommender'!$P$10:$P$39,'HDB Recommender'!$Q$10:$Q$39,"&gt;30mins",1)</f>
        <v>6</v>
      </c>
      <c r="X306" s="20">
        <f>_xlfn.XLOOKUP(U306,'HDB Recommender'!$P$10:$P$39,'HDB Recommender'!$Q$10:$Q$39,"&gt;30mins",1)</f>
        <v>6</v>
      </c>
      <c r="Y306" s="20">
        <f>_xlfn.XLOOKUP(V306,'HDB Recommender'!$P$10:$P$39,'HDB Recommender'!$Q$10:$Q$39,"&gt;30mins",1)</f>
        <v>5</v>
      </c>
      <c r="Z306" s="39">
        <f t="shared" si="9"/>
        <v>5.666666666666667</v>
      </c>
      <c r="AA306" s="20" t="str">
        <f t="shared" si="8"/>
        <v>Within 1km</v>
      </c>
    </row>
    <row r="307" spans="2:27" hidden="1">
      <c r="B307" s="35" t="s">
        <v>317</v>
      </c>
      <c r="C307" s="35" t="s">
        <v>805</v>
      </c>
      <c r="D307" s="35" t="s">
        <v>341</v>
      </c>
      <c r="E307" s="35">
        <v>607</v>
      </c>
      <c r="F307" s="35" t="s">
        <v>844</v>
      </c>
      <c r="G307" s="35" t="s">
        <v>184</v>
      </c>
      <c r="H307" s="35">
        <v>120</v>
      </c>
      <c r="I307" s="35" t="s">
        <v>326</v>
      </c>
      <c r="J307" s="36">
        <v>1998</v>
      </c>
      <c r="K307" s="39">
        <v>73.5833333333333</v>
      </c>
      <c r="L307" s="37">
        <v>586000</v>
      </c>
      <c r="M307" s="35" t="s">
        <v>845</v>
      </c>
      <c r="N307" s="27">
        <v>730607</v>
      </c>
      <c r="O307" s="38">
        <v>1.43665492960631</v>
      </c>
      <c r="P307" s="38">
        <v>103.79623146737499</v>
      </c>
      <c r="Q307" s="38" t="str" cm="1">
        <f t="array" ref="Q307">INDEX('MRT station dataset'!$C$3:$C$179, MATCH(MIN(SQRT(('MRT station dataset'!$E$3:$E$179-'Resale flat dataset'!O307)^2+('MRT station dataset'!$F$3:$F$179-'Resale flat dataset'!P307)^2)), SQRT(('MRT station dataset'!$E$3:$E$179-'Resale flat dataset'!O307)^2+('MRT station dataset'!$F$3:$F$179-'Resale flat dataset'!P307)^2), 0))</f>
        <v>ADMIRALTY MRT STATION</v>
      </c>
      <c r="R307" s="38" t="str" cm="1">
        <f t="array" ref="R307">INDEX('Mall Dataset'!$B$3:$B$157, MATCH(MIN(SQRT(('Mall Dataset'!$E$3:$E$157-'Resale flat dataset'!O307)^2+('Mall Dataset'!$F$3:$F$157-'Resale flat dataset'!P307)^2)), SQRT(('Mall Dataset'!$E$3:$E$157-'Resale flat dataset'!O307)^2+('Mall Dataset'!$F$3:$F$157-'Resale flat dataset'!P307)^2), 0))</f>
        <v>888 Plaza</v>
      </c>
      <c r="S307" s="38" t="str" cm="1">
        <f t="array" ref="S307">INDEX('Schools dataset'!$B$3:$B$187, MATCH(MIN(SQRT(('Schools dataset'!$J$3:$J$187-'Resale flat dataset'!O307)^2+('Schools dataset'!$K$3:$K$187-'Resale flat dataset'!P307)^2)), SQRT(('Schools dataset'!$J$3:$J$187-'Resale flat dataset'!O307)^2+('Schools dataset'!$K$3:$K$187-'Resale flat dataset'!P307)^2), 0))</f>
        <v>WOODLANDS RING PRIMARY SCHOOL</v>
      </c>
      <c r="T307" s="39">
        <f>ACOS(COS(RADIANS(90-O307))*COS(RADIANS(90-_xlfn.XLOOKUP(Q307,'MRT station dataset'!$C$3:$C$179,'MRT station dataset'!$E$3:$E$179)))+SIN(RADIANS(90-O307))*SIN(RADIANS(90-_xlfn.XLOOKUP(Q307,'MRT station dataset'!$C$3:$C$179,'MRT station dataset'!$E$3:$E$179)))*COS(RADIANS(P307-_xlfn.XLOOKUP('Resale flat dataset'!Q307,'MRT station dataset'!$C$3:$C$179,'MRT station dataset'!$F$3:$F$179))))*6371*1000</f>
        <v>688.04552245910088</v>
      </c>
      <c r="U307" s="39">
        <f>ACOS(COS(RADIANS(90-O307))*COS(RADIANS(90-_xlfn.XLOOKUP(R307,'Mall Dataset'!$B$3:$B$157,'Mall Dataset'!$E$3:$E$157,,0)))+SIN(RADIANS(90-O307))*SIN(RADIANS(90-_xlfn.XLOOKUP(R307,'Mall Dataset'!$B$3:$B$157,'Mall Dataset'!$E$3:$E$157,,0)))*COS(RADIANS(P307-_xlfn.XLOOKUP(R307,'Mall Dataset'!$B$3:$B$157,'Mall Dataset'!$F$3:$F$157,,0))))*6371*1000</f>
        <v>114.07039999031232</v>
      </c>
      <c r="V307" s="39">
        <f>ACOS(COS(RADIANS(90-O307))*COS(RADIANS(90-_xlfn.XLOOKUP(S307,'Schools dataset'!$B$3:$B$187,'Schools dataset'!$J$3:$J$187,,0)))+SIN(RADIANS(90-O307))*SIN(RADIANS(90-_xlfn.XLOOKUP(S307,'Schools dataset'!$B$3:$B$187,'Schools dataset'!$J$3:$J$187,,0)))*COS(RADIANS(P307-_xlfn.XLOOKUP(S307,'Schools dataset'!$B$3:$B$187,'Schools dataset'!$K$3:$K$187,,0))))*6371*1000</f>
        <v>239.76927718930253</v>
      </c>
      <c r="W307" s="20">
        <f>_xlfn.XLOOKUP(T307,'HDB Recommender'!$P$10:$P$39,'HDB Recommender'!$Q$10:$Q$39,"&gt;30mins",1)</f>
        <v>10</v>
      </c>
      <c r="X307" s="20">
        <f>_xlfn.XLOOKUP(U307,'HDB Recommender'!$P$10:$P$39,'HDB Recommender'!$Q$10:$Q$39,"&gt;30mins",1)</f>
        <v>2</v>
      </c>
      <c r="Y307" s="20">
        <f>_xlfn.XLOOKUP(V307,'HDB Recommender'!$P$10:$P$39,'HDB Recommender'!$Q$10:$Q$39,"&gt;30mins",1)</f>
        <v>4</v>
      </c>
      <c r="Z307" s="39">
        <f t="shared" si="9"/>
        <v>5.333333333333333</v>
      </c>
      <c r="AA307" s="20" t="str">
        <f t="shared" si="8"/>
        <v>Within 1km</v>
      </c>
    </row>
    <row r="308" spans="2:27" hidden="1">
      <c r="B308" s="35" t="s">
        <v>317</v>
      </c>
      <c r="C308" s="35" t="s">
        <v>805</v>
      </c>
      <c r="D308" s="35" t="s">
        <v>383</v>
      </c>
      <c r="E308" s="35">
        <v>142</v>
      </c>
      <c r="F308" s="35" t="s">
        <v>846</v>
      </c>
      <c r="G308" s="35" t="s">
        <v>349</v>
      </c>
      <c r="H308" s="35">
        <v>173</v>
      </c>
      <c r="I308" s="35" t="s">
        <v>384</v>
      </c>
      <c r="J308" s="36">
        <v>1995</v>
      </c>
      <c r="K308" s="39">
        <v>70.5833333333333</v>
      </c>
      <c r="L308" s="37">
        <v>818000</v>
      </c>
      <c r="M308" s="35" t="s">
        <v>847</v>
      </c>
      <c r="N308" s="27">
        <v>730142</v>
      </c>
      <c r="O308" s="38">
        <v>1.43703348852642</v>
      </c>
      <c r="P308" s="38">
        <v>103.777069314339</v>
      </c>
      <c r="Q308" s="38" t="str" cm="1">
        <f t="array" ref="Q308">INDEX('MRT station dataset'!$C$3:$C$179, MATCH(MIN(SQRT(('MRT station dataset'!$E$3:$E$179-'Resale flat dataset'!O308)^2+('MRT station dataset'!$F$3:$F$179-'Resale flat dataset'!P308)^2)), SQRT(('MRT station dataset'!$E$3:$E$179-'Resale flat dataset'!O308)^2+('MRT station dataset'!$F$3:$F$179-'Resale flat dataset'!P308)^2), 0))</f>
        <v>MARSILING MRT STATION</v>
      </c>
      <c r="R308" s="38" t="str" cm="1">
        <f t="array" ref="R308">INDEX('Mall Dataset'!$B$3:$B$157, MATCH(MIN(SQRT(('Mall Dataset'!$E$3:$E$157-'Resale flat dataset'!O308)^2+('Mall Dataset'!$F$3:$F$157-'Resale flat dataset'!P308)^2)), SQRT(('Mall Dataset'!$E$3:$E$157-'Resale flat dataset'!O308)^2+('Mall Dataset'!$F$3:$F$157-'Resale flat dataset'!P308)^2), 0))</f>
        <v>Marsiling Mall</v>
      </c>
      <c r="S308" s="38" t="str" cm="1">
        <f t="array" ref="S308">INDEX('Schools dataset'!$B$3:$B$187, MATCH(MIN(SQRT(('Schools dataset'!$J$3:$J$187-'Resale flat dataset'!O308)^2+('Schools dataset'!$K$3:$K$187-'Resale flat dataset'!P308)^2)), SQRT(('Schools dataset'!$J$3:$J$187-'Resale flat dataset'!O308)^2+('Schools dataset'!$K$3:$K$187-'Resale flat dataset'!P308)^2), 0))</f>
        <v>MARSILING PRIMARY SCHOOL</v>
      </c>
      <c r="T308" s="39">
        <f>ACOS(COS(RADIANS(90-O308))*COS(RADIANS(90-_xlfn.XLOOKUP(Q308,'MRT station dataset'!$C$3:$C$179,'MRT station dataset'!$E$3:$E$179)))+SIN(RADIANS(90-O308))*SIN(RADIANS(90-_xlfn.XLOOKUP(Q308,'MRT station dataset'!$C$3:$C$179,'MRT station dataset'!$E$3:$E$179)))*COS(RADIANS(P308-_xlfn.XLOOKUP('Resale flat dataset'!Q308,'MRT station dataset'!$C$3:$C$179,'MRT station dataset'!$F$3:$F$179))))*6371*1000</f>
        <v>602.54742600579368</v>
      </c>
      <c r="U308" s="39">
        <f>ACOS(COS(RADIANS(90-O308))*COS(RADIANS(90-_xlfn.XLOOKUP(R308,'Mall Dataset'!$B$3:$B$157,'Mall Dataset'!$E$3:$E$157,,0)))+SIN(RADIANS(90-O308))*SIN(RADIANS(90-_xlfn.XLOOKUP(R308,'Mall Dataset'!$B$3:$B$157,'Mall Dataset'!$E$3:$E$157,,0)))*COS(RADIANS(P308-_xlfn.XLOOKUP(R308,'Mall Dataset'!$B$3:$B$157,'Mall Dataset'!$F$3:$F$157,,0))))*6371*1000</f>
        <v>498.37006929854908</v>
      </c>
      <c r="V308" s="39">
        <f>ACOS(COS(RADIANS(90-O308))*COS(RADIANS(90-_xlfn.XLOOKUP(S308,'Schools dataset'!$B$3:$B$187,'Schools dataset'!$J$3:$J$187,,0)))+SIN(RADIANS(90-O308))*SIN(RADIANS(90-_xlfn.XLOOKUP(S308,'Schools dataset'!$B$3:$B$187,'Schools dataset'!$J$3:$J$187,,0)))*COS(RADIANS(P308-_xlfn.XLOOKUP(S308,'Schools dataset'!$B$3:$B$187,'Schools dataset'!$K$3:$K$187,,0))))*6371*1000</f>
        <v>514.53607304721288</v>
      </c>
      <c r="W308" s="20">
        <f>_xlfn.XLOOKUP(T308,'HDB Recommender'!$P$10:$P$39,'HDB Recommender'!$Q$10:$Q$39,"&gt;30mins",1)</f>
        <v>9</v>
      </c>
      <c r="X308" s="20">
        <f>_xlfn.XLOOKUP(U308,'HDB Recommender'!$P$10:$P$39,'HDB Recommender'!$Q$10:$Q$39,"&gt;30mins",1)</f>
        <v>7</v>
      </c>
      <c r="Y308" s="20">
        <f>_xlfn.XLOOKUP(V308,'HDB Recommender'!$P$10:$P$39,'HDB Recommender'!$Q$10:$Q$39,"&gt;30mins",1)</f>
        <v>7</v>
      </c>
      <c r="Z308" s="39">
        <f t="shared" si="9"/>
        <v>7.666666666666667</v>
      </c>
      <c r="AA308" s="20" t="str">
        <f t="shared" si="8"/>
        <v>Within 1km</v>
      </c>
    </row>
    <row r="309" spans="2:27" hidden="1">
      <c r="B309" s="35" t="s">
        <v>317</v>
      </c>
      <c r="C309" s="35" t="s">
        <v>848</v>
      </c>
      <c r="D309" s="35" t="s">
        <v>395</v>
      </c>
      <c r="E309" s="35">
        <v>459</v>
      </c>
      <c r="F309" s="35" t="s">
        <v>849</v>
      </c>
      <c r="G309" s="35" t="s">
        <v>191</v>
      </c>
      <c r="H309" s="35">
        <v>48</v>
      </c>
      <c r="I309" s="35" t="s">
        <v>335</v>
      </c>
      <c r="J309" s="36">
        <v>2013</v>
      </c>
      <c r="K309" s="39">
        <v>88.9166666666666</v>
      </c>
      <c r="L309" s="37">
        <v>315000</v>
      </c>
      <c r="M309" s="35" t="s">
        <v>850</v>
      </c>
      <c r="N309" s="27">
        <v>760459</v>
      </c>
      <c r="O309" s="38">
        <v>1.42103574926841</v>
      </c>
      <c r="P309" s="38">
        <v>103.846333547036</v>
      </c>
      <c r="Q309" s="38" t="str" cm="1">
        <f t="array" ref="Q309">INDEX('MRT station dataset'!$C$3:$C$179, MATCH(MIN(SQRT(('MRT station dataset'!$E$3:$E$179-'Resale flat dataset'!O309)^2+('MRT station dataset'!$F$3:$F$179-'Resale flat dataset'!P309)^2)), SQRT(('MRT station dataset'!$E$3:$E$179-'Resale flat dataset'!O309)^2+('MRT station dataset'!$F$3:$F$179-'Resale flat dataset'!P309)^2), 0))</f>
        <v>KHATIB MRT STATION</v>
      </c>
      <c r="R309" s="38" t="str" cm="1">
        <f t="array" ref="R309">INDEX('Mall Dataset'!$B$3:$B$157, MATCH(MIN(SQRT(('Mall Dataset'!$E$3:$E$157-'Resale flat dataset'!O309)^2+('Mall Dataset'!$F$3:$F$157-'Resale flat dataset'!P309)^2)), SQRT(('Mall Dataset'!$E$3:$E$157-'Resale flat dataset'!O309)^2+('Mall Dataset'!$F$3:$F$157-'Resale flat dataset'!P309)^2), 0))</f>
        <v>Wisteria Mall</v>
      </c>
      <c r="S309" s="38" t="str" cm="1">
        <f t="array" ref="S309">INDEX('Schools dataset'!$B$3:$B$187, MATCH(MIN(SQRT(('Schools dataset'!$J$3:$J$187-'Resale flat dataset'!O309)^2+('Schools dataset'!$K$3:$K$187-'Resale flat dataset'!P309)^2)), SQRT(('Schools dataset'!$J$3:$J$187-'Resale flat dataset'!O309)^2+('Schools dataset'!$K$3:$K$187-'Resale flat dataset'!P309)^2), 0))</f>
        <v>NORTHLAND PRIMARY SCHOOL</v>
      </c>
      <c r="T309" s="39">
        <f>ACOS(COS(RADIANS(90-O309))*COS(RADIANS(90-_xlfn.XLOOKUP(Q309,'MRT station dataset'!$C$3:$C$179,'MRT station dataset'!$E$3:$E$179)))+SIN(RADIANS(90-O309))*SIN(RADIANS(90-_xlfn.XLOOKUP(Q309,'MRT station dataset'!$C$3:$C$179,'MRT station dataset'!$E$3:$E$179)))*COS(RADIANS(P309-_xlfn.XLOOKUP('Resale flat dataset'!Q309,'MRT station dataset'!$C$3:$C$179,'MRT station dataset'!$F$3:$F$179))))*6371*1000</f>
        <v>1536.3143242927986</v>
      </c>
      <c r="U309" s="39">
        <f>ACOS(COS(RADIANS(90-O309))*COS(RADIANS(90-_xlfn.XLOOKUP(R309,'Mall Dataset'!$B$3:$B$157,'Mall Dataset'!$E$3:$E$157,,0)))+SIN(RADIANS(90-O309))*SIN(RADIANS(90-_xlfn.XLOOKUP(R309,'Mall Dataset'!$B$3:$B$157,'Mall Dataset'!$E$3:$E$157,,0)))*COS(RADIANS(P309-_xlfn.XLOOKUP(R309,'Mall Dataset'!$B$3:$B$157,'Mall Dataset'!$F$3:$F$157,,0))))*6371*1000</f>
        <v>652.41993015650053</v>
      </c>
      <c r="V309" s="39">
        <f>ACOS(COS(RADIANS(90-O309))*COS(RADIANS(90-_xlfn.XLOOKUP(S309,'Schools dataset'!$B$3:$B$187,'Schools dataset'!$J$3:$J$187,,0)))+SIN(RADIANS(90-O309))*SIN(RADIANS(90-_xlfn.XLOOKUP(S309,'Schools dataset'!$B$3:$B$187,'Schools dataset'!$J$3:$J$187,,0)))*COS(RADIANS(P309-_xlfn.XLOOKUP(S309,'Schools dataset'!$B$3:$B$187,'Schools dataset'!$K$3:$K$187,,0))))*6371*1000</f>
        <v>616.62181795275626</v>
      </c>
      <c r="W309" s="20">
        <f>_xlfn.XLOOKUP(T309,'HDB Recommender'!$P$10:$P$39,'HDB Recommender'!$Q$10:$Q$39,"&gt;30mins",1)</f>
        <v>21</v>
      </c>
      <c r="X309" s="20">
        <f>_xlfn.XLOOKUP(U309,'HDB Recommender'!$P$10:$P$39,'HDB Recommender'!$Q$10:$Q$39,"&gt;30mins",1)</f>
        <v>9</v>
      </c>
      <c r="Y309" s="20">
        <f>_xlfn.XLOOKUP(V309,'HDB Recommender'!$P$10:$P$39,'HDB Recommender'!$Q$10:$Q$39,"&gt;30mins",1)</f>
        <v>9</v>
      </c>
      <c r="Z309" s="39">
        <f t="shared" si="9"/>
        <v>13</v>
      </c>
      <c r="AA309" s="20" t="str">
        <f t="shared" si="8"/>
        <v>Within 1km</v>
      </c>
    </row>
    <row r="310" spans="2:27" hidden="1">
      <c r="B310" s="35" t="s">
        <v>317</v>
      </c>
      <c r="C310" s="35" t="s">
        <v>848</v>
      </c>
      <c r="D310" s="35" t="s">
        <v>318</v>
      </c>
      <c r="E310" s="35"/>
      <c r="F310" s="35" t="s">
        <v>851</v>
      </c>
      <c r="G310" s="35" t="s">
        <v>323</v>
      </c>
      <c r="H310" s="35">
        <v>68</v>
      </c>
      <c r="I310" s="35" t="s">
        <v>335</v>
      </c>
      <c r="J310" s="36">
        <v>2018</v>
      </c>
      <c r="K310" s="39">
        <v>93.3333333333333</v>
      </c>
      <c r="L310" s="37">
        <v>435000</v>
      </c>
      <c r="M310" s="35" t="s">
        <v>852</v>
      </c>
      <c r="N310" s="27">
        <v>763672</v>
      </c>
      <c r="O310" s="38">
        <v>1.41836093867258</v>
      </c>
      <c r="P310" s="38">
        <v>103.842650670571</v>
      </c>
      <c r="Q310" s="38" t="str" cm="1">
        <f t="array" ref="Q310">INDEX('MRT station dataset'!$C$3:$C$179, MATCH(MIN(SQRT(('MRT station dataset'!$E$3:$E$179-'Resale flat dataset'!O310)^2+('MRT station dataset'!$F$3:$F$179-'Resale flat dataset'!P310)^2)), SQRT(('MRT station dataset'!$E$3:$E$179-'Resale flat dataset'!O310)^2+('MRT station dataset'!$F$3:$F$179-'Resale flat dataset'!P310)^2), 0))</f>
        <v>KHATIB MRT STATION</v>
      </c>
      <c r="R310" s="38" t="str" cm="1">
        <f t="array" ref="R310">INDEX('Mall Dataset'!$B$3:$B$157, MATCH(MIN(SQRT(('Mall Dataset'!$E$3:$E$157-'Resale flat dataset'!O310)^2+('Mall Dataset'!$F$3:$F$157-'Resale flat dataset'!P310)^2)), SQRT(('Mall Dataset'!$E$3:$E$157-'Resale flat dataset'!O310)^2+('Mall Dataset'!$F$3:$F$157-'Resale flat dataset'!P310)^2), 0))</f>
        <v>Wisteria Mall</v>
      </c>
      <c r="S310" s="38" t="str" cm="1">
        <f t="array" ref="S310">INDEX('Schools dataset'!$B$3:$B$187, MATCH(MIN(SQRT(('Schools dataset'!$J$3:$J$187-'Resale flat dataset'!O310)^2+('Schools dataset'!$K$3:$K$187-'Resale flat dataset'!P310)^2)), SQRT(('Schools dataset'!$J$3:$J$187-'Resale flat dataset'!O310)^2+('Schools dataset'!$K$3:$K$187-'Resale flat dataset'!P310)^2), 0))</f>
        <v>NORTHLAND PRIMARY SCHOOL</v>
      </c>
      <c r="T310" s="39">
        <f>ACOS(COS(RADIANS(90-O310))*COS(RADIANS(90-_xlfn.XLOOKUP(Q310,'MRT station dataset'!$C$3:$C$179,'MRT station dataset'!$E$3:$E$179)))+SIN(RADIANS(90-O310))*SIN(RADIANS(90-_xlfn.XLOOKUP(Q310,'MRT station dataset'!$C$3:$C$179,'MRT station dataset'!$E$3:$E$179)))*COS(RADIANS(P310-_xlfn.XLOOKUP('Resale flat dataset'!Q310,'MRT station dataset'!$C$3:$C$179,'MRT station dataset'!$F$3:$F$179))))*6371*1000</f>
        <v>1078.085257527272</v>
      </c>
      <c r="U310" s="39">
        <f>ACOS(COS(RADIANS(90-O310))*COS(RADIANS(90-_xlfn.XLOOKUP(R310,'Mall Dataset'!$B$3:$B$157,'Mall Dataset'!$E$3:$E$157,,0)))+SIN(RADIANS(90-O310))*SIN(RADIANS(90-_xlfn.XLOOKUP(R310,'Mall Dataset'!$B$3:$B$157,'Mall Dataset'!$E$3:$E$157,,0)))*COS(RADIANS(P310-_xlfn.XLOOKUP(R310,'Mall Dataset'!$B$3:$B$157,'Mall Dataset'!$F$3:$F$157,,0))))*6371*1000</f>
        <v>153.8606858350573</v>
      </c>
      <c r="V310" s="39">
        <f>ACOS(COS(RADIANS(90-O310))*COS(RADIANS(90-_xlfn.XLOOKUP(S310,'Schools dataset'!$B$3:$B$187,'Schools dataset'!$J$3:$J$187,,0)))+SIN(RADIANS(90-O310))*SIN(RADIANS(90-_xlfn.XLOOKUP(S310,'Schools dataset'!$B$3:$B$187,'Schools dataset'!$J$3:$J$187,,0)))*COS(RADIANS(P310-_xlfn.XLOOKUP(S310,'Schools dataset'!$B$3:$B$187,'Schools dataset'!$K$3:$K$187,,0))))*6371*1000</f>
        <v>386.96730283781176</v>
      </c>
      <c r="W310" s="20">
        <f>_xlfn.XLOOKUP(T310,'HDB Recommender'!$P$10:$P$39,'HDB Recommender'!$Q$10:$Q$39,"&gt;30mins",1)</f>
        <v>15</v>
      </c>
      <c r="X310" s="20">
        <f>_xlfn.XLOOKUP(U310,'HDB Recommender'!$P$10:$P$39,'HDB Recommender'!$Q$10:$Q$39,"&gt;30mins",1)</f>
        <v>3</v>
      </c>
      <c r="Y310" s="20">
        <f>_xlfn.XLOOKUP(V310,'HDB Recommender'!$P$10:$P$39,'HDB Recommender'!$Q$10:$Q$39,"&gt;30mins",1)</f>
        <v>6</v>
      </c>
      <c r="Z310" s="39">
        <f t="shared" si="9"/>
        <v>8</v>
      </c>
      <c r="AA310" s="20" t="str">
        <f t="shared" si="8"/>
        <v>Within 1km</v>
      </c>
    </row>
    <row r="311" spans="2:27" hidden="1">
      <c r="B311" s="35" t="s">
        <v>317</v>
      </c>
      <c r="C311" s="35" t="s">
        <v>848</v>
      </c>
      <c r="D311" s="35" t="s">
        <v>318</v>
      </c>
      <c r="E311" s="35">
        <v>116</v>
      </c>
      <c r="F311" s="35" t="s">
        <v>853</v>
      </c>
      <c r="G311" s="35" t="s">
        <v>349</v>
      </c>
      <c r="H311" s="35">
        <v>74</v>
      </c>
      <c r="I311" s="35" t="s">
        <v>335</v>
      </c>
      <c r="J311" s="36">
        <v>1983</v>
      </c>
      <c r="K311" s="39">
        <v>58.75</v>
      </c>
      <c r="L311" s="37">
        <v>360000</v>
      </c>
      <c r="M311" s="35" t="s">
        <v>854</v>
      </c>
      <c r="N311" s="27">
        <v>760116</v>
      </c>
      <c r="O311" s="38">
        <v>1.4350275024905199</v>
      </c>
      <c r="P311" s="38">
        <v>103.82813490143</v>
      </c>
      <c r="Q311" s="38" t="str" cm="1">
        <f t="array" ref="Q311">INDEX('MRT station dataset'!$C$3:$C$179, MATCH(MIN(SQRT(('MRT station dataset'!$E$3:$E$179-'Resale flat dataset'!O311)^2+('MRT station dataset'!$F$3:$F$179-'Resale flat dataset'!P311)^2)), SQRT(('MRT station dataset'!$E$3:$E$179-'Resale flat dataset'!O311)^2+('MRT station dataset'!$F$3:$F$179-'Resale flat dataset'!P311)^2), 0))</f>
        <v>CANBERRA MRT STATION</v>
      </c>
      <c r="R311" s="38" t="str" cm="1">
        <f t="array" ref="R311">INDEX('Mall Dataset'!$B$3:$B$157, MATCH(MIN(SQRT(('Mall Dataset'!$E$3:$E$157-'Resale flat dataset'!O311)^2+('Mall Dataset'!$F$3:$F$157-'Resale flat dataset'!P311)^2)), SQRT(('Mall Dataset'!$E$3:$E$157-'Resale flat dataset'!O311)^2+('Mall Dataset'!$F$3:$F$157-'Resale flat dataset'!P311)^2), 0))</f>
        <v>Sembawang Shopping Centre</v>
      </c>
      <c r="S311" s="38" t="str" cm="1">
        <f t="array" ref="S311">INDEX('Schools dataset'!$B$3:$B$187, MATCH(MIN(SQRT(('Schools dataset'!$J$3:$J$187-'Resale flat dataset'!O311)^2+('Schools dataset'!$K$3:$K$187-'Resale flat dataset'!P311)^2)), SQRT(('Schools dataset'!$J$3:$J$187-'Resale flat dataset'!O311)^2+('Schools dataset'!$K$3:$K$187-'Resale flat dataset'!P311)^2), 0))</f>
        <v>AHMAD IBRAHIM PRIMARY SCHOOL</v>
      </c>
      <c r="T311" s="39">
        <f>ACOS(COS(RADIANS(90-O311))*COS(RADIANS(90-_xlfn.XLOOKUP(Q311,'MRT station dataset'!$C$3:$C$179,'MRT station dataset'!$E$3:$E$179)))+SIN(RADIANS(90-O311))*SIN(RADIANS(90-_xlfn.XLOOKUP(Q311,'MRT station dataset'!$C$3:$C$179,'MRT station dataset'!$E$3:$E$179)))*COS(RADIANS(P311-_xlfn.XLOOKUP('Resale flat dataset'!Q311,'MRT station dataset'!$C$3:$C$179,'MRT station dataset'!$F$3:$F$179))))*6371*1000</f>
        <v>914.32529567330789</v>
      </c>
      <c r="U311" s="39">
        <f>ACOS(COS(RADIANS(90-O311))*COS(RADIANS(90-_xlfn.XLOOKUP(R311,'Mall Dataset'!$B$3:$B$157,'Mall Dataset'!$E$3:$E$157,,0)))+SIN(RADIANS(90-O311))*SIN(RADIANS(90-_xlfn.XLOOKUP(R311,'Mall Dataset'!$B$3:$B$157,'Mall Dataset'!$E$3:$E$157,,0)))*COS(RADIANS(P311-_xlfn.XLOOKUP(R311,'Mall Dataset'!$B$3:$B$157,'Mall Dataset'!$F$3:$F$157,,0))))*6371*1000</f>
        <v>843.1069073664072</v>
      </c>
      <c r="V311" s="39">
        <f>ACOS(COS(RADIANS(90-O311))*COS(RADIANS(90-_xlfn.XLOOKUP(S311,'Schools dataset'!$B$3:$B$187,'Schools dataset'!$J$3:$J$187,,0)))+SIN(RADIANS(90-O311))*SIN(RADIANS(90-_xlfn.XLOOKUP(S311,'Schools dataset'!$B$3:$B$187,'Schools dataset'!$J$3:$J$187,,0)))*COS(RADIANS(P311-_xlfn.XLOOKUP(S311,'Schools dataset'!$B$3:$B$187,'Schools dataset'!$K$3:$K$187,,0))))*6371*1000</f>
        <v>573.62359728900071</v>
      </c>
      <c r="W311" s="20">
        <f>_xlfn.XLOOKUP(T311,'HDB Recommender'!$P$10:$P$39,'HDB Recommender'!$Q$10:$Q$39,"&gt;30mins",1)</f>
        <v>13</v>
      </c>
      <c r="X311" s="20">
        <f>_xlfn.XLOOKUP(U311,'HDB Recommender'!$P$10:$P$39,'HDB Recommender'!$Q$10:$Q$39,"&gt;30mins",1)</f>
        <v>12</v>
      </c>
      <c r="Y311" s="20">
        <f>_xlfn.XLOOKUP(V311,'HDB Recommender'!$P$10:$P$39,'HDB Recommender'!$Q$10:$Q$39,"&gt;30mins",1)</f>
        <v>8</v>
      </c>
      <c r="Z311" s="39">
        <f t="shared" si="9"/>
        <v>11</v>
      </c>
      <c r="AA311" s="20" t="str">
        <f t="shared" si="8"/>
        <v>Within 1km</v>
      </c>
    </row>
    <row r="312" spans="2:27" hidden="1">
      <c r="B312" s="35" t="s">
        <v>317</v>
      </c>
      <c r="C312" s="35" t="s">
        <v>848</v>
      </c>
      <c r="D312" s="35" t="s">
        <v>318</v>
      </c>
      <c r="E312" s="35">
        <v>621</v>
      </c>
      <c r="F312" s="35" t="s">
        <v>853</v>
      </c>
      <c r="G312" s="35" t="s">
        <v>189</v>
      </c>
      <c r="H312" s="35">
        <v>73</v>
      </c>
      <c r="I312" s="35" t="s">
        <v>335</v>
      </c>
      <c r="J312" s="36">
        <v>1988</v>
      </c>
      <c r="K312" s="39">
        <v>63.4166666666666</v>
      </c>
      <c r="L312" s="37">
        <v>373000</v>
      </c>
      <c r="M312" s="35" t="s">
        <v>855</v>
      </c>
      <c r="N312" s="27">
        <v>760621</v>
      </c>
      <c r="O312" s="38">
        <v>1.41866701105824</v>
      </c>
      <c r="P312" s="38">
        <v>103.835186975512</v>
      </c>
      <c r="Q312" s="38" t="str" cm="1">
        <f t="array" ref="Q312">INDEX('MRT station dataset'!$C$3:$C$179, MATCH(MIN(SQRT(('MRT station dataset'!$E$3:$E$179-'Resale flat dataset'!O312)^2+('MRT station dataset'!$F$3:$F$179-'Resale flat dataset'!P312)^2)), SQRT(('MRT station dataset'!$E$3:$E$179-'Resale flat dataset'!O312)^2+('MRT station dataset'!$F$3:$F$179-'Resale flat dataset'!P312)^2), 0))</f>
        <v>KHATIB MRT STATION</v>
      </c>
      <c r="R312" s="38" t="str" cm="1">
        <f t="array" ref="R312">INDEX('Mall Dataset'!$B$3:$B$157, MATCH(MIN(SQRT(('Mall Dataset'!$E$3:$E$157-'Resale flat dataset'!O312)^2+('Mall Dataset'!$F$3:$F$157-'Resale flat dataset'!P312)^2)), SQRT(('Mall Dataset'!$E$3:$E$157-'Resale flat dataset'!O312)^2+('Mall Dataset'!$F$3:$F$157-'Resale flat dataset'!P312)^2), 0))</f>
        <v>Wisteria Mall</v>
      </c>
      <c r="S312" s="38" t="str" cm="1">
        <f t="array" ref="S312">INDEX('Schools dataset'!$B$3:$B$187, MATCH(MIN(SQRT(('Schools dataset'!$J$3:$J$187-'Resale flat dataset'!O312)^2+('Schools dataset'!$K$3:$K$187-'Resale flat dataset'!P312)^2)), SQRT(('Schools dataset'!$J$3:$J$187-'Resale flat dataset'!O312)^2+('Schools dataset'!$K$3:$K$187-'Resale flat dataset'!P312)^2), 0))</f>
        <v>NAVAL BASE PRIMARY SCHOOL</v>
      </c>
      <c r="T312" s="39">
        <f>ACOS(COS(RADIANS(90-O312))*COS(RADIANS(90-_xlfn.XLOOKUP(Q312,'MRT station dataset'!$C$3:$C$179,'MRT station dataset'!$E$3:$E$179)))+SIN(RADIANS(90-O312))*SIN(RADIANS(90-_xlfn.XLOOKUP(Q312,'MRT station dataset'!$C$3:$C$179,'MRT station dataset'!$E$3:$E$179)))*COS(RADIANS(P312-_xlfn.XLOOKUP('Resale flat dataset'!Q312,'MRT station dataset'!$C$3:$C$179,'MRT station dataset'!$F$3:$F$179))))*6371*1000</f>
        <v>280.97903768801814</v>
      </c>
      <c r="U312" s="39">
        <f>ACOS(COS(RADIANS(90-O312))*COS(RADIANS(90-_xlfn.XLOOKUP(R312,'Mall Dataset'!$B$3:$B$157,'Mall Dataset'!$E$3:$E$157,,0)))+SIN(RADIANS(90-O312))*SIN(RADIANS(90-_xlfn.XLOOKUP(R312,'Mall Dataset'!$B$3:$B$157,'Mall Dataset'!$E$3:$E$157,,0)))*COS(RADIANS(P312-_xlfn.XLOOKUP(R312,'Mall Dataset'!$B$3:$B$157,'Mall Dataset'!$F$3:$F$157,,0))))*6371*1000</f>
        <v>685.60059835792458</v>
      </c>
      <c r="V312" s="39">
        <f>ACOS(COS(RADIANS(90-O312))*COS(RADIANS(90-_xlfn.XLOOKUP(S312,'Schools dataset'!$B$3:$B$187,'Schools dataset'!$J$3:$J$187,,0)))+SIN(RADIANS(90-O312))*SIN(RADIANS(90-_xlfn.XLOOKUP(S312,'Schools dataset'!$B$3:$B$187,'Schools dataset'!$J$3:$J$187,,0)))*COS(RADIANS(P312-_xlfn.XLOOKUP(S312,'Schools dataset'!$B$3:$B$187,'Schools dataset'!$K$3:$K$187,,0))))*6371*1000</f>
        <v>532.72158949007849</v>
      </c>
      <c r="W312" s="20">
        <f>_xlfn.XLOOKUP(T312,'HDB Recommender'!$P$10:$P$39,'HDB Recommender'!$Q$10:$Q$39,"&gt;30mins",1)</f>
        <v>4</v>
      </c>
      <c r="X312" s="20">
        <f>_xlfn.XLOOKUP(U312,'HDB Recommender'!$P$10:$P$39,'HDB Recommender'!$Q$10:$Q$39,"&gt;30mins",1)</f>
        <v>10</v>
      </c>
      <c r="Y312" s="20">
        <f>_xlfn.XLOOKUP(V312,'HDB Recommender'!$P$10:$P$39,'HDB Recommender'!$Q$10:$Q$39,"&gt;30mins",1)</f>
        <v>8</v>
      </c>
      <c r="Z312" s="39">
        <f t="shared" si="9"/>
        <v>7.333333333333333</v>
      </c>
      <c r="AA312" s="20" t="str">
        <f t="shared" si="8"/>
        <v>Within 1km</v>
      </c>
    </row>
    <row r="313" spans="2:27" hidden="1">
      <c r="B313" s="35" t="s">
        <v>317</v>
      </c>
      <c r="C313" s="35" t="s">
        <v>848</v>
      </c>
      <c r="D313" s="35" t="s">
        <v>20</v>
      </c>
      <c r="E313" s="35">
        <v>419</v>
      </c>
      <c r="F313" s="35" t="s">
        <v>849</v>
      </c>
      <c r="G313" s="35" t="s">
        <v>189</v>
      </c>
      <c r="H313" s="35">
        <v>104</v>
      </c>
      <c r="I313" s="35" t="s">
        <v>335</v>
      </c>
      <c r="J313" s="36">
        <v>1993</v>
      </c>
      <c r="K313" s="39">
        <v>68.4166666666666</v>
      </c>
      <c r="L313" s="37">
        <v>450000</v>
      </c>
      <c r="M313" s="35" t="s">
        <v>856</v>
      </c>
      <c r="N313" s="27">
        <v>760419</v>
      </c>
      <c r="O313" s="38">
        <v>1.4237885551274201</v>
      </c>
      <c r="P313" s="38">
        <v>103.84730287354201</v>
      </c>
      <c r="Q313" s="38" t="str" cm="1">
        <f t="array" ref="Q313">INDEX('MRT station dataset'!$C$3:$C$179, MATCH(MIN(SQRT(('MRT station dataset'!$E$3:$E$179-'Resale flat dataset'!O313)^2+('MRT station dataset'!$F$3:$F$179-'Resale flat dataset'!P313)^2)), SQRT(('MRT station dataset'!$E$3:$E$179-'Resale flat dataset'!O313)^2+('MRT station dataset'!$F$3:$F$179-'Resale flat dataset'!P313)^2), 0))</f>
        <v>YISHUN MRT STATION</v>
      </c>
      <c r="R313" s="38" t="str" cm="1">
        <f t="array" ref="R313">INDEX('Mall Dataset'!$B$3:$B$157, MATCH(MIN(SQRT(('Mall Dataset'!$E$3:$E$157-'Resale flat dataset'!O313)^2+('Mall Dataset'!$F$3:$F$157-'Resale flat dataset'!P313)^2)), SQRT(('Mall Dataset'!$E$3:$E$157-'Resale flat dataset'!O313)^2+('Mall Dataset'!$F$3:$F$157-'Resale flat dataset'!P313)^2), 0))</f>
        <v>Wisteria Mall</v>
      </c>
      <c r="S313" s="38" t="str" cm="1">
        <f t="array" ref="S313">INDEX('Schools dataset'!$B$3:$B$187, MATCH(MIN(SQRT(('Schools dataset'!$J$3:$J$187-'Resale flat dataset'!O313)^2+('Schools dataset'!$K$3:$K$187-'Resale flat dataset'!P313)^2)), SQRT(('Schools dataset'!$J$3:$J$187-'Resale flat dataset'!O313)^2+('Schools dataset'!$K$3:$K$187-'Resale flat dataset'!P313)^2), 0))</f>
        <v>NORTH VIEW PRIMARY SCHOOL</v>
      </c>
      <c r="T313" s="39">
        <f>ACOS(COS(RADIANS(90-O313))*COS(RADIANS(90-_xlfn.XLOOKUP(Q313,'MRT station dataset'!$C$3:$C$179,'MRT station dataset'!$E$3:$E$179)))+SIN(RADIANS(90-O313))*SIN(RADIANS(90-_xlfn.XLOOKUP(Q313,'MRT station dataset'!$C$3:$C$179,'MRT station dataset'!$E$3:$E$179)))*COS(RADIANS(P313-_xlfn.XLOOKUP('Resale flat dataset'!Q313,'MRT station dataset'!$C$3:$C$179,'MRT station dataset'!$F$3:$F$179))))*6371*1000</f>
        <v>1503.2106257704934</v>
      </c>
      <c r="U313" s="39">
        <f>ACOS(COS(RADIANS(90-O313))*COS(RADIANS(90-_xlfn.XLOOKUP(R313,'Mall Dataset'!$B$3:$B$157,'Mall Dataset'!$E$3:$E$157,,0)))+SIN(RADIANS(90-O313))*SIN(RADIANS(90-_xlfn.XLOOKUP(R313,'Mall Dataset'!$B$3:$B$157,'Mall Dataset'!$E$3:$E$157,,0)))*COS(RADIANS(P313-_xlfn.XLOOKUP(R313,'Mall Dataset'!$B$3:$B$157,'Mall Dataset'!$F$3:$F$157,,0))))*6371*1000</f>
        <v>926.54117575524219</v>
      </c>
      <c r="V313" s="39">
        <f>ACOS(COS(RADIANS(90-O313))*COS(RADIANS(90-_xlfn.XLOOKUP(S313,'Schools dataset'!$B$3:$B$187,'Schools dataset'!$J$3:$J$187,,0)))+SIN(RADIANS(90-O313))*SIN(RADIANS(90-_xlfn.XLOOKUP(S313,'Schools dataset'!$B$3:$B$187,'Schools dataset'!$J$3:$J$187,,0)))*COS(RADIANS(P313-_xlfn.XLOOKUP(S313,'Schools dataset'!$B$3:$B$187,'Schools dataset'!$K$3:$K$187,,0))))*6371*1000</f>
        <v>424.49662178794557</v>
      </c>
      <c r="W313" s="20">
        <f>_xlfn.XLOOKUP(T313,'HDB Recommender'!$P$10:$P$39,'HDB Recommender'!$Q$10:$Q$39,"&gt;30mins",1)</f>
        <v>21</v>
      </c>
      <c r="X313" s="20">
        <f>_xlfn.XLOOKUP(U313,'HDB Recommender'!$P$10:$P$39,'HDB Recommender'!$Q$10:$Q$39,"&gt;30mins",1)</f>
        <v>13</v>
      </c>
      <c r="Y313" s="20">
        <f>_xlfn.XLOOKUP(V313,'HDB Recommender'!$P$10:$P$39,'HDB Recommender'!$Q$10:$Q$39,"&gt;30mins",1)</f>
        <v>6</v>
      </c>
      <c r="Z313" s="39">
        <f t="shared" si="9"/>
        <v>13.333333333333334</v>
      </c>
      <c r="AA313" s="20" t="str">
        <f t="shared" si="8"/>
        <v>Within 1km</v>
      </c>
    </row>
    <row r="314" spans="2:27" hidden="1">
      <c r="B314" s="35" t="s">
        <v>317</v>
      </c>
      <c r="C314" s="35" t="s">
        <v>848</v>
      </c>
      <c r="D314" s="35" t="s">
        <v>20</v>
      </c>
      <c r="E314" s="35">
        <v>770</v>
      </c>
      <c r="F314" s="35" t="s">
        <v>857</v>
      </c>
      <c r="G314" s="35" t="s">
        <v>189</v>
      </c>
      <c r="H314" s="35">
        <v>84</v>
      </c>
      <c r="I314" s="35" t="s">
        <v>369</v>
      </c>
      <c r="J314" s="36">
        <v>1986</v>
      </c>
      <c r="K314" s="39">
        <v>62.0833333333333</v>
      </c>
      <c r="L314" s="37">
        <v>420000</v>
      </c>
      <c r="M314" s="35" t="s">
        <v>858</v>
      </c>
      <c r="N314" s="27">
        <v>760770</v>
      </c>
      <c r="O314" s="38">
        <v>1.4244862600116499</v>
      </c>
      <c r="P314" s="38">
        <v>103.83225139177701</v>
      </c>
      <c r="Q314" s="38" t="str" cm="1">
        <f t="array" ref="Q314">INDEX('MRT station dataset'!$C$3:$C$179, MATCH(MIN(SQRT(('MRT station dataset'!$E$3:$E$179-'Resale flat dataset'!O314)^2+('MRT station dataset'!$F$3:$F$179-'Resale flat dataset'!P314)^2)), SQRT(('MRT station dataset'!$E$3:$E$179-'Resale flat dataset'!O314)^2+('MRT station dataset'!$F$3:$F$179-'Resale flat dataset'!P314)^2), 0))</f>
        <v>YISHUN MRT STATION</v>
      </c>
      <c r="R314" s="38" t="str" cm="1">
        <f t="array" ref="R314">INDEX('Mall Dataset'!$B$3:$B$157, MATCH(MIN(SQRT(('Mall Dataset'!$E$3:$E$157-'Resale flat dataset'!O314)^2+('Mall Dataset'!$F$3:$F$157-'Resale flat dataset'!P314)^2)), SQRT(('Mall Dataset'!$E$3:$E$157-'Resale flat dataset'!O314)^2+('Mall Dataset'!$F$3:$F$157-'Resale flat dataset'!P314)^2), 0))</f>
        <v>Northpoint City</v>
      </c>
      <c r="S314" s="38" t="str" cm="1">
        <f t="array" ref="S314">INDEX('Schools dataset'!$B$3:$B$187, MATCH(MIN(SQRT(('Schools dataset'!$J$3:$J$187-'Resale flat dataset'!O314)^2+('Schools dataset'!$K$3:$K$187-'Resale flat dataset'!P314)^2)), SQRT(('Schools dataset'!$J$3:$J$187-'Resale flat dataset'!O314)^2+('Schools dataset'!$K$3:$K$187-'Resale flat dataset'!P314)^2), 0))</f>
        <v>JIEMIN PRIMARY SCHOOL</v>
      </c>
      <c r="T314" s="39">
        <f>ACOS(COS(RADIANS(90-O314))*COS(RADIANS(90-_xlfn.XLOOKUP(Q314,'MRT station dataset'!$C$3:$C$179,'MRT station dataset'!$E$3:$E$179)))+SIN(RADIANS(90-O314))*SIN(RADIANS(90-_xlfn.XLOOKUP(Q314,'MRT station dataset'!$C$3:$C$179,'MRT station dataset'!$E$3:$E$179)))*COS(RADIANS(P314-_xlfn.XLOOKUP('Resale flat dataset'!Q314,'MRT station dataset'!$C$3:$C$179,'MRT station dataset'!$F$3:$F$179))))*6371*1000</f>
        <v>626.00870358483053</v>
      </c>
      <c r="U314" s="39">
        <f>ACOS(COS(RADIANS(90-O314))*COS(RADIANS(90-_xlfn.XLOOKUP(R314,'Mall Dataset'!$B$3:$B$157,'Mall Dataset'!$E$3:$E$157,,0)))+SIN(RADIANS(90-O314))*SIN(RADIANS(90-_xlfn.XLOOKUP(R314,'Mall Dataset'!$B$3:$B$157,'Mall Dataset'!$E$3:$E$157,,0)))*COS(RADIANS(P314-_xlfn.XLOOKUP(R314,'Mall Dataset'!$B$3:$B$157,'Mall Dataset'!$F$3:$F$157,,0))))*6371*1000</f>
        <v>622.58432353923524</v>
      </c>
      <c r="V314" s="39">
        <f>ACOS(COS(RADIANS(90-O314))*COS(RADIANS(90-_xlfn.XLOOKUP(S314,'Schools dataset'!$B$3:$B$187,'Schools dataset'!$J$3:$J$187,,0)))+SIN(RADIANS(90-O314))*SIN(RADIANS(90-_xlfn.XLOOKUP(S314,'Schools dataset'!$B$3:$B$187,'Schools dataset'!$J$3:$J$187,,0)))*COS(RADIANS(P314-_xlfn.XLOOKUP(S314,'Schools dataset'!$B$3:$B$187,'Schools dataset'!$K$3:$K$187,,0))))*6371*1000</f>
        <v>409.85616552604131</v>
      </c>
      <c r="W314" s="20">
        <f>_xlfn.XLOOKUP(T314,'HDB Recommender'!$P$10:$P$39,'HDB Recommender'!$Q$10:$Q$39,"&gt;30mins",1)</f>
        <v>9</v>
      </c>
      <c r="X314" s="20">
        <f>_xlfn.XLOOKUP(U314,'HDB Recommender'!$P$10:$P$39,'HDB Recommender'!$Q$10:$Q$39,"&gt;30mins",1)</f>
        <v>9</v>
      </c>
      <c r="Y314" s="20">
        <f>_xlfn.XLOOKUP(V314,'HDB Recommender'!$P$10:$P$39,'HDB Recommender'!$Q$10:$Q$39,"&gt;30mins",1)</f>
        <v>6</v>
      </c>
      <c r="Z314" s="39">
        <f t="shared" si="9"/>
        <v>8</v>
      </c>
      <c r="AA314" s="20" t="str">
        <f t="shared" si="8"/>
        <v>Within 1km</v>
      </c>
    </row>
    <row r="315" spans="2:27" hidden="1">
      <c r="B315" s="35" t="s">
        <v>317</v>
      </c>
      <c r="C315" s="35" t="s">
        <v>848</v>
      </c>
      <c r="D315" s="35" t="s">
        <v>20</v>
      </c>
      <c r="E315" s="35"/>
      <c r="F315" s="35" t="s">
        <v>851</v>
      </c>
      <c r="G315" s="35" t="s">
        <v>184</v>
      </c>
      <c r="H315" s="35">
        <v>93</v>
      </c>
      <c r="I315" s="35" t="s">
        <v>335</v>
      </c>
      <c r="J315" s="36">
        <v>2018</v>
      </c>
      <c r="K315" s="39">
        <v>93.5833333333333</v>
      </c>
      <c r="L315" s="37">
        <v>570000</v>
      </c>
      <c r="M315" s="35" t="s">
        <v>859</v>
      </c>
      <c r="N315" s="27">
        <v>761507</v>
      </c>
      <c r="O315" s="38">
        <v>1.4152879234843601</v>
      </c>
      <c r="P315" s="38">
        <v>103.83984650139</v>
      </c>
      <c r="Q315" s="38" t="str" cm="1">
        <f t="array" ref="Q315">INDEX('MRT station dataset'!$C$3:$C$179, MATCH(MIN(SQRT(('MRT station dataset'!$E$3:$E$179-'Resale flat dataset'!O315)^2+('MRT station dataset'!$F$3:$F$179-'Resale flat dataset'!P315)^2)), SQRT(('MRT station dataset'!$E$3:$E$179-'Resale flat dataset'!O315)^2+('MRT station dataset'!$F$3:$F$179-'Resale flat dataset'!P315)^2), 0))</f>
        <v>KHATIB MRT STATION</v>
      </c>
      <c r="R315" s="38" t="str" cm="1">
        <f t="array" ref="R315">INDEX('Mall Dataset'!$B$3:$B$157, MATCH(MIN(SQRT(('Mall Dataset'!$E$3:$E$157-'Resale flat dataset'!O315)^2+('Mall Dataset'!$F$3:$F$157-'Resale flat dataset'!P315)^2)), SQRT(('Mall Dataset'!$E$3:$E$157-'Resale flat dataset'!O315)^2+('Mall Dataset'!$F$3:$F$157-'Resale flat dataset'!P315)^2), 0))</f>
        <v>Wisteria Mall</v>
      </c>
      <c r="S315" s="38" t="str" cm="1">
        <f t="array" ref="S315">INDEX('Schools dataset'!$B$3:$B$187, MATCH(MIN(SQRT(('Schools dataset'!$J$3:$J$187-'Resale flat dataset'!O315)^2+('Schools dataset'!$K$3:$K$187-'Resale flat dataset'!P315)^2)), SQRT(('Schools dataset'!$J$3:$J$187-'Resale flat dataset'!O315)^2+('Schools dataset'!$K$3:$K$187-'Resale flat dataset'!P315)^2), 0))</f>
        <v>NAVAL BASE PRIMARY SCHOOL</v>
      </c>
      <c r="T315" s="39">
        <f>ACOS(COS(RADIANS(90-O315))*COS(RADIANS(90-_xlfn.XLOOKUP(Q315,'MRT station dataset'!$C$3:$C$179,'MRT station dataset'!$E$3:$E$179)))+SIN(RADIANS(90-O315))*SIN(RADIANS(90-_xlfn.XLOOKUP(Q315,'MRT station dataset'!$C$3:$C$179,'MRT station dataset'!$E$3:$E$179)))*COS(RADIANS(P315-_xlfn.XLOOKUP('Resale flat dataset'!Q315,'MRT station dataset'!$C$3:$C$179,'MRT station dataset'!$F$3:$F$179))))*6371*1000</f>
        <v>796.47560279450749</v>
      </c>
      <c r="U315" s="39">
        <f>ACOS(COS(RADIANS(90-O315))*COS(RADIANS(90-_xlfn.XLOOKUP(R315,'Mall Dataset'!$B$3:$B$157,'Mall Dataset'!$E$3:$E$157,,0)))+SIN(RADIANS(90-O315))*SIN(RADIANS(90-_xlfn.XLOOKUP(R315,'Mall Dataset'!$B$3:$B$157,'Mall Dataset'!$E$3:$E$157,,0)))*COS(RADIANS(P315-_xlfn.XLOOKUP(R315,'Mall Dataset'!$B$3:$B$157,'Mall Dataset'!$F$3:$F$157,,0))))*6371*1000</f>
        <v>342.02975794586109</v>
      </c>
      <c r="V315" s="39">
        <f>ACOS(COS(RADIANS(90-O315))*COS(RADIANS(90-_xlfn.XLOOKUP(S315,'Schools dataset'!$B$3:$B$187,'Schools dataset'!$J$3:$J$187,,0)))+SIN(RADIANS(90-O315))*SIN(RADIANS(90-_xlfn.XLOOKUP(S315,'Schools dataset'!$B$3:$B$187,'Schools dataset'!$J$3:$J$187,,0)))*COS(RADIANS(P315-_xlfn.XLOOKUP(S315,'Schools dataset'!$B$3:$B$187,'Schools dataset'!$K$3:$K$187,,0))))*6371*1000</f>
        <v>107.40996561654859</v>
      </c>
      <c r="W315" s="20">
        <f>_xlfn.XLOOKUP(T315,'HDB Recommender'!$P$10:$P$39,'HDB Recommender'!$Q$10:$Q$39,"&gt;30mins",1)</f>
        <v>11</v>
      </c>
      <c r="X315" s="20">
        <f>_xlfn.XLOOKUP(U315,'HDB Recommender'!$P$10:$P$39,'HDB Recommender'!$Q$10:$Q$39,"&gt;30mins",1)</f>
        <v>5</v>
      </c>
      <c r="Y315" s="20">
        <f>_xlfn.XLOOKUP(V315,'HDB Recommender'!$P$10:$P$39,'HDB Recommender'!$Q$10:$Q$39,"&gt;30mins",1)</f>
        <v>2</v>
      </c>
      <c r="Z315" s="39">
        <f t="shared" si="9"/>
        <v>6</v>
      </c>
      <c r="AA315" s="20" t="str">
        <f t="shared" si="8"/>
        <v>Within 1km</v>
      </c>
    </row>
    <row r="316" spans="2:27" hidden="1">
      <c r="B316" s="35" t="s">
        <v>317</v>
      </c>
      <c r="C316" s="35" t="s">
        <v>848</v>
      </c>
      <c r="D316" s="35" t="s">
        <v>20</v>
      </c>
      <c r="E316" s="35">
        <v>366</v>
      </c>
      <c r="F316" s="35" t="s">
        <v>853</v>
      </c>
      <c r="G316" s="35" t="s">
        <v>184</v>
      </c>
      <c r="H316" s="35">
        <v>104</v>
      </c>
      <c r="I316" s="35" t="s">
        <v>335</v>
      </c>
      <c r="J316" s="36">
        <v>1988</v>
      </c>
      <c r="K316" s="39">
        <v>63.9166666666666</v>
      </c>
      <c r="L316" s="37">
        <v>465000</v>
      </c>
      <c r="M316" s="35" t="s">
        <v>860</v>
      </c>
      <c r="N316" s="27">
        <v>760366</v>
      </c>
      <c r="O316" s="38">
        <v>1.4290809846700201</v>
      </c>
      <c r="P316" s="38">
        <v>103.845879659833</v>
      </c>
      <c r="Q316" s="38" t="str" cm="1">
        <f t="array" ref="Q316">INDEX('MRT station dataset'!$C$3:$C$179, MATCH(MIN(SQRT(('MRT station dataset'!$E$3:$E$179-'Resale flat dataset'!O316)^2+('MRT station dataset'!$F$3:$F$179-'Resale flat dataset'!P316)^2)), SQRT(('MRT station dataset'!$E$3:$E$179-'Resale flat dataset'!O316)^2+('MRT station dataset'!$F$3:$F$179-'Resale flat dataset'!P316)^2), 0))</f>
        <v>YISHUN MRT STATION</v>
      </c>
      <c r="R316" s="38" t="str" cm="1">
        <f t="array" ref="R316">INDEX('Mall Dataset'!$B$3:$B$157, MATCH(MIN(SQRT(('Mall Dataset'!$E$3:$E$157-'Resale flat dataset'!O316)^2+('Mall Dataset'!$F$3:$F$157-'Resale flat dataset'!P316)^2)), SQRT(('Mall Dataset'!$E$3:$E$157-'Resale flat dataset'!O316)^2+('Mall Dataset'!$F$3:$F$157-'Resale flat dataset'!P316)^2), 0))</f>
        <v>Junction Nine</v>
      </c>
      <c r="S316" s="38" t="str" cm="1">
        <f t="array" ref="S316">INDEX('Schools dataset'!$B$3:$B$187, MATCH(MIN(SQRT(('Schools dataset'!$J$3:$J$187-'Resale flat dataset'!O316)^2+('Schools dataset'!$K$3:$K$187-'Resale flat dataset'!P316)^2)), SQRT(('Schools dataset'!$J$3:$J$187-'Resale flat dataset'!O316)^2+('Schools dataset'!$K$3:$K$187-'Resale flat dataset'!P316)^2), 0))</f>
        <v>HUAMIN PRIMARY SCHOOL</v>
      </c>
      <c r="T316" s="39">
        <f>ACOS(COS(RADIANS(90-O316))*COS(RADIANS(90-_xlfn.XLOOKUP(Q316,'MRT station dataset'!$C$3:$C$179,'MRT station dataset'!$E$3:$E$179)))+SIN(RADIANS(90-O316))*SIN(RADIANS(90-_xlfn.XLOOKUP(Q316,'MRT station dataset'!$C$3:$C$179,'MRT station dataset'!$E$3:$E$179)))*COS(RADIANS(P316-_xlfn.XLOOKUP('Resale flat dataset'!Q316,'MRT station dataset'!$C$3:$C$179,'MRT station dataset'!$F$3:$F$179))))*6371*1000</f>
        <v>1209.9067309302709</v>
      </c>
      <c r="U316" s="39">
        <f>ACOS(COS(RADIANS(90-O316))*COS(RADIANS(90-_xlfn.XLOOKUP(R316,'Mall Dataset'!$B$3:$B$157,'Mall Dataset'!$E$3:$E$157,,0)))+SIN(RADIANS(90-O316))*SIN(RADIANS(90-_xlfn.XLOOKUP(R316,'Mall Dataset'!$B$3:$B$157,'Mall Dataset'!$E$3:$E$157,,0)))*COS(RADIANS(P316-_xlfn.XLOOKUP(R316,'Mall Dataset'!$B$3:$B$157,'Mall Dataset'!$F$3:$F$157,,0))))*6371*1000</f>
        <v>649.5411552073524</v>
      </c>
      <c r="V316" s="39">
        <f>ACOS(COS(RADIANS(90-O316))*COS(RADIANS(90-_xlfn.XLOOKUP(S316,'Schools dataset'!$B$3:$B$187,'Schools dataset'!$J$3:$J$187,,0)))+SIN(RADIANS(90-O316))*SIN(RADIANS(90-_xlfn.XLOOKUP(S316,'Schools dataset'!$B$3:$B$187,'Schools dataset'!$J$3:$J$187,,0)))*COS(RADIANS(P316-_xlfn.XLOOKUP(S316,'Schools dataset'!$B$3:$B$187,'Schools dataset'!$K$3:$K$187,,0))))*6371*1000</f>
        <v>296.92011207476844</v>
      </c>
      <c r="W316" s="20">
        <f>_xlfn.XLOOKUP(T316,'HDB Recommender'!$P$10:$P$39,'HDB Recommender'!$Q$10:$Q$39,"&gt;30mins",1)</f>
        <v>17</v>
      </c>
      <c r="X316" s="20">
        <f>_xlfn.XLOOKUP(U316,'HDB Recommender'!$P$10:$P$39,'HDB Recommender'!$Q$10:$Q$39,"&gt;30mins",1)</f>
        <v>9</v>
      </c>
      <c r="Y316" s="20">
        <f>_xlfn.XLOOKUP(V316,'HDB Recommender'!$P$10:$P$39,'HDB Recommender'!$Q$10:$Q$39,"&gt;30mins",1)</f>
        <v>4</v>
      </c>
      <c r="Z316" s="39">
        <f t="shared" si="9"/>
        <v>10</v>
      </c>
      <c r="AA316" s="20" t="str">
        <f t="shared" si="8"/>
        <v>Within 1km</v>
      </c>
    </row>
    <row r="317" spans="2:27" hidden="1">
      <c r="B317" s="35" t="s">
        <v>317</v>
      </c>
      <c r="C317" s="35" t="s">
        <v>848</v>
      </c>
      <c r="D317" s="35" t="s">
        <v>20</v>
      </c>
      <c r="E317" s="35"/>
      <c r="F317" s="35" t="s">
        <v>861</v>
      </c>
      <c r="G317" s="35" t="s">
        <v>323</v>
      </c>
      <c r="H317" s="35">
        <v>92</v>
      </c>
      <c r="I317" s="35" t="s">
        <v>335</v>
      </c>
      <c r="J317" s="36">
        <v>2018</v>
      </c>
      <c r="K317" s="39">
        <v>93.4166666666666</v>
      </c>
      <c r="L317" s="37">
        <v>600000</v>
      </c>
      <c r="M317" s="35" t="s">
        <v>862</v>
      </c>
      <c r="N317" s="27">
        <v>762501</v>
      </c>
      <c r="O317" s="38">
        <v>1.41704065966643</v>
      </c>
      <c r="P317" s="38">
        <v>103.840552464198</v>
      </c>
      <c r="Q317" s="38" t="str" cm="1">
        <f t="array" ref="Q317">INDEX('MRT station dataset'!$C$3:$C$179, MATCH(MIN(SQRT(('MRT station dataset'!$E$3:$E$179-'Resale flat dataset'!O317)^2+('MRT station dataset'!$F$3:$F$179-'Resale flat dataset'!P317)^2)), SQRT(('MRT station dataset'!$E$3:$E$179-'Resale flat dataset'!O317)^2+('MRT station dataset'!$F$3:$F$179-'Resale flat dataset'!P317)^2), 0))</f>
        <v>KHATIB MRT STATION</v>
      </c>
      <c r="R317" s="38" t="str" cm="1">
        <f t="array" ref="R317">INDEX('Mall Dataset'!$B$3:$B$157, MATCH(MIN(SQRT(('Mall Dataset'!$E$3:$E$157-'Resale flat dataset'!O317)^2+('Mall Dataset'!$F$3:$F$157-'Resale flat dataset'!P317)^2)), SQRT(('Mall Dataset'!$E$3:$E$157-'Resale flat dataset'!O317)^2+('Mall Dataset'!$F$3:$F$157-'Resale flat dataset'!P317)^2), 0))</f>
        <v>Wisteria Mall</v>
      </c>
      <c r="S317" s="38" t="str" cm="1">
        <f t="array" ref="S317">INDEX('Schools dataset'!$B$3:$B$187, MATCH(MIN(SQRT(('Schools dataset'!$J$3:$J$187-'Resale flat dataset'!O317)^2+('Schools dataset'!$K$3:$K$187-'Resale flat dataset'!P317)^2)), SQRT(('Schools dataset'!$J$3:$J$187-'Resale flat dataset'!O317)^2+('Schools dataset'!$K$3:$K$187-'Resale flat dataset'!P317)^2), 0))</f>
        <v>NAVAL BASE PRIMARY SCHOOL</v>
      </c>
      <c r="T317" s="39">
        <f>ACOS(COS(RADIANS(90-O317))*COS(RADIANS(90-_xlfn.XLOOKUP(Q317,'MRT station dataset'!$C$3:$C$179,'MRT station dataset'!$E$3:$E$179)))+SIN(RADIANS(90-O317))*SIN(RADIANS(90-_xlfn.XLOOKUP(Q317,'MRT station dataset'!$C$3:$C$179,'MRT station dataset'!$E$3:$E$179)))*COS(RADIANS(P317-_xlfn.XLOOKUP('Resale flat dataset'!Q317,'MRT station dataset'!$C$3:$C$179,'MRT station dataset'!$F$3:$F$179))))*6371*1000</f>
        <v>840.48911982292123</v>
      </c>
      <c r="U317" s="39">
        <f>ACOS(COS(RADIANS(90-O317))*COS(RADIANS(90-_xlfn.XLOOKUP(R317,'Mall Dataset'!$B$3:$B$157,'Mall Dataset'!$E$3:$E$157,,0)))+SIN(RADIANS(90-O317))*SIN(RADIANS(90-_xlfn.XLOOKUP(R317,'Mall Dataset'!$B$3:$B$157,'Mall Dataset'!$E$3:$E$157,,0)))*COS(RADIANS(P317-_xlfn.XLOOKUP(R317,'Mall Dataset'!$B$3:$B$157,'Mall Dataset'!$F$3:$F$157,,0))))*6371*1000</f>
        <v>135.51487557064078</v>
      </c>
      <c r="V317" s="39">
        <f>ACOS(COS(RADIANS(90-O317))*COS(RADIANS(90-_xlfn.XLOOKUP(S317,'Schools dataset'!$B$3:$B$187,'Schools dataset'!$J$3:$J$187,,0)))+SIN(RADIANS(90-O317))*SIN(RADIANS(90-_xlfn.XLOOKUP(S317,'Schools dataset'!$B$3:$B$187,'Schools dataset'!$J$3:$J$187,,0)))*COS(RADIANS(P317-_xlfn.XLOOKUP(S317,'Schools dataset'!$B$3:$B$187,'Schools dataset'!$K$3:$K$187,,0))))*6371*1000</f>
        <v>205.13261900719692</v>
      </c>
      <c r="W317" s="20">
        <f>_xlfn.XLOOKUP(T317,'HDB Recommender'!$P$10:$P$39,'HDB Recommender'!$Q$10:$Q$39,"&gt;30mins",1)</f>
        <v>12</v>
      </c>
      <c r="X317" s="20">
        <f>_xlfn.XLOOKUP(U317,'HDB Recommender'!$P$10:$P$39,'HDB Recommender'!$Q$10:$Q$39,"&gt;30mins",1)</f>
        <v>2</v>
      </c>
      <c r="Y317" s="20">
        <f>_xlfn.XLOOKUP(V317,'HDB Recommender'!$P$10:$P$39,'HDB Recommender'!$Q$10:$Q$39,"&gt;30mins",1)</f>
        <v>3</v>
      </c>
      <c r="Z317" s="39">
        <f t="shared" si="9"/>
        <v>5.666666666666667</v>
      </c>
      <c r="AA317" s="20" t="str">
        <f t="shared" si="8"/>
        <v>Within 1km</v>
      </c>
    </row>
    <row r="318" spans="2:27" hidden="1">
      <c r="B318" s="35" t="s">
        <v>317</v>
      </c>
      <c r="C318" s="35" t="s">
        <v>848</v>
      </c>
      <c r="D318" s="35" t="s">
        <v>20</v>
      </c>
      <c r="E318" s="35">
        <v>639</v>
      </c>
      <c r="F318" s="35" t="s">
        <v>863</v>
      </c>
      <c r="G318" s="35" t="s">
        <v>184</v>
      </c>
      <c r="H318" s="35">
        <v>84</v>
      </c>
      <c r="I318" s="35" t="s">
        <v>369</v>
      </c>
      <c r="J318" s="36">
        <v>1987</v>
      </c>
      <c r="K318" s="39">
        <v>62.9166666666666</v>
      </c>
      <c r="L318" s="37">
        <v>410000</v>
      </c>
      <c r="M318" s="35" t="s">
        <v>864</v>
      </c>
      <c r="N318" s="27">
        <v>760639</v>
      </c>
      <c r="O318" s="38">
        <v>1.42056023821885</v>
      </c>
      <c r="P318" s="38">
        <v>103.838449241015</v>
      </c>
      <c r="Q318" s="38" t="str" cm="1">
        <f t="array" ref="Q318">INDEX('MRT station dataset'!$C$3:$C$179, MATCH(MIN(SQRT(('MRT station dataset'!$E$3:$E$179-'Resale flat dataset'!O318)^2+('MRT station dataset'!$F$3:$F$179-'Resale flat dataset'!P318)^2)), SQRT(('MRT station dataset'!$E$3:$E$179-'Resale flat dataset'!O318)^2+('MRT station dataset'!$F$3:$F$179-'Resale flat dataset'!P318)^2), 0))</f>
        <v>KHATIB MRT STATION</v>
      </c>
      <c r="R318" s="38" t="str" cm="1">
        <f t="array" ref="R318">INDEX('Mall Dataset'!$B$3:$B$157, MATCH(MIN(SQRT(('Mall Dataset'!$E$3:$E$157-'Resale flat dataset'!O318)^2+('Mall Dataset'!$F$3:$F$157-'Resale flat dataset'!P318)^2)), SQRT(('Mall Dataset'!$E$3:$E$157-'Resale flat dataset'!O318)^2+('Mall Dataset'!$F$3:$F$157-'Resale flat dataset'!P318)^2), 0))</f>
        <v>Wisteria Mall</v>
      </c>
      <c r="S318" s="38" t="str" cm="1">
        <f t="array" ref="S318">INDEX('Schools dataset'!$B$3:$B$187, MATCH(MIN(SQRT(('Schools dataset'!$J$3:$J$187-'Resale flat dataset'!O318)^2+('Schools dataset'!$K$3:$K$187-'Resale flat dataset'!P318)^2)), SQRT(('Schools dataset'!$J$3:$J$187-'Resale flat dataset'!O318)^2+('Schools dataset'!$K$3:$K$187-'Resale flat dataset'!P318)^2), 0))</f>
        <v>NORTHLAND PRIMARY SCHOOL</v>
      </c>
      <c r="T318" s="39">
        <f>ACOS(COS(RADIANS(90-O318))*COS(RADIANS(90-_xlfn.XLOOKUP(Q318,'MRT station dataset'!$C$3:$C$179,'MRT station dataset'!$E$3:$E$179)))+SIN(RADIANS(90-O318))*SIN(RADIANS(90-_xlfn.XLOOKUP(Q318,'MRT station dataset'!$C$3:$C$179,'MRT station dataset'!$E$3:$E$179)))*COS(RADIANS(P318-_xlfn.XLOOKUP('Resale flat dataset'!Q318,'MRT station dataset'!$C$3:$C$179,'MRT station dataset'!$F$3:$F$179))))*6371*1000</f>
        <v>700.2908097729013</v>
      </c>
      <c r="U318" s="39">
        <f>ACOS(COS(RADIANS(90-O318))*COS(RADIANS(90-_xlfn.XLOOKUP(R318,'Mall Dataset'!$B$3:$B$157,'Mall Dataset'!$E$3:$E$157,,0)))+SIN(RADIANS(90-O318))*SIN(RADIANS(90-_xlfn.XLOOKUP(R318,'Mall Dataset'!$B$3:$B$157,'Mall Dataset'!$E$3:$E$157,,0)))*COS(RADIANS(P318-_xlfn.XLOOKUP(R318,'Mall Dataset'!$B$3:$B$157,'Mall Dataset'!$F$3:$F$157,,0))))*6371*1000</f>
        <v>428.18545273158691</v>
      </c>
      <c r="V318" s="39">
        <f>ACOS(COS(RADIANS(90-O318))*COS(RADIANS(90-_xlfn.XLOOKUP(S318,'Schools dataset'!$B$3:$B$187,'Schools dataset'!$J$3:$J$187,,0)))+SIN(RADIANS(90-O318))*SIN(RADIANS(90-_xlfn.XLOOKUP(S318,'Schools dataset'!$B$3:$B$187,'Schools dataset'!$J$3:$J$187,,0)))*COS(RADIANS(P318-_xlfn.XLOOKUP(S318,'Schools dataset'!$B$3:$B$187,'Schools dataset'!$K$3:$K$187,,0))))*6371*1000</f>
        <v>273.3385896370919</v>
      </c>
      <c r="W318" s="20">
        <f>_xlfn.XLOOKUP(T318,'HDB Recommender'!$P$10:$P$39,'HDB Recommender'!$Q$10:$Q$39,"&gt;30mins",1)</f>
        <v>10</v>
      </c>
      <c r="X318" s="20">
        <f>_xlfn.XLOOKUP(U318,'HDB Recommender'!$P$10:$P$39,'HDB Recommender'!$Q$10:$Q$39,"&gt;30mins",1)</f>
        <v>6</v>
      </c>
      <c r="Y318" s="20">
        <f>_xlfn.XLOOKUP(V318,'HDB Recommender'!$P$10:$P$39,'HDB Recommender'!$Q$10:$Q$39,"&gt;30mins",1)</f>
        <v>4</v>
      </c>
      <c r="Z318" s="39">
        <f t="shared" si="9"/>
        <v>6.666666666666667</v>
      </c>
      <c r="AA318" s="20" t="str">
        <f t="shared" si="8"/>
        <v>Within 1km</v>
      </c>
    </row>
    <row r="319" spans="2:27" hidden="1">
      <c r="B319" s="35" t="s">
        <v>317</v>
      </c>
      <c r="C319" s="35" t="s">
        <v>848</v>
      </c>
      <c r="D319" s="35" t="s">
        <v>20</v>
      </c>
      <c r="E319" s="35">
        <v>752</v>
      </c>
      <c r="F319" s="35" t="s">
        <v>865</v>
      </c>
      <c r="G319" s="35" t="s">
        <v>191</v>
      </c>
      <c r="H319" s="35">
        <v>91</v>
      </c>
      <c r="I319" s="35" t="s">
        <v>320</v>
      </c>
      <c r="J319" s="36">
        <v>1984</v>
      </c>
      <c r="K319" s="39">
        <v>59.5833333333333</v>
      </c>
      <c r="L319" s="37">
        <v>535000</v>
      </c>
      <c r="M319" s="35" t="s">
        <v>866</v>
      </c>
      <c r="N319" s="27">
        <v>760752</v>
      </c>
      <c r="O319" s="38">
        <v>1.4272376118908101</v>
      </c>
      <c r="P319" s="38">
        <v>103.834050197556</v>
      </c>
      <c r="Q319" s="38" t="str" cm="1">
        <f t="array" ref="Q319">INDEX('MRT station dataset'!$C$3:$C$179, MATCH(MIN(SQRT(('MRT station dataset'!$E$3:$E$179-'Resale flat dataset'!O319)^2+('MRT station dataset'!$F$3:$F$179-'Resale flat dataset'!P319)^2)), SQRT(('MRT station dataset'!$E$3:$E$179-'Resale flat dataset'!O319)^2+('MRT station dataset'!$F$3:$F$179-'Resale flat dataset'!P319)^2), 0))</f>
        <v>YISHUN MRT STATION</v>
      </c>
      <c r="R319" s="38" t="str" cm="1">
        <f t="array" ref="R319">INDEX('Mall Dataset'!$B$3:$B$157, MATCH(MIN(SQRT(('Mall Dataset'!$E$3:$E$157-'Resale flat dataset'!O319)^2+('Mall Dataset'!$F$3:$F$157-'Resale flat dataset'!P319)^2)), SQRT(('Mall Dataset'!$E$3:$E$157-'Resale flat dataset'!O319)^2+('Mall Dataset'!$F$3:$F$157-'Resale flat dataset'!P319)^2), 0))</f>
        <v>Northpoint City</v>
      </c>
      <c r="S319" s="38" t="str" cm="1">
        <f t="array" ref="S319">INDEX('Schools dataset'!$B$3:$B$187, MATCH(MIN(SQRT(('Schools dataset'!$J$3:$J$187-'Resale flat dataset'!O319)^2+('Schools dataset'!$K$3:$K$187-'Resale flat dataset'!P319)^2)), SQRT(('Schools dataset'!$J$3:$J$187-'Resale flat dataset'!O319)^2+('Schools dataset'!$K$3:$K$187-'Resale flat dataset'!P319)^2), 0))</f>
        <v>JIEMIN PRIMARY SCHOOL</v>
      </c>
      <c r="T319" s="39">
        <f>ACOS(COS(RADIANS(90-O319))*COS(RADIANS(90-_xlfn.XLOOKUP(Q319,'MRT station dataset'!$C$3:$C$179,'MRT station dataset'!$E$3:$E$179)))+SIN(RADIANS(90-O319))*SIN(RADIANS(90-_xlfn.XLOOKUP(Q319,'MRT station dataset'!$C$3:$C$179,'MRT station dataset'!$E$3:$E$179)))*COS(RADIANS(P319-_xlfn.XLOOKUP('Resale flat dataset'!Q319,'MRT station dataset'!$C$3:$C$179,'MRT station dataset'!$F$3:$F$179))))*6371*1000</f>
        <v>262.60575801792419</v>
      </c>
      <c r="U319" s="39">
        <f>ACOS(COS(RADIANS(90-O319))*COS(RADIANS(90-_xlfn.XLOOKUP(R319,'Mall Dataset'!$B$3:$B$157,'Mall Dataset'!$E$3:$E$157,,0)))+SIN(RADIANS(90-O319))*SIN(RADIANS(90-_xlfn.XLOOKUP(R319,'Mall Dataset'!$B$3:$B$157,'Mall Dataset'!$E$3:$E$157,,0)))*COS(RADIANS(P319-_xlfn.XLOOKUP(R319,'Mall Dataset'!$B$3:$B$157,'Mall Dataset'!$F$3:$F$157,,0))))*6371*1000</f>
        <v>285.41769605663745</v>
      </c>
      <c r="V319" s="39">
        <f>ACOS(COS(RADIANS(90-O319))*COS(RADIANS(90-_xlfn.XLOOKUP(S319,'Schools dataset'!$B$3:$B$187,'Schools dataset'!$J$3:$J$187,,0)))+SIN(RADIANS(90-O319))*SIN(RADIANS(90-_xlfn.XLOOKUP(S319,'Schools dataset'!$B$3:$B$187,'Schools dataset'!$J$3:$J$187,,0)))*COS(RADIANS(P319-_xlfn.XLOOKUP(S319,'Schools dataset'!$B$3:$B$187,'Schools dataset'!$K$3:$K$187,,0))))*6371*1000</f>
        <v>406.03098888443157</v>
      </c>
      <c r="W319" s="20">
        <f>_xlfn.XLOOKUP(T319,'HDB Recommender'!$P$10:$P$39,'HDB Recommender'!$Q$10:$Q$39,"&gt;30mins",1)</f>
        <v>4</v>
      </c>
      <c r="X319" s="20">
        <f>_xlfn.XLOOKUP(U319,'HDB Recommender'!$P$10:$P$39,'HDB Recommender'!$Q$10:$Q$39,"&gt;30mins",1)</f>
        <v>4</v>
      </c>
      <c r="Y319" s="20">
        <f>_xlfn.XLOOKUP(V319,'HDB Recommender'!$P$10:$P$39,'HDB Recommender'!$Q$10:$Q$39,"&gt;30mins",1)</f>
        <v>6</v>
      </c>
      <c r="Z319" s="39">
        <f t="shared" si="9"/>
        <v>4.666666666666667</v>
      </c>
      <c r="AA319" s="20" t="str">
        <f t="shared" si="8"/>
        <v>Within 1km</v>
      </c>
    </row>
    <row r="320" spans="2:27" hidden="1">
      <c r="B320" s="35" t="s">
        <v>317</v>
      </c>
      <c r="C320" s="35" t="s">
        <v>848</v>
      </c>
      <c r="D320" s="35" t="s">
        <v>20</v>
      </c>
      <c r="E320" s="35">
        <v>756</v>
      </c>
      <c r="F320" s="35" t="s">
        <v>865</v>
      </c>
      <c r="G320" s="35" t="s">
        <v>349</v>
      </c>
      <c r="H320" s="35">
        <v>84</v>
      </c>
      <c r="I320" s="35" t="s">
        <v>369</v>
      </c>
      <c r="J320" s="36">
        <v>1985</v>
      </c>
      <c r="K320" s="39">
        <v>61.0833333333333</v>
      </c>
      <c r="L320" s="37">
        <v>418000</v>
      </c>
      <c r="M320" s="35" t="s">
        <v>867</v>
      </c>
      <c r="N320" s="27">
        <v>760756</v>
      </c>
      <c r="O320" s="38">
        <v>1.42656876558013</v>
      </c>
      <c r="P320" s="38">
        <v>103.833243240371</v>
      </c>
      <c r="Q320" s="38" t="str" cm="1">
        <f t="array" ref="Q320">INDEX('MRT station dataset'!$C$3:$C$179, MATCH(MIN(SQRT(('MRT station dataset'!$E$3:$E$179-'Resale flat dataset'!O320)^2+('MRT station dataset'!$F$3:$F$179-'Resale flat dataset'!P320)^2)), SQRT(('MRT station dataset'!$E$3:$E$179-'Resale flat dataset'!O320)^2+('MRT station dataset'!$F$3:$F$179-'Resale flat dataset'!P320)^2), 0))</f>
        <v>YISHUN MRT STATION</v>
      </c>
      <c r="R320" s="38" t="str" cm="1">
        <f t="array" ref="R320">INDEX('Mall Dataset'!$B$3:$B$157, MATCH(MIN(SQRT(('Mall Dataset'!$E$3:$E$157-'Resale flat dataset'!O320)^2+('Mall Dataset'!$F$3:$F$157-'Resale flat dataset'!P320)^2)), SQRT(('Mall Dataset'!$E$3:$E$157-'Resale flat dataset'!O320)^2+('Mall Dataset'!$F$3:$F$157-'Resale flat dataset'!P320)^2), 0))</f>
        <v>Northpoint City</v>
      </c>
      <c r="S320" s="38" t="str" cm="1">
        <f t="array" ref="S320">INDEX('Schools dataset'!$B$3:$B$187, MATCH(MIN(SQRT(('Schools dataset'!$J$3:$J$187-'Resale flat dataset'!O320)^2+('Schools dataset'!$K$3:$K$187-'Resale flat dataset'!P320)^2)), SQRT(('Schools dataset'!$J$3:$J$187-'Resale flat dataset'!O320)^2+('Schools dataset'!$K$3:$K$187-'Resale flat dataset'!P320)^2), 0))</f>
        <v>JIEMIN PRIMARY SCHOOL</v>
      </c>
      <c r="T320" s="39">
        <f>ACOS(COS(RADIANS(90-O320))*COS(RADIANS(90-_xlfn.XLOOKUP(Q320,'MRT station dataset'!$C$3:$C$179,'MRT station dataset'!$E$3:$E$179)))+SIN(RADIANS(90-O320))*SIN(RADIANS(90-_xlfn.XLOOKUP(Q320,'MRT station dataset'!$C$3:$C$179,'MRT station dataset'!$E$3:$E$179)))*COS(RADIANS(P320-_xlfn.XLOOKUP('Resale flat dataset'!Q320,'MRT station dataset'!$C$3:$C$179,'MRT station dataset'!$F$3:$F$179))))*6371*1000</f>
        <v>370.4673234892544</v>
      </c>
      <c r="U320" s="39">
        <f>ACOS(COS(RADIANS(90-O320))*COS(RADIANS(90-_xlfn.XLOOKUP(R320,'Mall Dataset'!$B$3:$B$157,'Mall Dataset'!$E$3:$E$157,,0)))+SIN(RADIANS(90-O320))*SIN(RADIANS(90-_xlfn.XLOOKUP(R320,'Mall Dataset'!$B$3:$B$157,'Mall Dataset'!$E$3:$E$157,,0)))*COS(RADIANS(P320-_xlfn.XLOOKUP(R320,'Mall Dataset'!$B$3:$B$157,'Mall Dataset'!$F$3:$F$157,,0))))*6371*1000</f>
        <v>398.29864128984639</v>
      </c>
      <c r="V320" s="39">
        <f>ACOS(COS(RADIANS(90-O320))*COS(RADIANS(90-_xlfn.XLOOKUP(S320,'Schools dataset'!$B$3:$B$187,'Schools dataset'!$J$3:$J$187,,0)))+SIN(RADIANS(90-O320))*SIN(RADIANS(90-_xlfn.XLOOKUP(S320,'Schools dataset'!$B$3:$B$187,'Schools dataset'!$J$3:$J$187,,0)))*COS(RADIANS(P320-_xlfn.XLOOKUP(S320,'Schools dataset'!$B$3:$B$187,'Schools dataset'!$K$3:$K$187,,0))))*6371*1000</f>
        <v>337.06087350256951</v>
      </c>
      <c r="W320" s="20">
        <f>_xlfn.XLOOKUP(T320,'HDB Recommender'!$P$10:$P$39,'HDB Recommender'!$Q$10:$Q$39,"&gt;30mins",1)</f>
        <v>5</v>
      </c>
      <c r="X320" s="20">
        <f>_xlfn.XLOOKUP(U320,'HDB Recommender'!$P$10:$P$39,'HDB Recommender'!$Q$10:$Q$39,"&gt;30mins",1)</f>
        <v>6</v>
      </c>
      <c r="Y320" s="20">
        <f>_xlfn.XLOOKUP(V320,'HDB Recommender'!$P$10:$P$39,'HDB Recommender'!$Q$10:$Q$39,"&gt;30mins",1)</f>
        <v>5</v>
      </c>
      <c r="Z320" s="39">
        <f t="shared" si="9"/>
        <v>5.333333333333333</v>
      </c>
      <c r="AA320" s="20" t="str">
        <f t="shared" si="8"/>
        <v>Within 1km</v>
      </c>
    </row>
    <row r="321" spans="2:27" hidden="1">
      <c r="B321" s="35" t="s">
        <v>317</v>
      </c>
      <c r="C321" s="35" t="s">
        <v>848</v>
      </c>
      <c r="D321" s="35" t="s">
        <v>20</v>
      </c>
      <c r="E321" s="35">
        <v>876</v>
      </c>
      <c r="F321" s="35" t="s">
        <v>868</v>
      </c>
      <c r="G321" s="35" t="s">
        <v>349</v>
      </c>
      <c r="H321" s="35">
        <v>88</v>
      </c>
      <c r="I321" s="35" t="s">
        <v>369</v>
      </c>
      <c r="J321" s="36">
        <v>1987</v>
      </c>
      <c r="K321" s="39">
        <v>63.25</v>
      </c>
      <c r="L321" s="37">
        <v>453000</v>
      </c>
      <c r="M321" s="35" t="s">
        <v>869</v>
      </c>
      <c r="N321" s="27">
        <v>760876</v>
      </c>
      <c r="O321" s="38">
        <v>1.41474478102802</v>
      </c>
      <c r="P321" s="38">
        <v>103.835531570491</v>
      </c>
      <c r="Q321" s="38" t="str" cm="1">
        <f t="array" ref="Q321">INDEX('MRT station dataset'!$C$3:$C$179, MATCH(MIN(SQRT(('MRT station dataset'!$E$3:$E$179-'Resale flat dataset'!O321)^2+('MRT station dataset'!$F$3:$F$179-'Resale flat dataset'!P321)^2)), SQRT(('MRT station dataset'!$E$3:$E$179-'Resale flat dataset'!O321)^2+('MRT station dataset'!$F$3:$F$179-'Resale flat dataset'!P321)^2), 0))</f>
        <v>KHATIB MRT STATION</v>
      </c>
      <c r="R321" s="38" t="str" cm="1">
        <f t="array" ref="R321">INDEX('Mall Dataset'!$B$3:$B$157, MATCH(MIN(SQRT(('Mall Dataset'!$E$3:$E$157-'Resale flat dataset'!O321)^2+('Mall Dataset'!$F$3:$F$157-'Resale flat dataset'!P321)^2)), SQRT(('Mall Dataset'!$E$3:$E$157-'Resale flat dataset'!O321)^2+('Mall Dataset'!$F$3:$F$157-'Resale flat dataset'!P321)^2), 0))</f>
        <v>Wisteria Mall</v>
      </c>
      <c r="S321" s="38" t="str" cm="1">
        <f t="array" ref="S321">INDEX('Schools dataset'!$B$3:$B$187, MATCH(MIN(SQRT(('Schools dataset'!$J$3:$J$187-'Resale flat dataset'!O321)^2+('Schools dataset'!$K$3:$K$187-'Resale flat dataset'!P321)^2)), SQRT(('Schools dataset'!$J$3:$J$187-'Resale flat dataset'!O321)^2+('Schools dataset'!$K$3:$K$187-'Resale flat dataset'!P321)^2), 0))</f>
        <v>NAVAL BASE PRIMARY SCHOOL</v>
      </c>
      <c r="T321" s="39">
        <f>ACOS(COS(RADIANS(90-O321))*COS(RADIANS(90-_xlfn.XLOOKUP(Q321,'MRT station dataset'!$C$3:$C$179,'MRT station dataset'!$E$3:$E$179)))+SIN(RADIANS(90-O321))*SIN(RADIANS(90-_xlfn.XLOOKUP(Q321,'MRT station dataset'!$C$3:$C$179,'MRT station dataset'!$E$3:$E$179)))*COS(RADIANS(P321-_xlfn.XLOOKUP('Resale flat dataset'!Q321,'MRT station dataset'!$C$3:$C$179,'MRT station dataset'!$F$3:$F$179))))*6371*1000</f>
        <v>407.8766228688109</v>
      </c>
      <c r="U321" s="39">
        <f>ACOS(COS(RADIANS(90-O321))*COS(RADIANS(90-_xlfn.XLOOKUP(R321,'Mall Dataset'!$B$3:$B$157,'Mall Dataset'!$E$3:$E$157,,0)))+SIN(RADIANS(90-O321))*SIN(RADIANS(90-_xlfn.XLOOKUP(R321,'Mall Dataset'!$B$3:$B$157,'Mall Dataset'!$E$3:$E$157,,0)))*COS(RADIANS(P321-_xlfn.XLOOKUP(R321,'Mall Dataset'!$B$3:$B$157,'Mall Dataset'!$F$3:$F$157,,0))))*6371*1000</f>
        <v>737.44599242157256</v>
      </c>
      <c r="V321" s="39">
        <f>ACOS(COS(RADIANS(90-O321))*COS(RADIANS(90-_xlfn.XLOOKUP(S321,'Schools dataset'!$B$3:$B$187,'Schools dataset'!$J$3:$J$187,,0)))+SIN(RADIANS(90-O321))*SIN(RADIANS(90-_xlfn.XLOOKUP(S321,'Schools dataset'!$B$3:$B$187,'Schools dataset'!$J$3:$J$187,,0)))*COS(RADIANS(P321-_xlfn.XLOOKUP(S321,'Schools dataset'!$B$3:$B$187,'Schools dataset'!$K$3:$K$187,,0))))*6371*1000</f>
        <v>417.08011018000013</v>
      </c>
      <c r="W321" s="20">
        <f>_xlfn.XLOOKUP(T321,'HDB Recommender'!$P$10:$P$39,'HDB Recommender'!$Q$10:$Q$39,"&gt;30mins",1)</f>
        <v>6</v>
      </c>
      <c r="X321" s="20">
        <f>_xlfn.XLOOKUP(U321,'HDB Recommender'!$P$10:$P$39,'HDB Recommender'!$Q$10:$Q$39,"&gt;30mins",1)</f>
        <v>10</v>
      </c>
      <c r="Y321" s="20">
        <f>_xlfn.XLOOKUP(V321,'HDB Recommender'!$P$10:$P$39,'HDB Recommender'!$Q$10:$Q$39,"&gt;30mins",1)</f>
        <v>6</v>
      </c>
      <c r="Z321" s="39">
        <f t="shared" si="9"/>
        <v>7.333333333333333</v>
      </c>
      <c r="AA321" s="20" t="str">
        <f t="shared" si="8"/>
        <v>Within 1km</v>
      </c>
    </row>
    <row r="322" spans="2:27" hidden="1">
      <c r="B322" s="35" t="s">
        <v>317</v>
      </c>
      <c r="C322" s="35" t="s">
        <v>848</v>
      </c>
      <c r="D322" s="35" t="s">
        <v>341</v>
      </c>
      <c r="E322" s="35"/>
      <c r="F322" s="35" t="s">
        <v>851</v>
      </c>
      <c r="G322" s="35" t="s">
        <v>349</v>
      </c>
      <c r="H322" s="35">
        <v>113</v>
      </c>
      <c r="I322" s="35" t="s">
        <v>326</v>
      </c>
      <c r="J322" s="36">
        <v>2018</v>
      </c>
      <c r="K322" s="39">
        <v>93.5833333333333</v>
      </c>
      <c r="L322" s="37">
        <v>635000</v>
      </c>
      <c r="M322" s="35" t="s">
        <v>870</v>
      </c>
      <c r="N322" s="27">
        <v>762508</v>
      </c>
      <c r="O322" s="38">
        <v>1.4142910381770699</v>
      </c>
      <c r="P322" s="38">
        <v>103.839839936719</v>
      </c>
      <c r="Q322" s="38" t="str" cm="1">
        <f t="array" ref="Q322">INDEX('MRT station dataset'!$C$3:$C$179, MATCH(MIN(SQRT(('MRT station dataset'!$E$3:$E$179-'Resale flat dataset'!O322)^2+('MRT station dataset'!$F$3:$F$179-'Resale flat dataset'!P322)^2)), SQRT(('MRT station dataset'!$E$3:$E$179-'Resale flat dataset'!O322)^2+('MRT station dataset'!$F$3:$F$179-'Resale flat dataset'!P322)^2), 0))</f>
        <v>KHATIB MRT STATION</v>
      </c>
      <c r="R322" s="38" t="str" cm="1">
        <f t="array" ref="R322">INDEX('Mall Dataset'!$B$3:$B$157, MATCH(MIN(SQRT(('Mall Dataset'!$E$3:$E$157-'Resale flat dataset'!O322)^2+('Mall Dataset'!$F$3:$F$157-'Resale flat dataset'!P322)^2)), SQRT(('Mall Dataset'!$E$3:$E$157-'Resale flat dataset'!O322)^2+('Mall Dataset'!$F$3:$F$157-'Resale flat dataset'!P322)^2), 0))</f>
        <v>Wisteria Mall</v>
      </c>
      <c r="S322" s="38" t="str" cm="1">
        <f t="array" ref="S322">INDEX('Schools dataset'!$B$3:$B$187, MATCH(MIN(SQRT(('Schools dataset'!$J$3:$J$187-'Resale flat dataset'!O322)^2+('Schools dataset'!$K$3:$K$187-'Resale flat dataset'!P322)^2)), SQRT(('Schools dataset'!$J$3:$J$187-'Resale flat dataset'!O322)^2+('Schools dataset'!$K$3:$K$187-'Resale flat dataset'!P322)^2), 0))</f>
        <v>NAVAL BASE PRIMARY SCHOOL</v>
      </c>
      <c r="T322" s="39">
        <f>ACOS(COS(RADIANS(90-O322))*COS(RADIANS(90-_xlfn.XLOOKUP(Q322,'MRT station dataset'!$C$3:$C$179,'MRT station dataset'!$E$3:$E$179)))+SIN(RADIANS(90-O322))*SIN(RADIANS(90-_xlfn.XLOOKUP(Q322,'MRT station dataset'!$C$3:$C$179,'MRT station dataset'!$E$3:$E$179)))*COS(RADIANS(P322-_xlfn.XLOOKUP('Resale flat dataset'!Q322,'MRT station dataset'!$C$3:$C$179,'MRT station dataset'!$F$3:$F$179))))*6371*1000</f>
        <v>835.23463923183976</v>
      </c>
      <c r="U322" s="39">
        <f>ACOS(COS(RADIANS(90-O322))*COS(RADIANS(90-_xlfn.XLOOKUP(R322,'Mall Dataset'!$B$3:$B$157,'Mall Dataset'!$E$3:$E$157,,0)))+SIN(RADIANS(90-O322))*SIN(RADIANS(90-_xlfn.XLOOKUP(R322,'Mall Dataset'!$B$3:$B$157,'Mall Dataset'!$E$3:$E$157,,0)))*COS(RADIANS(P322-_xlfn.XLOOKUP(R322,'Mall Dataset'!$B$3:$B$157,'Mall Dataset'!$F$3:$F$157,,0))))*6371*1000</f>
        <v>442.84741073548651</v>
      </c>
      <c r="V322" s="39">
        <f>ACOS(COS(RADIANS(90-O322))*COS(RADIANS(90-_xlfn.XLOOKUP(S322,'Schools dataset'!$B$3:$B$187,'Schools dataset'!$J$3:$J$187,,0)))+SIN(RADIANS(90-O322))*SIN(RADIANS(90-_xlfn.XLOOKUP(S322,'Schools dataset'!$B$3:$B$187,'Schools dataset'!$J$3:$J$187,,0)))*COS(RADIANS(P322-_xlfn.XLOOKUP(S322,'Schools dataset'!$B$3:$B$187,'Schools dataset'!$K$3:$K$187,,0))))*6371*1000</f>
        <v>197.08055676747159</v>
      </c>
      <c r="W322" s="20">
        <f>_xlfn.XLOOKUP(T322,'HDB Recommender'!$P$10:$P$39,'HDB Recommender'!$Q$10:$Q$39,"&gt;30mins",1)</f>
        <v>12</v>
      </c>
      <c r="X322" s="20">
        <f>_xlfn.XLOOKUP(U322,'HDB Recommender'!$P$10:$P$39,'HDB Recommender'!$Q$10:$Q$39,"&gt;30mins",1)</f>
        <v>6</v>
      </c>
      <c r="Y322" s="20">
        <f>_xlfn.XLOOKUP(V322,'HDB Recommender'!$P$10:$P$39,'HDB Recommender'!$Q$10:$Q$39,"&gt;30mins",1)</f>
        <v>3</v>
      </c>
      <c r="Z322" s="39">
        <f t="shared" si="9"/>
        <v>7</v>
      </c>
      <c r="AA322" s="20" t="str">
        <f t="shared" si="8"/>
        <v>Within 1km</v>
      </c>
    </row>
  </sheetData>
  <sheetProtection autoFilter="0"/>
  <autoFilter ref="C2:AA322" xr:uid="{E83D1CDD-D1A1-DA4D-A172-10812D579D5C}">
    <filterColumn colId="0">
      <filters>
        <filter val="ANG MO KIO"/>
      </filters>
    </filterColumn>
    <filterColumn colId="1">
      <filters>
        <filter val="4 ROOM"/>
      </filters>
    </filterColumn>
    <filterColumn colId="9">
      <customFilters>
        <customFilter operator="lessThanOrEqual" val="700000"/>
      </customFilters>
    </filterColumn>
  </autoFilter>
  <pageMargins left="0.7" right="0.7" top="0.75" bottom="0.75" header="0.3" footer="0.3"/>
  <pageSetup paperSize="9" orientation="portrait" horizontalDpi="0" verticalDpi="0"/>
  <ignoredErrors>
    <ignoredError sqref="N70:N79 N90" numberStoredAsText="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66CBE-C7CF-0E4F-BD56-9F7977858C45}">
  <sheetPr codeName="Sheet17"/>
  <dimension ref="B1:AC472"/>
  <sheetViews>
    <sheetView showGridLines="0" zoomScale="125" zoomScaleNormal="120" workbookViewId="0">
      <selection activeCell="H3" sqref="H3"/>
    </sheetView>
  </sheetViews>
  <sheetFormatPr defaultColWidth="8.875" defaultRowHeight="15.75"/>
  <cols>
    <col min="1" max="1" width="2.5" customWidth="1"/>
    <col min="2" max="2" width="7.5" hidden="1" customWidth="1"/>
    <col min="3" max="3" width="19.375" customWidth="1"/>
    <col min="4" max="4" width="9" bestFit="1" customWidth="1"/>
    <col min="5" max="5" width="5.375" hidden="1" customWidth="1"/>
    <col min="6" max="6" width="23.375" hidden="1" customWidth="1"/>
    <col min="7" max="7" width="11" bestFit="1" customWidth="1"/>
    <col min="8" max="8" width="20.875" bestFit="1" customWidth="1"/>
    <col min="9" max="9" width="17.875" hidden="1" customWidth="1"/>
    <col min="10" max="10" width="22.5" hidden="1" customWidth="1"/>
    <col min="11" max="11" width="15.5" style="13" customWidth="1"/>
    <col min="12" max="12" width="11.875" customWidth="1"/>
    <col min="13" max="13" width="28" customWidth="1"/>
    <col min="14" max="14" width="15.375" style="25" customWidth="1"/>
    <col min="15" max="15" width="12.375" customWidth="1"/>
    <col min="16" max="16" width="16" customWidth="1"/>
    <col min="17" max="17" width="30.375" customWidth="1"/>
    <col min="18" max="18" width="27.5" customWidth="1"/>
    <col min="19" max="19" width="41.5" customWidth="1"/>
    <col min="20" max="21" width="17.875" customWidth="1"/>
    <col min="22" max="22" width="20.875" customWidth="1"/>
    <col min="23" max="23" width="29.625" customWidth="1"/>
    <col min="24" max="24" width="30.375" customWidth="1"/>
    <col min="25" max="26" width="32.5" customWidth="1"/>
    <col min="27" max="27" width="22.125" customWidth="1"/>
  </cols>
  <sheetData>
    <row r="1" spans="2:29">
      <c r="C1" s="59">
        <v>0</v>
      </c>
      <c r="AA1" s="59">
        <v>0</v>
      </c>
    </row>
    <row r="2" spans="2:29">
      <c r="B2" s="34" t="s">
        <v>303</v>
      </c>
      <c r="C2" s="21" t="s">
        <v>46</v>
      </c>
      <c r="D2" s="21" t="s">
        <v>19</v>
      </c>
      <c r="E2" s="21" t="s">
        <v>304</v>
      </c>
      <c r="F2" s="21" t="s">
        <v>305</v>
      </c>
      <c r="G2" s="21" t="s">
        <v>47</v>
      </c>
      <c r="H2" s="21" t="s">
        <v>48</v>
      </c>
      <c r="I2" s="21" t="s">
        <v>306</v>
      </c>
      <c r="J2" s="30" t="s">
        <v>307</v>
      </c>
      <c r="K2" s="31" t="s">
        <v>49</v>
      </c>
      <c r="L2" s="32" t="s">
        <v>50</v>
      </c>
      <c r="M2" s="21" t="s">
        <v>51</v>
      </c>
      <c r="N2" s="33" t="s">
        <v>308</v>
      </c>
      <c r="O2" s="21" t="s">
        <v>309</v>
      </c>
      <c r="P2" s="21" t="s">
        <v>310</v>
      </c>
      <c r="Q2" s="21" t="s">
        <v>311</v>
      </c>
      <c r="R2" s="21" t="s">
        <v>312</v>
      </c>
      <c r="S2" s="21" t="s">
        <v>313</v>
      </c>
      <c r="T2" s="21" t="s">
        <v>314</v>
      </c>
      <c r="U2" s="21" t="s">
        <v>315</v>
      </c>
      <c r="V2" s="21" t="s">
        <v>316</v>
      </c>
      <c r="W2" s="21" t="s">
        <v>52</v>
      </c>
      <c r="X2" s="21" t="s">
        <v>53</v>
      </c>
      <c r="Y2" s="21" t="s">
        <v>54</v>
      </c>
      <c r="Z2" s="21" t="s">
        <v>55</v>
      </c>
      <c r="AA2" s="21" t="s">
        <v>56</v>
      </c>
      <c r="AC2" s="68"/>
    </row>
    <row r="3" spans="2:29">
      <c r="B3" s="35" t="s">
        <v>317</v>
      </c>
      <c r="C3" s="35" t="s">
        <v>18</v>
      </c>
      <c r="D3" s="35" t="s">
        <v>318</v>
      </c>
      <c r="E3" s="35">
        <v>319</v>
      </c>
      <c r="F3" s="35" t="s">
        <v>319</v>
      </c>
      <c r="G3" s="35" t="s">
        <v>189</v>
      </c>
      <c r="H3" s="35">
        <v>73</v>
      </c>
      <c r="I3" s="35" t="s">
        <v>320</v>
      </c>
      <c r="J3" s="36">
        <v>1977</v>
      </c>
      <c r="K3" s="39">
        <v>52.6666666666666</v>
      </c>
      <c r="L3" s="37">
        <v>412000</v>
      </c>
      <c r="M3" s="35" t="s">
        <v>321</v>
      </c>
      <c r="N3" s="27">
        <v>560319</v>
      </c>
      <c r="O3" s="38">
        <v>1.3650738</v>
      </c>
      <c r="P3" s="38">
        <v>103.8448202</v>
      </c>
      <c r="Q3" s="38" t="str" cm="1">
        <f t="array" ref="Q3">INDEX('MRT station dataset'!$C$3:$C$179, MATCH(MIN(SQRT(('MRT station dataset'!$E$3:$E$179-'Resale flat dataset (DV)'!O3)^2+('MRT station dataset'!$F$3:$F$179-'Resale flat dataset (DV)'!P3)^2)), SQRT(('MRT station dataset'!$E$3:$E$179-'Resale flat dataset (DV)'!O3)^2+('MRT station dataset'!$F$3:$F$179-'Resale flat dataset (DV)'!P3)^2), 0))</f>
        <v>ANG MO KIO MRT STATION</v>
      </c>
      <c r="R3" s="38" t="str" cm="1">
        <f t="array" ref="R3">INDEX('Mall Dataset'!$B$3:$B$157, MATCH(MIN(SQRT(('Mall Dataset'!$E$3:$E$157-'Resale flat dataset (DV)'!O3)^2+('Mall Dataset'!$F$3:$F$157-'Resale flat dataset (DV)'!P3)^2)), SQRT(('Mall Dataset'!$E$3:$E$157-'Resale flat dataset (DV)'!O3)^2+('Mall Dataset'!$F$3:$F$157-'Resale flat dataset (DV)'!P3)^2), 0))</f>
        <v>AMK Hub</v>
      </c>
      <c r="S3" s="38" t="str" cm="1">
        <f t="array" ref="S3">INDEX('Schools dataset'!$B$3:$B$187, MATCH(MIN(SQRT(('Schools dataset'!$J$3:$J$187-'Resale flat dataset (DV)'!O3)^2+('Schools dataset'!$K$3:$K$187-'Resale flat dataset (DV)'!P3)^2)), SQRT(('Schools dataset'!$J$3:$J$187-'Resale flat dataset (DV)'!O3)^2+('Schools dataset'!$K$3:$K$187-'Resale flat dataset (DV)'!P3)^2), 0))</f>
        <v>TECK GHEE PRIMARY SCHOOL</v>
      </c>
      <c r="T3" s="39">
        <f>ACOS(COS(RADIANS(90-O3))*COS(RADIANS(90-_xlfn.XLOOKUP(Q3,'MRT station dataset'!$C$3:$C$179,'MRT station dataset'!$E$3:$E$179)))+SIN(RADIANS(90-O3))*SIN(RADIANS(90-_xlfn.XLOOKUP(Q3,'MRT station dataset'!$C$3:$C$179,'MRT station dataset'!$E$3:$E$179)))*COS(RADIANS(P3-_xlfn.XLOOKUP('Resale flat dataset (DV)'!Q3,'MRT station dataset'!$C$3:$C$179,'MRT station dataset'!$F$3:$F$179))))*6371*1000</f>
        <v>734.64801216524586</v>
      </c>
      <c r="U3" s="39">
        <f>ACOS(COS(RADIANS(90-O3))*COS(RADIANS(90-_xlfn.XLOOKUP(R3,'Mall Dataset'!$B$3:$B$157,'Mall Dataset'!$E$3:$E$157,,0)))+SIN(RADIANS(90-O3))*SIN(RADIANS(90-_xlfn.XLOOKUP(R3,'Mall Dataset'!$B$3:$B$157,'Mall Dataset'!$E$3:$E$157,,0)))*COS(RADIANS(P3-_xlfn.XLOOKUP(R3,'Mall Dataset'!$B$3:$B$157,'Mall Dataset'!$F$3:$F$157,,0))))*6371*1000</f>
        <v>616.64069457544929</v>
      </c>
      <c r="V3" s="39">
        <f>ACOS(COS(RADIANS(90-O3))*COS(RADIANS(90-_xlfn.XLOOKUP(S3,'Schools dataset'!$B$3:$B$187,'Schools dataset'!$J$3:$J$187,,0)))+SIN(RADIANS(90-O3))*SIN(RADIANS(90-_xlfn.XLOOKUP(S3,'Schools dataset'!$B$3:$B$187,'Schools dataset'!$J$3:$J$187,,0)))*COS(RADIANS(P3-_xlfn.XLOOKUP(S3,'Schools dataset'!$B$3:$B$187,'Schools dataset'!$K$3:$K$187,,0))))*6371*1000</f>
        <v>691.03529281929491</v>
      </c>
      <c r="W3" s="20">
        <f>_xlfn.XLOOKUP(T3,'HDB Recommender'!$P$10:$P$39,'HDB Recommender'!$Q$10:$Q$39,"&gt;30mins",1)</f>
        <v>10</v>
      </c>
      <c r="X3" s="20">
        <f>_xlfn.XLOOKUP(U3,'HDB Recommender'!$P$10:$P$39,'HDB Recommender'!$Q$10:$Q$39,"&gt;30mins",1)</f>
        <v>9</v>
      </c>
      <c r="Y3" s="20">
        <f>_xlfn.XLOOKUP(V3,'HDB Recommender'!$P$10:$P$39,'HDB Recommender'!$Q$10:$Q$39,"&gt;30mins",1)</f>
        <v>10</v>
      </c>
      <c r="Z3" s="39">
        <f>AVERAGE(W3:Y3)</f>
        <v>9.6666666666666661</v>
      </c>
      <c r="AA3" s="20" t="str">
        <f>IF(V3&lt;1000, "Within 1km", IF(V3&lt;=2000, "between 1km and 2km", "more than 2km"))</f>
        <v>Within 1km</v>
      </c>
    </row>
    <row r="4" spans="2:29">
      <c r="B4" s="35" t="s">
        <v>317</v>
      </c>
      <c r="C4" s="35" t="s">
        <v>18</v>
      </c>
      <c r="D4" s="35" t="s">
        <v>318</v>
      </c>
      <c r="E4" s="35">
        <v>418</v>
      </c>
      <c r="F4" s="35" t="s">
        <v>322</v>
      </c>
      <c r="G4" s="35" t="s">
        <v>323</v>
      </c>
      <c r="H4" s="35">
        <v>74</v>
      </c>
      <c r="I4" s="35" t="s">
        <v>320</v>
      </c>
      <c r="J4" s="36">
        <v>1979</v>
      </c>
      <c r="K4" s="39">
        <v>54.9166666666666</v>
      </c>
      <c r="L4" s="37">
        <v>418000</v>
      </c>
      <c r="M4" s="35" t="s">
        <v>324</v>
      </c>
      <c r="N4" s="27">
        <v>560418</v>
      </c>
      <c r="O4" s="38">
        <v>1.365035</v>
      </c>
      <c r="P4" s="38">
        <v>103.851433</v>
      </c>
      <c r="Q4" s="38" t="str" cm="1">
        <f t="array" ref="Q4">INDEX('MRT station dataset'!$C$3:$C$179, MATCH(MIN(SQRT(('MRT station dataset'!$E$3:$E$179-'Resale flat dataset (DV)'!O4)^2+('MRT station dataset'!$F$3:$F$179-'Resale flat dataset (DV)'!P4)^2)), SQRT(('MRT station dataset'!$E$3:$E$179-'Resale flat dataset (DV)'!O4)^2+('MRT station dataset'!$F$3:$F$179-'Resale flat dataset (DV)'!P4)^2), 0))</f>
        <v>ANG MO KIO MRT STATION</v>
      </c>
      <c r="R4" s="38" t="str" cm="1">
        <f t="array" ref="R4">INDEX('Mall Dataset'!$B$3:$B$157, MATCH(MIN(SQRT(('Mall Dataset'!$E$3:$E$157-'Resale flat dataset (DV)'!O4)^2+('Mall Dataset'!$F$3:$F$157-'Resale flat dataset (DV)'!P4)^2)), SQRT(('Mall Dataset'!$E$3:$E$157-'Resale flat dataset (DV)'!O4)^2+('Mall Dataset'!$F$3:$F$157-'Resale flat dataset (DV)'!P4)^2), 0))</f>
        <v>AMK Hub</v>
      </c>
      <c r="S4" s="38" t="str" cm="1">
        <f t="array" ref="S4">INDEX('Schools dataset'!$B$3:$B$187, MATCH(MIN(SQRT(('Schools dataset'!$J$3:$J$187-'Resale flat dataset (DV)'!O4)^2+('Schools dataset'!$K$3:$K$187-'Resale flat dataset (DV)'!P4)^2)), SQRT(('Schools dataset'!$J$3:$J$187-'Resale flat dataset (DV)'!O4)^2+('Schools dataset'!$K$3:$K$187-'Resale flat dataset (DV)'!P4)^2), 0))</f>
        <v>TECK GHEE PRIMARY SCHOOL</v>
      </c>
      <c r="T4" s="39">
        <f>ACOS(COS(RADIANS(90-O4))*COS(RADIANS(90-_xlfn.XLOOKUP(Q4,'MRT station dataset'!$C$3:$C$179,'MRT station dataset'!$E$3:$E$179)))+SIN(RADIANS(90-O4))*SIN(RADIANS(90-_xlfn.XLOOKUP(Q4,'MRT station dataset'!$C$3:$C$179,'MRT station dataset'!$E$3:$E$179)))*COS(RADIANS(P4-_xlfn.XLOOKUP('Resale flat dataset (DV)'!Q4,'MRT station dataset'!$C$3:$C$179,'MRT station dataset'!$F$3:$F$179))))*6371*1000</f>
        <v>503.93482231900077</v>
      </c>
      <c r="U4" s="39">
        <f>ACOS(COS(RADIANS(90-O4))*COS(RADIANS(90-_xlfn.XLOOKUP(R4,'Mall Dataset'!$B$3:$B$157,'Mall Dataset'!$E$3:$E$157,,0)))+SIN(RADIANS(90-O4))*SIN(RADIANS(90-_xlfn.XLOOKUP(R4,'Mall Dataset'!$B$3:$B$157,'Mall Dataset'!$E$3:$E$157,,0)))*COS(RADIANS(P4-_xlfn.XLOOKUP(R4,'Mall Dataset'!$B$3:$B$157,'Mall Dataset'!$F$3:$F$157,,0))))*6371*1000</f>
        <v>573.69455564987095</v>
      </c>
      <c r="V4" s="39">
        <f>ACOS(COS(RADIANS(90-O4))*COS(RADIANS(90-_xlfn.XLOOKUP(S4,'Schools dataset'!$B$3:$B$187,'Schools dataset'!$J$3:$J$187,,0)))+SIN(RADIANS(90-O4))*SIN(RADIANS(90-_xlfn.XLOOKUP(S4,'Schools dataset'!$B$3:$B$187,'Schools dataset'!$J$3:$J$187,,0)))*COS(RADIANS(P4-_xlfn.XLOOKUP(S4,'Schools dataset'!$B$3:$B$187,'Schools dataset'!$K$3:$K$187,,0))))*6371*1000</f>
        <v>83.020958781957702</v>
      </c>
      <c r="W4" s="20">
        <f>_xlfn.XLOOKUP(T4,'HDB Recommender'!$P$10:$P$39,'HDB Recommender'!$Q$10:$Q$39,"&gt;30mins",1)</f>
        <v>7</v>
      </c>
      <c r="X4" s="20">
        <f>_xlfn.XLOOKUP(U4,'HDB Recommender'!$P$10:$P$39,'HDB Recommender'!$Q$10:$Q$39,"&gt;30mins",1)</f>
        <v>8</v>
      </c>
      <c r="Y4" s="20">
        <f>_xlfn.XLOOKUP(V4,'HDB Recommender'!$P$10:$P$39,'HDB Recommender'!$Q$10:$Q$39,"&gt;30mins",1)</f>
        <v>2</v>
      </c>
      <c r="Z4" s="39">
        <f t="shared" ref="Z4:Z67" si="0">AVERAGE(W4:Y4)</f>
        <v>5.666666666666667</v>
      </c>
      <c r="AA4" s="20" t="str">
        <f t="shared" ref="AA4:AA67" si="1">IF(V4&lt;1000, "Within 1km", IF(V4&lt;=2000, "between 1km and 2km", "more than 2km"))</f>
        <v>Within 1km</v>
      </c>
    </row>
    <row r="5" spans="2:29">
      <c r="B5" s="35" t="s">
        <v>317</v>
      </c>
      <c r="C5" s="35" t="s">
        <v>18</v>
      </c>
      <c r="D5" s="35" t="s">
        <v>318</v>
      </c>
      <c r="E5" s="35">
        <v>170</v>
      </c>
      <c r="F5" s="35" t="s">
        <v>325</v>
      </c>
      <c r="G5" s="35" t="s">
        <v>189</v>
      </c>
      <c r="H5" s="35">
        <v>60</v>
      </c>
      <c r="I5" s="35" t="s">
        <v>326</v>
      </c>
      <c r="J5" s="36">
        <v>1986</v>
      </c>
      <c r="K5" s="39">
        <v>61.3333333333333</v>
      </c>
      <c r="L5" s="37">
        <v>350000</v>
      </c>
      <c r="M5" s="35" t="s">
        <v>327</v>
      </c>
      <c r="N5" s="27">
        <v>560170</v>
      </c>
      <c r="O5" s="38">
        <v>1.3740007178129501</v>
      </c>
      <c r="P5" s="38">
        <v>103.83643153142</v>
      </c>
      <c r="Q5" s="38" t="str" cm="1">
        <f t="array" ref="Q5">INDEX('MRT station dataset'!$C$3:$C$179, MATCH(MIN(SQRT(('MRT station dataset'!$E$3:$E$179-'Resale flat dataset (DV)'!O5)^2+('MRT station dataset'!$F$3:$F$179-'Resale flat dataset (DV)'!P5)^2)), SQRT(('MRT station dataset'!$E$3:$E$179-'Resale flat dataset (DV)'!O5)^2+('MRT station dataset'!$F$3:$F$179-'Resale flat dataset (DV)'!P5)^2), 0))</f>
        <v>MAYFLOWER MRT STATION</v>
      </c>
      <c r="R5" s="38" t="str" cm="1">
        <f t="array" ref="R5">INDEX('Mall Dataset'!$B$3:$B$157, MATCH(MIN(SQRT(('Mall Dataset'!$E$3:$E$157-'Resale flat dataset (DV)'!O5)^2+('Mall Dataset'!$F$3:$F$157-'Resale flat dataset (DV)'!P5)^2)), SQRT(('Mall Dataset'!$E$3:$E$157-'Resale flat dataset (DV)'!O5)^2+('Mall Dataset'!$F$3:$F$157-'Resale flat dataset (DV)'!P5)^2), 0))</f>
        <v>Djitsun Mall AMK</v>
      </c>
      <c r="S5" s="38" t="str" cm="1">
        <f t="array" ref="S5">INDEX('Schools dataset'!$B$3:$B$187, MATCH(MIN(SQRT(('Schools dataset'!$J$3:$J$187-'Resale flat dataset (DV)'!O5)^2+('Schools dataset'!$K$3:$K$187-'Resale flat dataset (DV)'!P5)^2)), SQRT(('Schools dataset'!$J$3:$J$187-'Resale flat dataset (DV)'!O5)^2+('Schools dataset'!$K$3:$K$187-'Resale flat dataset (DV)'!P5)^2), 0))</f>
        <v>MAYFLOWER PRIMARY SCHOOL</v>
      </c>
      <c r="T5" s="39">
        <f>ACOS(COS(RADIANS(90-O5))*COS(RADIANS(90-_xlfn.XLOOKUP(Q5,'MRT station dataset'!$C$3:$C$179,'MRT station dataset'!$E$3:$E$179)))+SIN(RADIANS(90-O5))*SIN(RADIANS(90-_xlfn.XLOOKUP(Q5,'MRT station dataset'!$C$3:$C$179,'MRT station dataset'!$E$3:$E$179)))*COS(RADIANS(P5-_xlfn.XLOOKUP('Resale flat dataset (DV)'!Q5,'MRT station dataset'!$C$3:$C$179,'MRT station dataset'!$F$3:$F$179))))*6371*1000</f>
        <v>215.28265498834176</v>
      </c>
      <c r="U5" s="39">
        <f>ACOS(COS(RADIANS(90-O5))*COS(RADIANS(90-_xlfn.XLOOKUP(R5,'Mall Dataset'!$B$3:$B$157,'Mall Dataset'!$E$3:$E$157,,0)))+SIN(RADIANS(90-O5))*SIN(RADIANS(90-_xlfn.XLOOKUP(R5,'Mall Dataset'!$B$3:$B$157,'Mall Dataset'!$E$3:$E$157,,0)))*COS(RADIANS(P5-_xlfn.XLOOKUP(R5,'Mall Dataset'!$B$3:$B$157,'Mall Dataset'!$F$3:$F$157,,0))))*6371*1000</f>
        <v>976.63277219441306</v>
      </c>
      <c r="V5" s="39">
        <f>ACOS(COS(RADIANS(90-O5))*COS(RADIANS(90-_xlfn.XLOOKUP(S5,'Schools dataset'!$B$3:$B$187,'Schools dataset'!$J$3:$J$187,,0)))+SIN(RADIANS(90-O5))*SIN(RADIANS(90-_xlfn.XLOOKUP(S5,'Schools dataset'!$B$3:$B$187,'Schools dataset'!$J$3:$J$187,,0)))*COS(RADIANS(P5-_xlfn.XLOOKUP(S5,'Schools dataset'!$B$3:$B$187,'Schools dataset'!$K$3:$K$187,,0))))*6371*1000</f>
        <v>248.51935934074621</v>
      </c>
      <c r="W5" s="20">
        <f>_xlfn.XLOOKUP(T5,'HDB Recommender'!$P$10:$P$39,'HDB Recommender'!$Q$10:$Q$39,"&gt;30mins",1)</f>
        <v>3</v>
      </c>
      <c r="X5" s="20">
        <f>_xlfn.XLOOKUP(U5,'HDB Recommender'!$P$10:$P$39,'HDB Recommender'!$Q$10:$Q$39,"&gt;30mins",1)</f>
        <v>14</v>
      </c>
      <c r="Y5" s="20">
        <f>_xlfn.XLOOKUP(V5,'HDB Recommender'!$P$10:$P$39,'HDB Recommender'!$Q$10:$Q$39,"&gt;30mins",1)</f>
        <v>4</v>
      </c>
      <c r="Z5" s="39">
        <f t="shared" si="0"/>
        <v>7</v>
      </c>
      <c r="AA5" s="20" t="str">
        <f t="shared" si="1"/>
        <v>Within 1km</v>
      </c>
    </row>
    <row r="6" spans="2:29">
      <c r="B6" s="35" t="s">
        <v>317</v>
      </c>
      <c r="C6" s="35" t="s">
        <v>18</v>
      </c>
      <c r="D6" s="35" t="s">
        <v>318</v>
      </c>
      <c r="E6" s="35">
        <v>118</v>
      </c>
      <c r="F6" s="35" t="s">
        <v>325</v>
      </c>
      <c r="G6" s="35" t="s">
        <v>189</v>
      </c>
      <c r="H6" s="35">
        <v>74</v>
      </c>
      <c r="I6" s="35" t="s">
        <v>320</v>
      </c>
      <c r="J6" s="36">
        <v>1978</v>
      </c>
      <c r="K6" s="39">
        <v>53.6666666666666</v>
      </c>
      <c r="L6" s="37">
        <v>428888</v>
      </c>
      <c r="M6" s="35" t="s">
        <v>328</v>
      </c>
      <c r="N6" s="27">
        <v>560118</v>
      </c>
      <c r="O6" s="38">
        <v>1.37329593649654</v>
      </c>
      <c r="P6" s="38">
        <v>103.835475719134</v>
      </c>
      <c r="Q6" s="38" t="str" cm="1">
        <f t="array" ref="Q6">INDEX('MRT station dataset'!$C$3:$C$179, MATCH(MIN(SQRT(('MRT station dataset'!$E$3:$E$179-'Resale flat dataset (DV)'!O6)^2+('MRT station dataset'!$F$3:$F$179-'Resale flat dataset (DV)'!P6)^2)), SQRT(('MRT station dataset'!$E$3:$E$179-'Resale flat dataset (DV)'!O6)^2+('MRT station dataset'!$F$3:$F$179-'Resale flat dataset (DV)'!P6)^2), 0))</f>
        <v>MAYFLOWER MRT STATION</v>
      </c>
      <c r="R6" s="38" t="str" cm="1">
        <f t="array" ref="R6">INDEX('Mall Dataset'!$B$3:$B$157, MATCH(MIN(SQRT(('Mall Dataset'!$E$3:$E$157-'Resale flat dataset (DV)'!O6)^2+('Mall Dataset'!$F$3:$F$157-'Resale flat dataset (DV)'!P6)^2)), SQRT(('Mall Dataset'!$E$3:$E$157-'Resale flat dataset (DV)'!O6)^2+('Mall Dataset'!$F$3:$F$157-'Resale flat dataset (DV)'!P6)^2), 0))</f>
        <v>Djitsun Mall AMK</v>
      </c>
      <c r="S6" s="38" t="str" cm="1">
        <f t="array" ref="S6">INDEX('Schools dataset'!$B$3:$B$187, MATCH(MIN(SQRT(('Schools dataset'!$J$3:$J$187-'Resale flat dataset (DV)'!O6)^2+('Schools dataset'!$K$3:$K$187-'Resale flat dataset (DV)'!P6)^2)), SQRT(('Schools dataset'!$J$3:$J$187-'Resale flat dataset (DV)'!O6)^2+('Schools dataset'!$K$3:$K$187-'Resale flat dataset (DV)'!P6)^2), 0))</f>
        <v>CHIJ ST. NICHOLAS GIRLS' SCHOOL</v>
      </c>
      <c r="T6" s="39">
        <f>ACOS(COS(RADIANS(90-O6))*COS(RADIANS(90-_xlfn.XLOOKUP(Q6,'MRT station dataset'!$C$3:$C$179,'MRT station dataset'!$E$3:$E$179)))+SIN(RADIANS(90-O6))*SIN(RADIANS(90-_xlfn.XLOOKUP(Q6,'MRT station dataset'!$C$3:$C$179,'MRT station dataset'!$E$3:$E$179)))*COS(RADIANS(P6-_xlfn.XLOOKUP('Resale flat dataset (DV)'!Q6,'MRT station dataset'!$C$3:$C$179,'MRT station dataset'!$F$3:$F$179))))*6371*1000</f>
        <v>198.38176977508448</v>
      </c>
      <c r="U6" s="39">
        <f>ACOS(COS(RADIANS(90-O6))*COS(RADIANS(90-_xlfn.XLOOKUP(R6,'Mall Dataset'!$B$3:$B$157,'Mall Dataset'!$E$3:$E$157,,0)))+SIN(RADIANS(90-O6))*SIN(RADIANS(90-_xlfn.XLOOKUP(R6,'Mall Dataset'!$B$3:$B$157,'Mall Dataset'!$E$3:$E$157,,0)))*COS(RADIANS(P6-_xlfn.XLOOKUP(R6,'Mall Dataset'!$B$3:$B$157,'Mall Dataset'!$F$3:$F$157,,0))))*6371*1000</f>
        <v>1075.872325650957</v>
      </c>
      <c r="V6" s="39">
        <f>ACOS(COS(RADIANS(90-O6))*COS(RADIANS(90-_xlfn.XLOOKUP(S6,'Schools dataset'!$B$3:$B$187,'Schools dataset'!$J$3:$J$187,,0)))+SIN(RADIANS(90-O6))*SIN(RADIANS(90-_xlfn.XLOOKUP(S6,'Schools dataset'!$B$3:$B$187,'Schools dataset'!$J$3:$J$187,,0)))*COS(RADIANS(P6-_xlfn.XLOOKUP(S6,'Schools dataset'!$B$3:$B$187,'Schools dataset'!$K$3:$K$187,,0))))*6371*1000</f>
        <v>137.37255710485096</v>
      </c>
      <c r="W6" s="20">
        <f>_xlfn.XLOOKUP(T6,'HDB Recommender'!$P$10:$P$39,'HDB Recommender'!$Q$10:$Q$39,"&gt;30mins",1)</f>
        <v>3</v>
      </c>
      <c r="X6" s="20">
        <f>_xlfn.XLOOKUP(U6,'HDB Recommender'!$P$10:$P$39,'HDB Recommender'!$Q$10:$Q$39,"&gt;30mins",1)</f>
        <v>15</v>
      </c>
      <c r="Y6" s="20">
        <f>_xlfn.XLOOKUP(V6,'HDB Recommender'!$P$10:$P$39,'HDB Recommender'!$Q$10:$Q$39,"&gt;30mins",1)</f>
        <v>2</v>
      </c>
      <c r="Z6" s="39">
        <f t="shared" si="0"/>
        <v>6.666666666666667</v>
      </c>
      <c r="AA6" s="20" t="str">
        <f t="shared" si="1"/>
        <v>Within 1km</v>
      </c>
    </row>
    <row r="7" spans="2:29">
      <c r="B7" s="35" t="s">
        <v>317</v>
      </c>
      <c r="C7" s="35" t="s">
        <v>18</v>
      </c>
      <c r="D7" s="35" t="s">
        <v>318</v>
      </c>
      <c r="E7" s="35">
        <v>610</v>
      </c>
      <c r="F7" s="35" t="s">
        <v>325</v>
      </c>
      <c r="G7" s="35" t="s">
        <v>191</v>
      </c>
      <c r="H7" s="35">
        <v>68</v>
      </c>
      <c r="I7" s="35" t="s">
        <v>320</v>
      </c>
      <c r="J7" s="36">
        <v>1980</v>
      </c>
      <c r="K7" s="39">
        <v>56.1666666666666</v>
      </c>
      <c r="L7" s="37">
        <v>375000</v>
      </c>
      <c r="M7" s="35" t="s">
        <v>329</v>
      </c>
      <c r="N7" s="27">
        <v>560610</v>
      </c>
      <c r="O7" s="38">
        <v>1.3798360000000001</v>
      </c>
      <c r="P7" s="38">
        <v>103.8368438</v>
      </c>
      <c r="Q7" s="38" t="str" cm="1">
        <f t="array" ref="Q7">INDEX('MRT station dataset'!$C$3:$C$179, MATCH(MIN(SQRT(('MRT station dataset'!$E$3:$E$179-'Resale flat dataset (DV)'!O7)^2+('MRT station dataset'!$F$3:$F$179-'Resale flat dataset (DV)'!P7)^2)), SQRT(('MRT station dataset'!$E$3:$E$179-'Resale flat dataset (DV)'!O7)^2+('MRT station dataset'!$F$3:$F$179-'Resale flat dataset (DV)'!P7)^2), 0))</f>
        <v>LENTOR MRT STATION</v>
      </c>
      <c r="R7" s="38" t="str" cm="1">
        <f t="array" ref="R7">INDEX('Mall Dataset'!$B$3:$B$157, MATCH(MIN(SQRT(('Mall Dataset'!$E$3:$E$157-'Resale flat dataset (DV)'!O7)^2+('Mall Dataset'!$F$3:$F$157-'Resale flat dataset (DV)'!P7)^2)), SQRT(('Mall Dataset'!$E$3:$E$157-'Resale flat dataset (DV)'!O7)^2+('Mall Dataset'!$F$3:$F$157-'Resale flat dataset (DV)'!P7)^2), 0))</f>
        <v>Djitsun Mall AMK</v>
      </c>
      <c r="S7" s="38" t="str" cm="1">
        <f t="array" ref="S7">INDEX('Schools dataset'!$B$3:$B$187, MATCH(MIN(SQRT(('Schools dataset'!$J$3:$J$187-'Resale flat dataset (DV)'!O7)^2+('Schools dataset'!$K$3:$K$187-'Resale flat dataset (DV)'!P7)^2)), SQRT(('Schools dataset'!$J$3:$J$187-'Resale flat dataset (DV)'!O7)^2+('Schools dataset'!$K$3:$K$187-'Resale flat dataset (DV)'!P7)^2), 0))</f>
        <v>MAYFLOWER PRIMARY SCHOOL</v>
      </c>
      <c r="T7" s="39">
        <f>ACOS(COS(RADIANS(90-O7))*COS(RADIANS(90-_xlfn.XLOOKUP(Q7,'MRT station dataset'!$C$3:$C$179,'MRT station dataset'!$E$3:$E$179)))+SIN(RADIANS(90-O7))*SIN(RADIANS(90-_xlfn.XLOOKUP(Q7,'MRT station dataset'!$C$3:$C$179,'MRT station dataset'!$E$3:$E$179)))*COS(RADIANS(P7-_xlfn.XLOOKUP('Resale flat dataset (DV)'!Q7,'MRT station dataset'!$C$3:$C$179,'MRT station dataset'!$F$3:$F$179))))*6371*1000</f>
        <v>584.44384717527487</v>
      </c>
      <c r="U7" s="39">
        <f>ACOS(COS(RADIANS(90-O7))*COS(RADIANS(90-_xlfn.XLOOKUP(R7,'Mall Dataset'!$B$3:$B$157,'Mall Dataset'!$E$3:$E$157,,0)))+SIN(RADIANS(90-O7))*SIN(RADIANS(90-_xlfn.XLOOKUP(R7,'Mall Dataset'!$B$3:$B$157,'Mall Dataset'!$E$3:$E$157,,0)))*COS(RADIANS(P7-_xlfn.XLOOKUP(R7,'Mall Dataset'!$B$3:$B$157,'Mall Dataset'!$F$3:$F$157,,0))))*6371*1000</f>
        <v>1204.2441080627484</v>
      </c>
      <c r="V7" s="39">
        <f>ACOS(COS(RADIANS(90-O7))*COS(RADIANS(90-_xlfn.XLOOKUP(S7,'Schools dataset'!$B$3:$B$187,'Schools dataset'!$J$3:$J$187,,0)))+SIN(RADIANS(90-O7))*SIN(RADIANS(90-_xlfn.XLOOKUP(S7,'Schools dataset'!$B$3:$B$187,'Schools dataset'!$J$3:$J$187,,0)))*COS(RADIANS(P7-_xlfn.XLOOKUP(S7,'Schools dataset'!$B$3:$B$187,'Schools dataset'!$K$3:$K$187,,0))))*6371*1000</f>
        <v>426.21857288634703</v>
      </c>
      <c r="W7" s="20">
        <f>_xlfn.XLOOKUP(T7,'HDB Recommender'!$P$10:$P$39,'HDB Recommender'!$Q$10:$Q$39,"&gt;30mins",1)</f>
        <v>8</v>
      </c>
      <c r="X7" s="20">
        <f>_xlfn.XLOOKUP(U7,'HDB Recommender'!$P$10:$P$39,'HDB Recommender'!$Q$10:$Q$39,"&gt;30mins",1)</f>
        <v>17</v>
      </c>
      <c r="Y7" s="20">
        <f>_xlfn.XLOOKUP(V7,'HDB Recommender'!$P$10:$P$39,'HDB Recommender'!$Q$10:$Q$39,"&gt;30mins",1)</f>
        <v>6</v>
      </c>
      <c r="Z7" s="39">
        <f t="shared" si="0"/>
        <v>10.333333333333334</v>
      </c>
      <c r="AA7" s="20" t="str">
        <f t="shared" si="1"/>
        <v>Within 1km</v>
      </c>
    </row>
    <row r="8" spans="2:29">
      <c r="B8" s="35" t="s">
        <v>317</v>
      </c>
      <c r="C8" s="35" t="s">
        <v>18</v>
      </c>
      <c r="D8" s="35" t="s">
        <v>318</v>
      </c>
      <c r="E8" s="35">
        <v>644</v>
      </c>
      <c r="F8" s="35" t="s">
        <v>325</v>
      </c>
      <c r="G8" s="35" t="s">
        <v>189</v>
      </c>
      <c r="H8" s="35">
        <v>75</v>
      </c>
      <c r="I8" s="35" t="s">
        <v>320</v>
      </c>
      <c r="J8" s="36">
        <v>1980</v>
      </c>
      <c r="K8" s="39">
        <v>56.25</v>
      </c>
      <c r="L8" s="37">
        <v>380000</v>
      </c>
      <c r="M8" s="35" t="s">
        <v>330</v>
      </c>
      <c r="N8" s="27">
        <v>560644</v>
      </c>
      <c r="O8" s="38">
        <v>1.37914585571526</v>
      </c>
      <c r="P8" s="38">
        <v>103.8383656</v>
      </c>
      <c r="Q8" s="38" t="str" cm="1">
        <f t="array" ref="Q8">INDEX('MRT station dataset'!$C$3:$C$179, MATCH(MIN(SQRT(('MRT station dataset'!$E$3:$E$179-'Resale flat dataset (DV)'!O8)^2+('MRT station dataset'!$F$3:$F$179-'Resale flat dataset (DV)'!P8)^2)), SQRT(('MRT station dataset'!$E$3:$E$179-'Resale flat dataset (DV)'!O8)^2+('MRT station dataset'!$F$3:$F$179-'Resale flat dataset (DV)'!P8)^2), 0))</f>
        <v>LENTOR MRT STATION</v>
      </c>
      <c r="R8" s="38" t="str" cm="1">
        <f t="array" ref="R8">INDEX('Mall Dataset'!$B$3:$B$157, MATCH(MIN(SQRT(('Mall Dataset'!$E$3:$E$157-'Resale flat dataset (DV)'!O8)^2+('Mall Dataset'!$F$3:$F$157-'Resale flat dataset (DV)'!P8)^2)), SQRT(('Mall Dataset'!$E$3:$E$157-'Resale flat dataset (DV)'!O8)^2+('Mall Dataset'!$F$3:$F$157-'Resale flat dataset (DV)'!P8)^2), 0))</f>
        <v>Djitsun Mall AMK</v>
      </c>
      <c r="S8" s="38" t="str" cm="1">
        <f t="array" ref="S8">INDEX('Schools dataset'!$B$3:$B$187, MATCH(MIN(SQRT(('Schools dataset'!$J$3:$J$187-'Resale flat dataset (DV)'!O8)^2+('Schools dataset'!$K$3:$K$187-'Resale flat dataset (DV)'!P8)^2)), SQRT(('Schools dataset'!$J$3:$J$187-'Resale flat dataset (DV)'!O8)^2+('Schools dataset'!$K$3:$K$187-'Resale flat dataset (DV)'!P8)^2), 0))</f>
        <v>MAYFLOWER PRIMARY SCHOOL</v>
      </c>
      <c r="T8" s="39">
        <f>ACOS(COS(RADIANS(90-O8))*COS(RADIANS(90-_xlfn.XLOOKUP(Q8,'MRT station dataset'!$C$3:$C$179,'MRT station dataset'!$E$3:$E$179)))+SIN(RADIANS(90-O8))*SIN(RADIANS(90-_xlfn.XLOOKUP(Q8,'MRT station dataset'!$C$3:$C$179,'MRT station dataset'!$E$3:$E$179)))*COS(RADIANS(P8-_xlfn.XLOOKUP('Resale flat dataset (DV)'!Q8,'MRT station dataset'!$C$3:$C$179,'MRT station dataset'!$F$3:$F$179))))*6371*1000</f>
        <v>743.05314369652592</v>
      </c>
      <c r="U8" s="39">
        <f>ACOS(COS(RADIANS(90-O8))*COS(RADIANS(90-_xlfn.XLOOKUP(R8,'Mall Dataset'!$B$3:$B$157,'Mall Dataset'!$E$3:$E$157,,0)))+SIN(RADIANS(90-O8))*SIN(RADIANS(90-_xlfn.XLOOKUP(R8,'Mall Dataset'!$B$3:$B$157,'Mall Dataset'!$E$3:$E$157,,0)))*COS(RADIANS(P8-_xlfn.XLOOKUP(R8,'Mall Dataset'!$B$3:$B$157,'Mall Dataset'!$F$3:$F$157,,0))))*6371*1000</f>
        <v>1026.5212513219635</v>
      </c>
      <c r="V8" s="39">
        <f>ACOS(COS(RADIANS(90-O8))*COS(RADIANS(90-_xlfn.XLOOKUP(S8,'Schools dataset'!$B$3:$B$187,'Schools dataset'!$J$3:$J$187,,0)))+SIN(RADIANS(90-O8))*SIN(RADIANS(90-_xlfn.XLOOKUP(S8,'Schools dataset'!$B$3:$B$187,'Schools dataset'!$J$3:$J$187,,0)))*COS(RADIANS(P8-_xlfn.XLOOKUP(S8,'Schools dataset'!$B$3:$B$187,'Schools dataset'!$K$3:$K$187,,0))))*6371*1000</f>
        <v>438.47268975812125</v>
      </c>
      <c r="W8" s="20">
        <f>_xlfn.XLOOKUP(T8,'HDB Recommender'!$P$10:$P$39,'HDB Recommender'!$Q$10:$Q$39,"&gt;30mins",1)</f>
        <v>10</v>
      </c>
      <c r="X8" s="20">
        <f>_xlfn.XLOOKUP(U8,'HDB Recommender'!$P$10:$P$39,'HDB Recommender'!$Q$10:$Q$39,"&gt;30mins",1)</f>
        <v>14</v>
      </c>
      <c r="Y8" s="20">
        <f>_xlfn.XLOOKUP(V8,'HDB Recommender'!$P$10:$P$39,'HDB Recommender'!$Q$10:$Q$39,"&gt;30mins",1)</f>
        <v>6</v>
      </c>
      <c r="Z8" s="39">
        <f t="shared" si="0"/>
        <v>10</v>
      </c>
      <c r="AA8" s="20" t="str">
        <f t="shared" si="1"/>
        <v>Within 1km</v>
      </c>
    </row>
    <row r="9" spans="2:29">
      <c r="B9" s="35" t="s">
        <v>317</v>
      </c>
      <c r="C9" s="35" t="s">
        <v>18</v>
      </c>
      <c r="D9" s="35" t="s">
        <v>318</v>
      </c>
      <c r="E9" s="35">
        <v>533</v>
      </c>
      <c r="F9" s="35" t="s">
        <v>331</v>
      </c>
      <c r="G9" s="35" t="s">
        <v>184</v>
      </c>
      <c r="H9" s="35">
        <v>67</v>
      </c>
      <c r="I9" s="35" t="s">
        <v>320</v>
      </c>
      <c r="J9" s="36">
        <v>1980</v>
      </c>
      <c r="K9" s="39">
        <v>55.4166666666666</v>
      </c>
      <c r="L9" s="37">
        <v>405000</v>
      </c>
      <c r="M9" s="35" t="s">
        <v>332</v>
      </c>
      <c r="N9" s="27">
        <v>560533</v>
      </c>
      <c r="O9" s="38">
        <v>1.3741692336847</v>
      </c>
      <c r="P9" s="38">
        <v>103.853001924476</v>
      </c>
      <c r="Q9" s="38" t="str" cm="1">
        <f t="array" ref="Q9">INDEX('MRT station dataset'!$C$3:$C$179, MATCH(MIN(SQRT(('MRT station dataset'!$E$3:$E$179-'Resale flat dataset (DV)'!O9)^2+('MRT station dataset'!$F$3:$F$179-'Resale flat dataset (DV)'!P9)^2)), SQRT(('MRT station dataset'!$E$3:$E$179-'Resale flat dataset (DV)'!O9)^2+('MRT station dataset'!$F$3:$F$179-'Resale flat dataset (DV)'!P9)^2), 0))</f>
        <v>ANG MO KIO MRT STATION</v>
      </c>
      <c r="R9" s="38" t="str" cm="1">
        <f t="array" ref="R9">INDEX('Mall Dataset'!$B$3:$B$157, MATCH(MIN(SQRT(('Mall Dataset'!$E$3:$E$157-'Resale flat dataset (DV)'!O9)^2+('Mall Dataset'!$F$3:$F$157-'Resale flat dataset (DV)'!P9)^2)), SQRT(('Mall Dataset'!$E$3:$E$157-'Resale flat dataset (DV)'!O9)^2+('Mall Dataset'!$F$3:$F$157-'Resale flat dataset (DV)'!P9)^2), 0))</f>
        <v>Jubilee Square</v>
      </c>
      <c r="S9" s="38" t="str" cm="1">
        <f t="array" ref="S9">INDEX('Schools dataset'!$B$3:$B$187, MATCH(MIN(SQRT(('Schools dataset'!$J$3:$J$187-'Resale flat dataset (DV)'!O9)^2+('Schools dataset'!$K$3:$K$187-'Resale flat dataset (DV)'!P9)^2)), SQRT(('Schools dataset'!$J$3:$J$187-'Resale flat dataset (DV)'!O9)^2+('Schools dataset'!$K$3:$K$187-'Resale flat dataset (DV)'!P9)^2), 0))</f>
        <v>JING SHAN PRIMARY SCHOOL</v>
      </c>
      <c r="T9" s="39">
        <f>ACOS(COS(RADIANS(90-O9))*COS(RADIANS(90-_xlfn.XLOOKUP(Q9,'MRT station dataset'!$C$3:$C$179,'MRT station dataset'!$E$3:$E$179)))+SIN(RADIANS(90-O9))*SIN(RADIANS(90-_xlfn.XLOOKUP(Q9,'MRT station dataset'!$C$3:$C$179,'MRT station dataset'!$E$3:$E$179)))*COS(RADIANS(P9-_xlfn.XLOOKUP('Resale flat dataset (DV)'!Q9,'MRT station dataset'!$C$3:$C$179,'MRT station dataset'!$F$3:$F$179))))*6371*1000</f>
        <v>641.91221848462328</v>
      </c>
      <c r="U9" s="39">
        <f>ACOS(COS(RADIANS(90-O9))*COS(RADIANS(90-_xlfn.XLOOKUP(R9,'Mall Dataset'!$B$3:$B$157,'Mall Dataset'!$E$3:$E$157,,0)))+SIN(RADIANS(90-O9))*SIN(RADIANS(90-_xlfn.XLOOKUP(R9,'Mall Dataset'!$B$3:$B$157,'Mall Dataset'!$E$3:$E$157,,0)))*COS(RADIANS(P9-_xlfn.XLOOKUP(R9,'Mall Dataset'!$B$3:$B$157,'Mall Dataset'!$F$3:$F$157,,0))))*6371*1000</f>
        <v>632.31764809686285</v>
      </c>
      <c r="V9" s="39">
        <f>ACOS(COS(RADIANS(90-O9))*COS(RADIANS(90-_xlfn.XLOOKUP(S9,'Schools dataset'!$B$3:$B$187,'Schools dataset'!$J$3:$J$187,,0)))+SIN(RADIANS(90-O9))*SIN(RADIANS(90-_xlfn.XLOOKUP(S9,'Schools dataset'!$B$3:$B$187,'Schools dataset'!$J$3:$J$187,,0)))*COS(RADIANS(P9-_xlfn.XLOOKUP(S9,'Schools dataset'!$B$3:$B$187,'Schools dataset'!$K$3:$K$187,,0))))*6371*1000</f>
        <v>236.01921307223583</v>
      </c>
      <c r="W9" s="20">
        <f>_xlfn.XLOOKUP(T9,'HDB Recommender'!$P$10:$P$39,'HDB Recommender'!$Q$10:$Q$39,"&gt;30mins",1)</f>
        <v>9</v>
      </c>
      <c r="X9" s="20">
        <f>_xlfn.XLOOKUP(U9,'HDB Recommender'!$P$10:$P$39,'HDB Recommender'!$Q$10:$Q$39,"&gt;30mins",1)</f>
        <v>9</v>
      </c>
      <c r="Y9" s="20">
        <f>_xlfn.XLOOKUP(V9,'HDB Recommender'!$P$10:$P$39,'HDB Recommender'!$Q$10:$Q$39,"&gt;30mins",1)</f>
        <v>4</v>
      </c>
      <c r="Z9" s="39">
        <f t="shared" si="0"/>
        <v>7.333333333333333</v>
      </c>
      <c r="AA9" s="20" t="str">
        <f t="shared" si="1"/>
        <v>Within 1km</v>
      </c>
    </row>
    <row r="10" spans="2:29">
      <c r="B10" s="35" t="s">
        <v>317</v>
      </c>
      <c r="C10" s="35" t="s">
        <v>18</v>
      </c>
      <c r="D10" s="35" t="s">
        <v>318</v>
      </c>
      <c r="E10" s="35">
        <v>180</v>
      </c>
      <c r="F10" s="35" t="s">
        <v>331</v>
      </c>
      <c r="G10" s="35" t="s">
        <v>189</v>
      </c>
      <c r="H10" s="35">
        <v>68</v>
      </c>
      <c r="I10" s="35" t="s">
        <v>320</v>
      </c>
      <c r="J10" s="36">
        <v>1981</v>
      </c>
      <c r="K10" s="39">
        <v>56.5833333333333</v>
      </c>
      <c r="L10" s="37">
        <v>382000</v>
      </c>
      <c r="M10" s="35" t="s">
        <v>333</v>
      </c>
      <c r="N10" s="27">
        <v>560180</v>
      </c>
      <c r="O10" s="38">
        <v>1.3766770640863499</v>
      </c>
      <c r="P10" s="38">
        <v>103.83836104381</v>
      </c>
      <c r="Q10" s="38" t="str" cm="1">
        <f t="array" ref="Q10">INDEX('MRT station dataset'!$C$3:$C$179, MATCH(MIN(SQRT(('MRT station dataset'!$E$3:$E$179-'Resale flat dataset (DV)'!O10)^2+('MRT station dataset'!$F$3:$F$179-'Resale flat dataset (DV)'!P10)^2)), SQRT(('MRT station dataset'!$E$3:$E$179-'Resale flat dataset (DV)'!O10)^2+('MRT station dataset'!$F$3:$F$179-'Resale flat dataset (DV)'!P10)^2), 0))</f>
        <v>MAYFLOWER MRT STATION</v>
      </c>
      <c r="R10" s="38" t="str" cm="1">
        <f t="array" ref="R10">INDEX('Mall Dataset'!$B$3:$B$157, MATCH(MIN(SQRT(('Mall Dataset'!$E$3:$E$157-'Resale flat dataset (DV)'!O10)^2+('Mall Dataset'!$F$3:$F$157-'Resale flat dataset (DV)'!P10)^2)), SQRT(('Mall Dataset'!$E$3:$E$157-'Resale flat dataset (DV)'!O10)^2+('Mall Dataset'!$F$3:$F$157-'Resale flat dataset (DV)'!P10)^2), 0))</f>
        <v>Djitsun Mall AMK</v>
      </c>
      <c r="S10" s="38" t="str" cm="1">
        <f t="array" ref="S10">INDEX('Schools dataset'!$B$3:$B$187, MATCH(MIN(SQRT(('Schools dataset'!$J$3:$J$187-'Resale flat dataset (DV)'!O10)^2+('Schools dataset'!$K$3:$K$187-'Resale flat dataset (DV)'!P10)^2)), SQRT(('Schools dataset'!$J$3:$J$187-'Resale flat dataset (DV)'!O10)^2+('Schools dataset'!$K$3:$K$187-'Resale flat dataset (DV)'!P10)^2), 0))</f>
        <v>MAYFLOWER PRIMARY SCHOOL</v>
      </c>
      <c r="T10" s="39">
        <f>ACOS(COS(RADIANS(90-O10))*COS(RADIANS(90-_xlfn.XLOOKUP(Q10,'MRT station dataset'!$C$3:$C$179,'MRT station dataset'!$E$3:$E$179)))+SIN(RADIANS(90-O10))*SIN(RADIANS(90-_xlfn.XLOOKUP(Q10,'MRT station dataset'!$C$3:$C$179,'MRT station dataset'!$E$3:$E$179)))*COS(RADIANS(P10-_xlfn.XLOOKUP('Resale flat dataset (DV)'!Q10,'MRT station dataset'!$C$3:$C$179,'MRT station dataset'!$F$3:$F$179))))*6371*1000</f>
        <v>537.71654484247028</v>
      </c>
      <c r="U10" s="39">
        <f>ACOS(COS(RADIANS(90-O10))*COS(RADIANS(90-_xlfn.XLOOKUP(R10,'Mall Dataset'!$B$3:$B$157,'Mall Dataset'!$E$3:$E$157,,0)))+SIN(RADIANS(90-O10))*SIN(RADIANS(90-_xlfn.XLOOKUP(R10,'Mall Dataset'!$B$3:$B$157,'Mall Dataset'!$E$3:$E$157,,0)))*COS(RADIANS(P10-_xlfn.XLOOKUP(R10,'Mall Dataset'!$B$3:$B$157,'Mall Dataset'!$F$3:$F$157,,0))))*6371*1000</f>
        <v>864.40377028513637</v>
      </c>
      <c r="V10" s="39">
        <f>ACOS(COS(RADIANS(90-O10))*COS(RADIANS(90-_xlfn.XLOOKUP(S10,'Schools dataset'!$B$3:$B$187,'Schools dataset'!$J$3:$J$187,,0)))+SIN(RADIANS(90-O10))*SIN(RADIANS(90-_xlfn.XLOOKUP(S10,'Schools dataset'!$B$3:$B$187,'Schools dataset'!$J$3:$J$187,,0)))*COS(RADIANS(P10-_xlfn.XLOOKUP(S10,'Schools dataset'!$B$3:$B$187,'Schools dataset'!$K$3:$K$187,,0))))*6371*1000</f>
        <v>290.17676941079242</v>
      </c>
      <c r="W10" s="20">
        <f>_xlfn.XLOOKUP(T10,'HDB Recommender'!$P$10:$P$39,'HDB Recommender'!$Q$10:$Q$39,"&gt;30mins",1)</f>
        <v>8</v>
      </c>
      <c r="X10" s="20">
        <f>_xlfn.XLOOKUP(U10,'HDB Recommender'!$P$10:$P$39,'HDB Recommender'!$Q$10:$Q$39,"&gt;30mins",1)</f>
        <v>12</v>
      </c>
      <c r="Y10" s="20">
        <f>_xlfn.XLOOKUP(V10,'HDB Recommender'!$P$10:$P$39,'HDB Recommender'!$Q$10:$Q$39,"&gt;30mins",1)</f>
        <v>4</v>
      </c>
      <c r="Z10" s="39">
        <f t="shared" si="0"/>
        <v>8</v>
      </c>
      <c r="AA10" s="20" t="str">
        <f t="shared" si="1"/>
        <v>Within 1km</v>
      </c>
    </row>
    <row r="11" spans="2:29">
      <c r="B11" s="35" t="s">
        <v>317</v>
      </c>
      <c r="C11" s="35" t="s">
        <v>18</v>
      </c>
      <c r="D11" s="35" t="s">
        <v>318</v>
      </c>
      <c r="E11" s="35"/>
      <c r="F11" s="35" t="s">
        <v>334</v>
      </c>
      <c r="G11" s="35" t="s">
        <v>189</v>
      </c>
      <c r="H11" s="35">
        <v>68</v>
      </c>
      <c r="I11" s="35" t="s">
        <v>335</v>
      </c>
      <c r="J11" s="36">
        <v>2018</v>
      </c>
      <c r="K11" s="39">
        <v>93.5</v>
      </c>
      <c r="L11" s="37">
        <v>485000</v>
      </c>
      <c r="M11" s="35" t="s">
        <v>336</v>
      </c>
      <c r="N11" s="27">
        <v>561455</v>
      </c>
      <c r="O11" s="38">
        <v>1.36817376241157</v>
      </c>
      <c r="P11" s="38">
        <v>103.857520553516</v>
      </c>
      <c r="Q11" s="38" t="str" cm="1">
        <f t="array" ref="Q11">INDEX('MRT station dataset'!$C$3:$C$179, MATCH(MIN(SQRT(('MRT station dataset'!$E$3:$E$179-'Resale flat dataset (DV)'!O11)^2+('MRT station dataset'!$F$3:$F$179-'Resale flat dataset (DV)'!P11)^2)), SQRT(('MRT station dataset'!$E$3:$E$179-'Resale flat dataset (DV)'!O11)^2+('MRT station dataset'!$F$3:$F$179-'Resale flat dataset (DV)'!P11)^2), 0))</f>
        <v>ANG MO KIO MRT STATION</v>
      </c>
      <c r="R11" s="38" t="str" cm="1">
        <f t="array" ref="R11">INDEX('Mall Dataset'!$B$3:$B$157, MATCH(MIN(SQRT(('Mall Dataset'!$E$3:$E$157-'Resale flat dataset (DV)'!O11)^2+('Mall Dataset'!$F$3:$F$157-'Resale flat dataset (DV)'!P11)^2)), SQRT(('Mall Dataset'!$E$3:$E$157-'Resale flat dataset (DV)'!O11)^2+('Mall Dataset'!$F$3:$F$157-'Resale flat dataset (DV)'!P11)^2), 0))</f>
        <v>myVillage At Serangoon Garden</v>
      </c>
      <c r="S11" s="38" t="str" cm="1">
        <f t="array" ref="S11">INDEX('Schools dataset'!$B$3:$B$187, MATCH(MIN(SQRT(('Schools dataset'!$J$3:$J$187-'Resale flat dataset (DV)'!O11)^2+('Schools dataset'!$K$3:$K$187-'Resale flat dataset (DV)'!P11)^2)), SQRT(('Schools dataset'!$J$3:$J$187-'Resale flat dataset (DV)'!O11)^2+('Schools dataset'!$K$3:$K$187-'Resale flat dataset (DV)'!P11)^2), 0))</f>
        <v>JING SHAN PRIMARY SCHOOL</v>
      </c>
      <c r="T11" s="39">
        <f>ACOS(COS(RADIANS(90-O11))*COS(RADIANS(90-_xlfn.XLOOKUP(Q11,'MRT station dataset'!$C$3:$C$179,'MRT station dataset'!$E$3:$E$179)))+SIN(RADIANS(90-O11))*SIN(RADIANS(90-_xlfn.XLOOKUP(Q11,'MRT station dataset'!$C$3:$C$179,'MRT station dataset'!$E$3:$E$179)))*COS(RADIANS(P11-_xlfn.XLOOKUP('Resale flat dataset (DV)'!Q11,'MRT station dataset'!$C$3:$C$179,'MRT station dataset'!$F$3:$F$179))))*6371*1000</f>
        <v>856.33170200316113</v>
      </c>
      <c r="U11" s="39">
        <f>ACOS(COS(RADIANS(90-O11))*COS(RADIANS(90-_xlfn.XLOOKUP(R11,'Mall Dataset'!$B$3:$B$157,'Mall Dataset'!$E$3:$E$157,,0)))+SIN(RADIANS(90-O11))*SIN(RADIANS(90-_xlfn.XLOOKUP(R11,'Mall Dataset'!$B$3:$B$157,'Mall Dataset'!$E$3:$E$157,,0)))*COS(RADIANS(P11-_xlfn.XLOOKUP(R11,'Mall Dataset'!$B$3:$B$157,'Mall Dataset'!$F$3:$F$157,,0))))*6371*1000</f>
        <v>914.75610772972732</v>
      </c>
      <c r="V11" s="39">
        <f>ACOS(COS(RADIANS(90-O11))*COS(RADIANS(90-_xlfn.XLOOKUP(S11,'Schools dataset'!$B$3:$B$187,'Schools dataset'!$J$3:$J$187,,0)))+SIN(RADIANS(90-O11))*SIN(RADIANS(90-_xlfn.XLOOKUP(S11,'Schools dataset'!$B$3:$B$187,'Schools dataset'!$J$3:$J$187,,0)))*COS(RADIANS(P11-_xlfn.XLOOKUP(S11,'Schools dataset'!$B$3:$B$187,'Schools dataset'!$K$3:$K$187,,0))))*6371*1000</f>
        <v>750.00360524215591</v>
      </c>
      <c r="W11" s="20">
        <f>_xlfn.XLOOKUP(T11,'HDB Recommender'!$P$10:$P$39,'HDB Recommender'!$Q$10:$Q$39,"&gt;30mins",1)</f>
        <v>12</v>
      </c>
      <c r="X11" s="20">
        <f>_xlfn.XLOOKUP(U11,'HDB Recommender'!$P$10:$P$39,'HDB Recommender'!$Q$10:$Q$39,"&gt;30mins",1)</f>
        <v>13</v>
      </c>
      <c r="Y11" s="20">
        <f>_xlfn.XLOOKUP(V11,'HDB Recommender'!$P$10:$P$39,'HDB Recommender'!$Q$10:$Q$39,"&gt;30mins",1)</f>
        <v>11</v>
      </c>
      <c r="Z11" s="39">
        <f t="shared" si="0"/>
        <v>12</v>
      </c>
      <c r="AA11" s="20" t="str">
        <f t="shared" si="1"/>
        <v>Within 1km</v>
      </c>
    </row>
    <row r="12" spans="2:29">
      <c r="B12" s="35" t="s">
        <v>317</v>
      </c>
      <c r="C12" s="35" t="s">
        <v>18</v>
      </c>
      <c r="D12" s="35" t="s">
        <v>20</v>
      </c>
      <c r="E12" s="35">
        <v>324</v>
      </c>
      <c r="F12" s="35" t="s">
        <v>337</v>
      </c>
      <c r="G12" s="35" t="s">
        <v>184</v>
      </c>
      <c r="H12" s="35">
        <v>98</v>
      </c>
      <c r="I12" s="35" t="s">
        <v>320</v>
      </c>
      <c r="J12" s="36">
        <v>1978</v>
      </c>
      <c r="K12" s="39">
        <v>54</v>
      </c>
      <c r="L12" s="37">
        <v>553000</v>
      </c>
      <c r="M12" s="35" t="s">
        <v>187</v>
      </c>
      <c r="N12" s="27">
        <v>560324</v>
      </c>
      <c r="O12" s="38">
        <v>1.3683339220170501</v>
      </c>
      <c r="P12" s="38">
        <v>103.846879231399</v>
      </c>
      <c r="Q12" s="38" t="str" cm="1">
        <f t="array" ref="Q12">INDEX('MRT station dataset'!$C$3:$C$179, MATCH(MIN(SQRT(('MRT station dataset'!$E$3:$E$179-'Resale flat dataset (DV)'!O12)^2+('MRT station dataset'!$F$3:$F$179-'Resale flat dataset (DV)'!P12)^2)), SQRT(('MRT station dataset'!$E$3:$E$179-'Resale flat dataset (DV)'!O12)^2+('MRT station dataset'!$F$3:$F$179-'Resale flat dataset (DV)'!P12)^2), 0))</f>
        <v>ANG MO KIO MRT STATION</v>
      </c>
      <c r="R12" s="38" t="str" cm="1">
        <f t="array" ref="R12">INDEX('Mall Dataset'!$B$3:$B$157, MATCH(MIN(SQRT(('Mall Dataset'!$E$3:$E$157-'Resale flat dataset (DV)'!O12)^2+('Mall Dataset'!$F$3:$F$157-'Resale flat dataset (DV)'!P12)^2)), SQRT(('Mall Dataset'!$E$3:$E$157-'Resale flat dataset (DV)'!O12)^2+('Mall Dataset'!$F$3:$F$157-'Resale flat dataset (DV)'!P12)^2), 0))</f>
        <v>AMK Hub</v>
      </c>
      <c r="S12" s="38" t="str" cm="1">
        <f t="array" ref="S12">INDEX('Schools dataset'!$B$3:$B$187, MATCH(MIN(SQRT(('Schools dataset'!$J$3:$J$187-'Resale flat dataset (DV)'!O12)^2+('Schools dataset'!$K$3:$K$187-'Resale flat dataset (DV)'!P12)^2)), SQRT(('Schools dataset'!$J$3:$J$187-'Resale flat dataset (DV)'!O12)^2+('Schools dataset'!$K$3:$K$187-'Resale flat dataset (DV)'!P12)^2), 0))</f>
        <v>TECK GHEE PRIMARY SCHOOL</v>
      </c>
      <c r="T12" s="39">
        <f>ACOS(COS(RADIANS(90-O12))*COS(RADIANS(90-_xlfn.XLOOKUP(Q12,'MRT station dataset'!$C$3:$C$179,'MRT station dataset'!$E$3:$E$179)))+SIN(RADIANS(90-O12))*SIN(RADIANS(90-_xlfn.XLOOKUP(Q12,'MRT station dataset'!$C$3:$C$179,'MRT station dataset'!$E$3:$E$179)))*COS(RADIANS(P12-_xlfn.XLOOKUP('Resale flat dataset (DV)'!Q12,'MRT station dataset'!$C$3:$C$179,'MRT station dataset'!$F$3:$F$179))))*6371*1000</f>
        <v>352.56230651117249</v>
      </c>
      <c r="U12" s="39">
        <f>ACOS(COS(RADIANS(90-O12))*COS(RADIANS(90-_xlfn.XLOOKUP(R12,'Mall Dataset'!$B$3:$B$157,'Mall Dataset'!$E$3:$E$157,,0)))+SIN(RADIANS(90-O12))*SIN(RADIANS(90-_xlfn.XLOOKUP(R12,'Mall Dataset'!$B$3:$B$157,'Mall Dataset'!$E$3:$E$157,,0)))*COS(RADIANS(P12-_xlfn.XLOOKUP(R12,'Mall Dataset'!$B$3:$B$157,'Mall Dataset'!$F$3:$F$157,,0))))*6371*1000</f>
        <v>203.7878992226787</v>
      </c>
      <c r="V12" s="39">
        <f>ACOS(COS(RADIANS(90-O12))*COS(RADIANS(90-_xlfn.XLOOKUP(S12,'Schools dataset'!$B$3:$B$187,'Schools dataset'!$J$3:$J$187,,0)))+SIN(RADIANS(90-O12))*SIN(RADIANS(90-_xlfn.XLOOKUP(S12,'Schools dataset'!$B$3:$B$187,'Schools dataset'!$J$3:$J$187,,0)))*COS(RADIANS(P12-_xlfn.XLOOKUP(S12,'Schools dataset'!$B$3:$B$187,'Schools dataset'!$K$3:$K$187,,0))))*6371*1000</f>
        <v>547.62042346505905</v>
      </c>
      <c r="W12" s="20">
        <f>_xlfn.XLOOKUP(T12,'HDB Recommender'!$P$10:$P$39,'HDB Recommender'!$Q$10:$Q$39,"&gt;30mins",1)</f>
        <v>5</v>
      </c>
      <c r="X12" s="20">
        <f>_xlfn.XLOOKUP(U12,'HDB Recommender'!$P$10:$P$39,'HDB Recommender'!$Q$10:$Q$39,"&gt;30mins",1)</f>
        <v>3</v>
      </c>
      <c r="Y12" s="20">
        <f>_xlfn.XLOOKUP(V12,'HDB Recommender'!$P$10:$P$39,'HDB Recommender'!$Q$10:$Q$39,"&gt;30mins",1)</f>
        <v>8</v>
      </c>
      <c r="Z12" s="39">
        <f t="shared" si="0"/>
        <v>5.333333333333333</v>
      </c>
      <c r="AA12" s="20" t="str">
        <f t="shared" si="1"/>
        <v>Within 1km</v>
      </c>
    </row>
    <row r="13" spans="2:29">
      <c r="B13" s="35" t="s">
        <v>317</v>
      </c>
      <c r="C13" s="35" t="s">
        <v>18</v>
      </c>
      <c r="D13" s="35" t="s">
        <v>20</v>
      </c>
      <c r="E13" s="35">
        <v>612</v>
      </c>
      <c r="F13" s="35" t="s">
        <v>325</v>
      </c>
      <c r="G13" s="35" t="s">
        <v>191</v>
      </c>
      <c r="H13" s="35">
        <v>91</v>
      </c>
      <c r="I13" s="35" t="s">
        <v>320</v>
      </c>
      <c r="J13" s="36">
        <v>1980</v>
      </c>
      <c r="K13" s="39">
        <v>55.9166666666666</v>
      </c>
      <c r="L13" s="37">
        <v>490000</v>
      </c>
      <c r="M13" s="35" t="s">
        <v>192</v>
      </c>
      <c r="N13" s="27">
        <v>560612</v>
      </c>
      <c r="O13" s="38">
        <v>1.3789079137440901</v>
      </c>
      <c r="P13" s="38">
        <v>103.838602654716</v>
      </c>
      <c r="Q13" s="38" t="str" cm="1">
        <f t="array" ref="Q13">INDEX('MRT station dataset'!$C$3:$C$179, MATCH(MIN(SQRT(('MRT station dataset'!$E$3:$E$179-'Resale flat dataset (DV)'!O13)^2+('MRT station dataset'!$F$3:$F$179-'Resale flat dataset (DV)'!P13)^2)), SQRT(('MRT station dataset'!$E$3:$E$179-'Resale flat dataset (DV)'!O13)^2+('MRT station dataset'!$F$3:$F$179-'Resale flat dataset (DV)'!P13)^2), 0))</f>
        <v>YIO CHU KANG MRT STATION</v>
      </c>
      <c r="R13" s="38" t="str" cm="1">
        <f t="array" ref="R13">INDEX('Mall Dataset'!$B$3:$B$157, MATCH(MIN(SQRT(('Mall Dataset'!$E$3:$E$157-'Resale flat dataset (DV)'!O13)^2+('Mall Dataset'!$F$3:$F$157-'Resale flat dataset (DV)'!P13)^2)), SQRT(('Mall Dataset'!$E$3:$E$157-'Resale flat dataset (DV)'!O13)^2+('Mall Dataset'!$F$3:$F$157-'Resale flat dataset (DV)'!P13)^2), 0))</f>
        <v>Djitsun Mall AMK</v>
      </c>
      <c r="S13" s="38" t="str" cm="1">
        <f t="array" ref="S13">INDEX('Schools dataset'!$B$3:$B$187, MATCH(MIN(SQRT(('Schools dataset'!$J$3:$J$187-'Resale flat dataset (DV)'!O13)^2+('Schools dataset'!$K$3:$K$187-'Resale flat dataset (DV)'!P13)^2)), SQRT(('Schools dataset'!$J$3:$J$187-'Resale flat dataset (DV)'!O13)^2+('Schools dataset'!$K$3:$K$187-'Resale flat dataset (DV)'!P13)^2), 0))</f>
        <v>MAYFLOWER PRIMARY SCHOOL</v>
      </c>
      <c r="T13" s="39">
        <f>ACOS(COS(RADIANS(90-O13))*COS(RADIANS(90-_xlfn.XLOOKUP(Q13,'MRT station dataset'!$C$3:$C$179,'MRT station dataset'!$E$3:$E$179)))+SIN(RADIANS(90-O13))*SIN(RADIANS(90-_xlfn.XLOOKUP(Q13,'MRT station dataset'!$C$3:$C$179,'MRT station dataset'!$E$3:$E$179)))*COS(RADIANS(P13-_xlfn.XLOOKUP('Resale flat dataset (DV)'!Q13,'MRT station dataset'!$C$3:$C$179,'MRT station dataset'!$F$3:$F$179))))*6371*1000</f>
        <v>770.36265281759711</v>
      </c>
      <c r="U13" s="39">
        <f>ACOS(COS(RADIANS(90-O13))*COS(RADIANS(90-_xlfn.XLOOKUP(R13,'Mall Dataset'!$B$3:$B$157,'Mall Dataset'!$E$3:$E$157,,0)))+SIN(RADIANS(90-O13))*SIN(RADIANS(90-_xlfn.XLOOKUP(R13,'Mall Dataset'!$B$3:$B$157,'Mall Dataset'!$E$3:$E$157,,0)))*COS(RADIANS(P13-_xlfn.XLOOKUP(R13,'Mall Dataset'!$B$3:$B$157,'Mall Dataset'!$F$3:$F$157,,0))))*6371*1000</f>
        <v>989.21176584435352</v>
      </c>
      <c r="V13" s="39">
        <f>ACOS(COS(RADIANS(90-O13))*COS(RADIANS(90-_xlfn.XLOOKUP(S13,'Schools dataset'!$B$3:$B$187,'Schools dataset'!$J$3:$J$187,,0)))+SIN(RADIANS(90-O13))*SIN(RADIANS(90-_xlfn.XLOOKUP(S13,'Schools dataset'!$B$3:$B$187,'Schools dataset'!$J$3:$J$187,,0)))*COS(RADIANS(P13-_xlfn.XLOOKUP(S13,'Schools dataset'!$B$3:$B$187,'Schools dataset'!$K$3:$K$187,,0))))*6371*1000</f>
        <v>437.03906518073165</v>
      </c>
      <c r="W13" s="20">
        <f>_xlfn.XLOOKUP(T13,'HDB Recommender'!$P$10:$P$39,'HDB Recommender'!$Q$10:$Q$39,"&gt;30mins",1)</f>
        <v>11</v>
      </c>
      <c r="X13" s="20">
        <f>_xlfn.XLOOKUP(U13,'HDB Recommender'!$P$10:$P$39,'HDB Recommender'!$Q$10:$Q$39,"&gt;30mins",1)</f>
        <v>14</v>
      </c>
      <c r="Y13" s="20">
        <f>_xlfn.XLOOKUP(V13,'HDB Recommender'!$P$10:$P$39,'HDB Recommender'!$Q$10:$Q$39,"&gt;30mins",1)</f>
        <v>6</v>
      </c>
      <c r="Z13" s="39">
        <f t="shared" si="0"/>
        <v>10.333333333333334</v>
      </c>
      <c r="AA13" s="20" t="str">
        <f t="shared" si="1"/>
        <v>Within 1km</v>
      </c>
    </row>
    <row r="14" spans="2:29">
      <c r="B14" s="35" t="s">
        <v>317</v>
      </c>
      <c r="C14" s="35" t="s">
        <v>18</v>
      </c>
      <c r="D14" s="35" t="s">
        <v>20</v>
      </c>
      <c r="E14" s="35">
        <v>606</v>
      </c>
      <c r="F14" s="35" t="s">
        <v>331</v>
      </c>
      <c r="G14" s="35" t="s">
        <v>189</v>
      </c>
      <c r="H14" s="35">
        <v>91</v>
      </c>
      <c r="I14" s="35" t="s">
        <v>320</v>
      </c>
      <c r="J14" s="36">
        <v>1980</v>
      </c>
      <c r="K14" s="39">
        <v>55.75</v>
      </c>
      <c r="L14" s="37">
        <v>518000</v>
      </c>
      <c r="M14" s="35" t="s">
        <v>190</v>
      </c>
      <c r="N14" s="27">
        <v>560606</v>
      </c>
      <c r="O14" s="38">
        <v>1.3793277723867099</v>
      </c>
      <c r="P14" s="38">
        <v>103.83673603155999</v>
      </c>
      <c r="Q14" s="38" t="str" cm="1">
        <f t="array" ref="Q14">INDEX('MRT station dataset'!$C$3:$C$179, MATCH(MIN(SQRT(('MRT station dataset'!$E$3:$E$179-'Resale flat dataset (DV)'!O14)^2+('MRT station dataset'!$F$3:$F$179-'Resale flat dataset (DV)'!P14)^2)), SQRT(('MRT station dataset'!$E$3:$E$179-'Resale flat dataset (DV)'!O14)^2+('MRT station dataset'!$F$3:$F$179-'Resale flat dataset (DV)'!P14)^2), 0))</f>
        <v>LENTOR MRT STATION</v>
      </c>
      <c r="R14" s="38" t="str" cm="1">
        <f t="array" ref="R14">INDEX('Mall Dataset'!$B$3:$B$157, MATCH(MIN(SQRT(('Mall Dataset'!$E$3:$E$157-'Resale flat dataset (DV)'!O14)^2+('Mall Dataset'!$F$3:$F$157-'Resale flat dataset (DV)'!P14)^2)), SQRT(('Mall Dataset'!$E$3:$E$157-'Resale flat dataset (DV)'!O14)^2+('Mall Dataset'!$F$3:$F$157-'Resale flat dataset (DV)'!P14)^2), 0))</f>
        <v>Djitsun Mall AMK</v>
      </c>
      <c r="S14" s="38" t="str" cm="1">
        <f t="array" ref="S14">INDEX('Schools dataset'!$B$3:$B$187, MATCH(MIN(SQRT(('Schools dataset'!$J$3:$J$187-'Resale flat dataset (DV)'!O14)^2+('Schools dataset'!$K$3:$K$187-'Resale flat dataset (DV)'!P14)^2)), SQRT(('Schools dataset'!$J$3:$J$187-'Resale flat dataset (DV)'!O14)^2+('Schools dataset'!$K$3:$K$187-'Resale flat dataset (DV)'!P14)^2), 0))</f>
        <v>MAYFLOWER PRIMARY SCHOOL</v>
      </c>
      <c r="T14" s="39">
        <f>ACOS(COS(RADIANS(90-O14))*COS(RADIANS(90-_xlfn.XLOOKUP(Q14,'MRT station dataset'!$C$3:$C$179,'MRT station dataset'!$E$3:$E$179)))+SIN(RADIANS(90-O14))*SIN(RADIANS(90-_xlfn.XLOOKUP(Q14,'MRT station dataset'!$C$3:$C$179,'MRT station dataset'!$E$3:$E$179)))*COS(RADIANS(P14-_xlfn.XLOOKUP('Resale flat dataset (DV)'!Q14,'MRT station dataset'!$C$3:$C$179,'MRT station dataset'!$F$3:$F$179))))*6371*1000</f>
        <v>628.72617548969799</v>
      </c>
      <c r="U14" s="39">
        <f>ACOS(COS(RADIANS(90-O14))*COS(RADIANS(90-_xlfn.XLOOKUP(R14,'Mall Dataset'!$B$3:$B$157,'Mall Dataset'!$E$3:$E$157,,0)))+SIN(RADIANS(90-O14))*SIN(RADIANS(90-_xlfn.XLOOKUP(R14,'Mall Dataset'!$B$3:$B$157,'Mall Dataset'!$E$3:$E$157,,0)))*COS(RADIANS(P14-_xlfn.XLOOKUP(R14,'Mall Dataset'!$B$3:$B$157,'Mall Dataset'!$F$3:$F$157,,0))))*6371*1000</f>
        <v>1178.2187000750698</v>
      </c>
      <c r="V14" s="39">
        <f>ACOS(COS(RADIANS(90-O14))*COS(RADIANS(90-_xlfn.XLOOKUP(S14,'Schools dataset'!$B$3:$B$187,'Schools dataset'!$J$3:$J$187,,0)))+SIN(RADIANS(90-O14))*SIN(RADIANS(90-_xlfn.XLOOKUP(S14,'Schools dataset'!$B$3:$B$187,'Schools dataset'!$J$3:$J$187,,0)))*COS(RADIANS(P14-_xlfn.XLOOKUP(S14,'Schools dataset'!$B$3:$B$187,'Schools dataset'!$K$3:$K$187,,0))))*6371*1000</f>
        <v>368.59326013161842</v>
      </c>
      <c r="W14" s="20">
        <f>_xlfn.XLOOKUP(T14,'HDB Recommender'!$P$10:$P$39,'HDB Recommender'!$Q$10:$Q$39,"&gt;30mins",1)</f>
        <v>9</v>
      </c>
      <c r="X14" s="20">
        <f>_xlfn.XLOOKUP(U14,'HDB Recommender'!$P$10:$P$39,'HDB Recommender'!$Q$10:$Q$39,"&gt;30mins",1)</f>
        <v>16</v>
      </c>
      <c r="Y14" s="20">
        <f>_xlfn.XLOOKUP(V14,'HDB Recommender'!$P$10:$P$39,'HDB Recommender'!$Q$10:$Q$39,"&gt;30mins",1)</f>
        <v>5</v>
      </c>
      <c r="Z14" s="39">
        <f t="shared" si="0"/>
        <v>10</v>
      </c>
      <c r="AA14" s="20" t="str">
        <f t="shared" si="1"/>
        <v>Within 1km</v>
      </c>
    </row>
    <row r="15" spans="2:29">
      <c r="B15" s="35" t="s">
        <v>317</v>
      </c>
      <c r="C15" s="35" t="s">
        <v>18</v>
      </c>
      <c r="D15" s="35" t="s">
        <v>20</v>
      </c>
      <c r="E15" s="35">
        <v>537</v>
      </c>
      <c r="F15" s="35" t="s">
        <v>331</v>
      </c>
      <c r="G15" s="35" t="s">
        <v>184</v>
      </c>
      <c r="H15" s="35">
        <v>92</v>
      </c>
      <c r="I15" s="35" t="s">
        <v>320</v>
      </c>
      <c r="J15" s="36">
        <v>1980</v>
      </c>
      <c r="K15" s="39">
        <v>55.4166666666666</v>
      </c>
      <c r="L15" s="37">
        <v>500000</v>
      </c>
      <c r="M15" s="35" t="s">
        <v>188</v>
      </c>
      <c r="N15" s="27">
        <v>560537</v>
      </c>
      <c r="O15" s="38">
        <v>1.37520009617687</v>
      </c>
      <c r="P15" s="38">
        <v>103.853059796325</v>
      </c>
      <c r="Q15" s="38" t="str" cm="1">
        <f t="array" ref="Q15">INDEX('MRT station dataset'!$C$3:$C$179, MATCH(MIN(SQRT(('MRT station dataset'!$E$3:$E$179-'Resale flat dataset (DV)'!O15)^2+('MRT station dataset'!$F$3:$F$179-'Resale flat dataset (DV)'!P15)^2)), SQRT(('MRT station dataset'!$E$3:$E$179-'Resale flat dataset (DV)'!O15)^2+('MRT station dataset'!$F$3:$F$179-'Resale flat dataset (DV)'!P15)^2), 0))</f>
        <v>ANG MO KIO MRT STATION</v>
      </c>
      <c r="R15" s="38" t="str" cm="1">
        <f t="array" ref="R15">INDEX('Mall Dataset'!$B$3:$B$157, MATCH(MIN(SQRT(('Mall Dataset'!$E$3:$E$157-'Resale flat dataset (DV)'!O15)^2+('Mall Dataset'!$F$3:$F$157-'Resale flat dataset (DV)'!P15)^2)), SQRT(('Mall Dataset'!$E$3:$E$157-'Resale flat dataset (DV)'!O15)^2+('Mall Dataset'!$F$3:$F$157-'Resale flat dataset (DV)'!P15)^2), 0))</f>
        <v>Jubilee Square</v>
      </c>
      <c r="S15" s="38" t="str" cm="1">
        <f t="array" ref="S15">INDEX('Schools dataset'!$B$3:$B$187, MATCH(MIN(SQRT(('Schools dataset'!$J$3:$J$187-'Resale flat dataset (DV)'!O15)^2+('Schools dataset'!$K$3:$K$187-'Resale flat dataset (DV)'!P15)^2)), SQRT(('Schools dataset'!$J$3:$J$187-'Resale flat dataset (DV)'!O15)^2+('Schools dataset'!$K$3:$K$187-'Resale flat dataset (DV)'!P15)^2), 0))</f>
        <v>JING SHAN PRIMARY SCHOOL</v>
      </c>
      <c r="T15" s="39">
        <f>ACOS(COS(RADIANS(90-O15))*COS(RADIANS(90-_xlfn.XLOOKUP(Q15,'MRT station dataset'!$C$3:$C$179,'MRT station dataset'!$E$3:$E$179)))+SIN(RADIANS(90-O15))*SIN(RADIANS(90-_xlfn.XLOOKUP(Q15,'MRT station dataset'!$C$3:$C$179,'MRT station dataset'!$E$3:$E$179)))*COS(RADIANS(P15-_xlfn.XLOOKUP('Resale flat dataset (DV)'!Q15,'MRT station dataset'!$C$3:$C$179,'MRT station dataset'!$F$3:$F$179))))*6371*1000</f>
        <v>744.17342206313447</v>
      </c>
      <c r="U15" s="39">
        <f>ACOS(COS(RADIANS(90-O15))*COS(RADIANS(90-_xlfn.XLOOKUP(R15,'Mall Dataset'!$B$3:$B$157,'Mall Dataset'!$E$3:$E$157,,0)))+SIN(RADIANS(90-O15))*SIN(RADIANS(90-_xlfn.XLOOKUP(R15,'Mall Dataset'!$B$3:$B$157,'Mall Dataset'!$E$3:$E$157,,0)))*COS(RADIANS(P15-_xlfn.XLOOKUP(R15,'Mall Dataset'!$B$3:$B$157,'Mall Dataset'!$F$3:$F$157,,0))))*6371*1000</f>
        <v>693.6541278842268</v>
      </c>
      <c r="V15" s="39">
        <f>ACOS(COS(RADIANS(90-O15))*COS(RADIANS(90-_xlfn.XLOOKUP(S15,'Schools dataset'!$B$3:$B$187,'Schools dataset'!$J$3:$J$187,,0)))+SIN(RADIANS(90-O15))*SIN(RADIANS(90-_xlfn.XLOOKUP(S15,'Schools dataset'!$B$3:$B$187,'Schools dataset'!$J$3:$J$187,,0)))*COS(RADIANS(P15-_xlfn.XLOOKUP(S15,'Schools dataset'!$B$3:$B$187,'Schools dataset'!$K$3:$K$187,,0))))*6371*1000</f>
        <v>345.67334315170962</v>
      </c>
      <c r="W15" s="20">
        <f>_xlfn.XLOOKUP(T15,'HDB Recommender'!$P$10:$P$39,'HDB Recommender'!$Q$10:$Q$39,"&gt;30mins",1)</f>
        <v>10</v>
      </c>
      <c r="X15" s="20">
        <f>_xlfn.XLOOKUP(U15,'HDB Recommender'!$P$10:$P$39,'HDB Recommender'!$Q$10:$Q$39,"&gt;30mins",1)</f>
        <v>10</v>
      </c>
      <c r="Y15" s="20">
        <f>_xlfn.XLOOKUP(V15,'HDB Recommender'!$P$10:$P$39,'HDB Recommender'!$Q$10:$Q$39,"&gt;30mins",1)</f>
        <v>5</v>
      </c>
      <c r="Z15" s="39">
        <f t="shared" si="0"/>
        <v>8.3333333333333339</v>
      </c>
      <c r="AA15" s="20" t="str">
        <f t="shared" si="1"/>
        <v>Within 1km</v>
      </c>
    </row>
    <row r="16" spans="2:29">
      <c r="B16" s="35" t="s">
        <v>317</v>
      </c>
      <c r="C16" s="35" t="s">
        <v>18</v>
      </c>
      <c r="D16" s="35" t="s">
        <v>20</v>
      </c>
      <c r="E16" s="35">
        <v>512</v>
      </c>
      <c r="F16" s="35" t="s">
        <v>338</v>
      </c>
      <c r="G16" s="35" t="s">
        <v>184</v>
      </c>
      <c r="H16" s="35">
        <v>93</v>
      </c>
      <c r="I16" s="35" t="s">
        <v>320</v>
      </c>
      <c r="J16" s="36">
        <v>1980</v>
      </c>
      <c r="K16" s="39">
        <v>55.9166666666666</v>
      </c>
      <c r="L16" s="37">
        <v>538000</v>
      </c>
      <c r="M16" s="35" t="s">
        <v>185</v>
      </c>
      <c r="N16" s="27">
        <v>560512</v>
      </c>
      <c r="O16" s="38">
        <v>1.3726147414362</v>
      </c>
      <c r="P16" s="38">
        <v>103.849155674919</v>
      </c>
      <c r="Q16" s="38" t="str" cm="1">
        <f t="array" ref="Q16">INDEX('MRT station dataset'!$C$3:$C$179, MATCH(MIN(SQRT(('MRT station dataset'!$E$3:$E$179-'Resale flat dataset (DV)'!O16)^2+('MRT station dataset'!$F$3:$F$179-'Resale flat dataset (DV)'!P16)^2)), SQRT(('MRT station dataset'!$E$3:$E$179-'Resale flat dataset (DV)'!O16)^2+('MRT station dataset'!$F$3:$F$179-'Resale flat dataset (DV)'!P16)^2), 0))</f>
        <v>ANG MO KIO MRT STATION</v>
      </c>
      <c r="R16" s="38" t="str" cm="1">
        <f t="array" ref="R16">INDEX('Mall Dataset'!$B$3:$B$157, MATCH(MIN(SQRT(('Mall Dataset'!$E$3:$E$157-'Resale flat dataset (DV)'!O16)^2+('Mall Dataset'!$F$3:$F$157-'Resale flat dataset (DV)'!P16)^2)), SQRT(('Mall Dataset'!$E$3:$E$157-'Resale flat dataset (DV)'!O16)^2+('Mall Dataset'!$F$3:$F$157-'Resale flat dataset (DV)'!P16)^2), 0))</f>
        <v>Jubilee Square</v>
      </c>
      <c r="S16" s="38" t="str" cm="1">
        <f t="array" ref="S16">INDEX('Schools dataset'!$B$3:$B$187, MATCH(MIN(SQRT(('Schools dataset'!$J$3:$J$187-'Resale flat dataset (DV)'!O16)^2+('Schools dataset'!$K$3:$K$187-'Resale flat dataset (DV)'!P16)^2)), SQRT(('Schools dataset'!$J$3:$J$187-'Resale flat dataset (DV)'!O16)^2+('Schools dataset'!$K$3:$K$187-'Resale flat dataset (DV)'!P16)^2), 0))</f>
        <v>JING SHAN PRIMARY SCHOOL</v>
      </c>
      <c r="T16" s="39">
        <f>ACOS(COS(RADIANS(90-O16))*COS(RADIANS(90-_xlfn.XLOOKUP(Q16,'MRT station dataset'!$C$3:$C$179,'MRT station dataset'!$E$3:$E$179)))+SIN(RADIANS(90-O16))*SIN(RADIANS(90-_xlfn.XLOOKUP(Q16,'MRT station dataset'!$C$3:$C$179,'MRT station dataset'!$E$3:$E$179)))*COS(RADIANS(P16-_xlfn.XLOOKUP('Resale flat dataset (DV)'!Q16,'MRT station dataset'!$C$3:$C$179,'MRT station dataset'!$F$3:$F$179))))*6371*1000</f>
        <v>377.75542407749674</v>
      </c>
      <c r="U16" s="39">
        <f>ACOS(COS(RADIANS(90-O16))*COS(RADIANS(90-_xlfn.XLOOKUP(R16,'Mall Dataset'!$B$3:$B$157,'Mall Dataset'!$E$3:$E$157,,0)))+SIN(RADIANS(90-O16))*SIN(RADIANS(90-_xlfn.XLOOKUP(R16,'Mall Dataset'!$B$3:$B$157,'Mall Dataset'!$E$3:$E$157,,0)))*COS(RADIANS(P16-_xlfn.XLOOKUP(R16,'Mall Dataset'!$B$3:$B$157,'Mall Dataset'!$F$3:$F$157,,0))))*6371*1000</f>
        <v>173.11859616722279</v>
      </c>
      <c r="V16" s="39">
        <f>ACOS(COS(RADIANS(90-O16))*COS(RADIANS(90-_xlfn.XLOOKUP(S16,'Schools dataset'!$B$3:$B$187,'Schools dataset'!$J$3:$J$187,,0)))+SIN(RADIANS(90-O16))*SIN(RADIANS(90-_xlfn.XLOOKUP(S16,'Schools dataset'!$B$3:$B$187,'Schools dataset'!$J$3:$J$187,,0)))*COS(RADIANS(P16-_xlfn.XLOOKUP(S16,'Schools dataset'!$B$3:$B$187,'Schools dataset'!$K$3:$K$187,,0))))*6371*1000</f>
        <v>333.59405930299647</v>
      </c>
      <c r="W16" s="20">
        <f>_xlfn.XLOOKUP(T16,'HDB Recommender'!$P$10:$P$39,'HDB Recommender'!$Q$10:$Q$39,"&gt;30mins",1)</f>
        <v>6</v>
      </c>
      <c r="X16" s="20">
        <f>_xlfn.XLOOKUP(U16,'HDB Recommender'!$P$10:$P$39,'HDB Recommender'!$Q$10:$Q$39,"&gt;30mins",1)</f>
        <v>3</v>
      </c>
      <c r="Y16" s="20">
        <f>_xlfn.XLOOKUP(V16,'HDB Recommender'!$P$10:$P$39,'HDB Recommender'!$Q$10:$Q$39,"&gt;30mins",1)</f>
        <v>5</v>
      </c>
      <c r="Z16" s="39">
        <f t="shared" si="0"/>
        <v>4.666666666666667</v>
      </c>
      <c r="AA16" s="20" t="str">
        <f t="shared" si="1"/>
        <v>Within 1km</v>
      </c>
    </row>
    <row r="17" spans="2:27">
      <c r="B17" s="35" t="s">
        <v>317</v>
      </c>
      <c r="C17" s="35" t="s">
        <v>18</v>
      </c>
      <c r="D17" s="35" t="s">
        <v>20</v>
      </c>
      <c r="E17" s="35"/>
      <c r="F17" s="35" t="s">
        <v>339</v>
      </c>
      <c r="G17" s="35" t="s">
        <v>184</v>
      </c>
      <c r="H17" s="35">
        <v>92</v>
      </c>
      <c r="I17" s="35" t="s">
        <v>335</v>
      </c>
      <c r="J17" s="36">
        <v>2018</v>
      </c>
      <c r="K17" s="39">
        <v>93.8333333333333</v>
      </c>
      <c r="L17" s="37">
        <v>915000</v>
      </c>
      <c r="M17" s="35" t="s">
        <v>340</v>
      </c>
      <c r="N17" s="27">
        <v>562260</v>
      </c>
      <c r="O17" s="38">
        <v>1.36886409962902</v>
      </c>
      <c r="P17" s="38">
        <v>103.83395420063</v>
      </c>
      <c r="Q17" s="38" t="str" cm="1">
        <f t="array" ref="Q17">INDEX('MRT station dataset'!$C$3:$C$179, MATCH(MIN(SQRT(('MRT station dataset'!$E$3:$E$179-'Resale flat dataset (DV)'!O17)^2+('MRT station dataset'!$F$3:$F$179-'Resale flat dataset (DV)'!P17)^2)), SQRT(('MRT station dataset'!$E$3:$E$179-'Resale flat dataset (DV)'!O17)^2+('MRT station dataset'!$F$3:$F$179-'Resale flat dataset (DV)'!P17)^2), 0))</f>
        <v>MAYFLOWER MRT STATION</v>
      </c>
      <c r="R17" s="38" t="str" cm="1">
        <f t="array" ref="R17">INDEX('Mall Dataset'!$B$3:$B$157, MATCH(MIN(SQRT(('Mall Dataset'!$E$3:$E$157-'Resale flat dataset (DV)'!O17)^2+('Mall Dataset'!$F$3:$F$157-'Resale flat dataset (DV)'!P17)^2)), SQRT(('Mall Dataset'!$E$3:$E$157-'Resale flat dataset (DV)'!O17)^2+('Mall Dataset'!$F$3:$F$157-'Resale flat dataset (DV)'!P17)^2), 0))</f>
        <v>Djitsun Mall AMK</v>
      </c>
      <c r="S17" s="38" t="str" cm="1">
        <f t="array" ref="S17">INDEX('Schools dataset'!$B$3:$B$187, MATCH(MIN(SQRT(('Schools dataset'!$J$3:$J$187-'Resale flat dataset (DV)'!O17)^2+('Schools dataset'!$K$3:$K$187-'Resale flat dataset (DV)'!P17)^2)), SQRT(('Schools dataset'!$J$3:$J$187-'Resale flat dataset (DV)'!O17)^2+('Schools dataset'!$K$3:$K$187-'Resale flat dataset (DV)'!P17)^2), 0))</f>
        <v>CHIJ ST. NICHOLAS GIRLS' SCHOOL</v>
      </c>
      <c r="T17" s="39">
        <f>ACOS(COS(RADIANS(90-O17))*COS(RADIANS(90-_xlfn.XLOOKUP(Q17,'MRT station dataset'!$C$3:$C$179,'MRT station dataset'!$E$3:$E$179)))+SIN(RADIANS(90-O17))*SIN(RADIANS(90-_xlfn.XLOOKUP(Q17,'MRT station dataset'!$C$3:$C$179,'MRT station dataset'!$E$3:$E$179)))*COS(RADIANS(P17-_xlfn.XLOOKUP('Resale flat dataset (DV)'!Q17,'MRT station dataset'!$C$3:$C$179,'MRT station dataset'!$F$3:$F$179))))*6371*1000</f>
        <v>479.1068372895615</v>
      </c>
      <c r="U17" s="39">
        <f>ACOS(COS(RADIANS(90-O17))*COS(RADIANS(90-_xlfn.XLOOKUP(R17,'Mall Dataset'!$B$3:$B$157,'Mall Dataset'!$E$3:$E$157,,0)))+SIN(RADIANS(90-O17))*SIN(RADIANS(90-_xlfn.XLOOKUP(R17,'Mall Dataset'!$B$3:$B$157,'Mall Dataset'!$E$3:$E$157,,0)))*COS(RADIANS(P17-_xlfn.XLOOKUP(R17,'Mall Dataset'!$B$3:$B$157,'Mall Dataset'!$F$3:$F$157,,0))))*6371*1000</f>
        <v>1321.6324982875128</v>
      </c>
      <c r="V17" s="39">
        <f>ACOS(COS(RADIANS(90-O17))*COS(RADIANS(90-_xlfn.XLOOKUP(S17,'Schools dataset'!$B$3:$B$187,'Schools dataset'!$J$3:$J$187,,0)))+SIN(RADIANS(90-O17))*SIN(RADIANS(90-_xlfn.XLOOKUP(S17,'Schools dataset'!$B$3:$B$187,'Schools dataset'!$J$3:$J$187,,0)))*COS(RADIANS(P17-_xlfn.XLOOKUP(S17,'Schools dataset'!$B$3:$B$187,'Schools dataset'!$K$3:$K$187,,0))))*6371*1000</f>
        <v>513.99393290306455</v>
      </c>
      <c r="W17" s="20">
        <f>_xlfn.XLOOKUP(T17,'HDB Recommender'!$P$10:$P$39,'HDB Recommender'!$Q$10:$Q$39,"&gt;30mins",1)</f>
        <v>7</v>
      </c>
      <c r="X17" s="20">
        <f>_xlfn.XLOOKUP(U17,'HDB Recommender'!$P$10:$P$39,'HDB Recommender'!$Q$10:$Q$39,"&gt;30mins",1)</f>
        <v>18</v>
      </c>
      <c r="Y17" s="20">
        <f>_xlfn.XLOOKUP(V17,'HDB Recommender'!$P$10:$P$39,'HDB Recommender'!$Q$10:$Q$39,"&gt;30mins",1)</f>
        <v>7</v>
      </c>
      <c r="Z17" s="39">
        <f t="shared" si="0"/>
        <v>10.666666666666666</v>
      </c>
      <c r="AA17" s="20" t="str">
        <f t="shared" si="1"/>
        <v>Within 1km</v>
      </c>
    </row>
    <row r="18" spans="2:27">
      <c r="B18" s="35" t="s">
        <v>317</v>
      </c>
      <c r="C18" s="35" t="s">
        <v>18</v>
      </c>
      <c r="D18" s="35" t="s">
        <v>341</v>
      </c>
      <c r="E18" s="35">
        <v>306</v>
      </c>
      <c r="F18" s="35" t="s">
        <v>319</v>
      </c>
      <c r="G18" s="35" t="s">
        <v>323</v>
      </c>
      <c r="H18" s="35">
        <v>123</v>
      </c>
      <c r="I18" s="35" t="s">
        <v>342</v>
      </c>
      <c r="J18" s="36">
        <v>1977</v>
      </c>
      <c r="K18" s="39">
        <v>52.9166666666666</v>
      </c>
      <c r="L18" s="37">
        <v>698888</v>
      </c>
      <c r="M18" s="35" t="s">
        <v>343</v>
      </c>
      <c r="N18" s="27">
        <v>560306</v>
      </c>
      <c r="O18" s="38">
        <v>1.3657255222284601</v>
      </c>
      <c r="P18" s="38">
        <v>103.845750564626</v>
      </c>
      <c r="Q18" s="38" t="str" cm="1">
        <f t="array" ref="Q18">INDEX('MRT station dataset'!$C$3:$C$179, MATCH(MIN(SQRT(('MRT station dataset'!$E$3:$E$179-'Resale flat dataset (DV)'!O18)^2+('MRT station dataset'!$F$3:$F$179-'Resale flat dataset (DV)'!P18)^2)), SQRT(('MRT station dataset'!$E$3:$E$179-'Resale flat dataset (DV)'!O18)^2+('MRT station dataset'!$F$3:$F$179-'Resale flat dataset (DV)'!P18)^2), 0))</f>
        <v>ANG MO KIO MRT STATION</v>
      </c>
      <c r="R18" s="38" t="str" cm="1">
        <f t="array" ref="R18">INDEX('Mall Dataset'!$B$3:$B$157, MATCH(MIN(SQRT(('Mall Dataset'!$E$3:$E$157-'Resale flat dataset (DV)'!O18)^2+('Mall Dataset'!$F$3:$F$157-'Resale flat dataset (DV)'!P18)^2)), SQRT(('Mall Dataset'!$E$3:$E$157-'Resale flat dataset (DV)'!O18)^2+('Mall Dataset'!$F$3:$F$157-'Resale flat dataset (DV)'!P18)^2), 0))</f>
        <v>AMK Hub</v>
      </c>
      <c r="S18" s="38" t="str" cm="1">
        <f t="array" ref="S18">INDEX('Schools dataset'!$B$3:$B$187, MATCH(MIN(SQRT(('Schools dataset'!$J$3:$J$187-'Resale flat dataset (DV)'!O18)^2+('Schools dataset'!$K$3:$K$187-'Resale flat dataset (DV)'!P18)^2)), SQRT(('Schools dataset'!$J$3:$J$187-'Resale flat dataset (DV)'!O18)^2+('Schools dataset'!$K$3:$K$187-'Resale flat dataset (DV)'!P18)^2), 0))</f>
        <v>TECK GHEE PRIMARY SCHOOL</v>
      </c>
      <c r="T18" s="39">
        <f>ACOS(COS(RADIANS(90-O18))*COS(RADIANS(90-_xlfn.XLOOKUP(Q18,'MRT station dataset'!$C$3:$C$179,'MRT station dataset'!$E$3:$E$179)))+SIN(RADIANS(90-O18))*SIN(RADIANS(90-_xlfn.XLOOKUP(Q18,'MRT station dataset'!$C$3:$C$179,'MRT station dataset'!$E$3:$E$179)))*COS(RADIANS(P18-_xlfn.XLOOKUP('Resale flat dataset (DV)'!Q18,'MRT station dataset'!$C$3:$C$179,'MRT station dataset'!$F$3:$F$179))))*6371*1000</f>
        <v>608.88638987275192</v>
      </c>
      <c r="U18" s="39">
        <f>ACOS(COS(RADIANS(90-O18))*COS(RADIANS(90-_xlfn.XLOOKUP(R18,'Mall Dataset'!$B$3:$B$157,'Mall Dataset'!$E$3:$E$157,,0)))+SIN(RADIANS(90-O18))*SIN(RADIANS(90-_xlfn.XLOOKUP(R18,'Mall Dataset'!$B$3:$B$157,'Mall Dataset'!$E$3:$E$157,,0)))*COS(RADIANS(P18-_xlfn.XLOOKUP(R18,'Mall Dataset'!$B$3:$B$157,'Mall Dataset'!$F$3:$F$157,,0))))*6371*1000</f>
        <v>494.99655837340305</v>
      </c>
      <c r="V18" s="39">
        <f>ACOS(COS(RADIANS(90-O18))*COS(RADIANS(90-_xlfn.XLOOKUP(S18,'Schools dataset'!$B$3:$B$187,'Schools dataset'!$J$3:$J$187,,0)))+SIN(RADIANS(90-O18))*SIN(RADIANS(90-_xlfn.XLOOKUP(S18,'Schools dataset'!$B$3:$B$187,'Schools dataset'!$J$3:$J$187,,0)))*COS(RADIANS(P18-_xlfn.XLOOKUP(S18,'Schools dataset'!$B$3:$B$187,'Schools dataset'!$K$3:$K$187,,0))))*6371*1000</f>
        <v>584.6942383505716</v>
      </c>
      <c r="W18" s="20">
        <f>_xlfn.XLOOKUP(T18,'HDB Recommender'!$P$10:$P$39,'HDB Recommender'!$Q$10:$Q$39,"&gt;30mins",1)</f>
        <v>9</v>
      </c>
      <c r="X18" s="20">
        <f>_xlfn.XLOOKUP(U18,'HDB Recommender'!$P$10:$P$39,'HDB Recommender'!$Q$10:$Q$39,"&gt;30mins",1)</f>
        <v>7</v>
      </c>
      <c r="Y18" s="20">
        <f>_xlfn.XLOOKUP(V18,'HDB Recommender'!$P$10:$P$39,'HDB Recommender'!$Q$10:$Q$39,"&gt;30mins",1)</f>
        <v>8</v>
      </c>
      <c r="Z18" s="39">
        <f t="shared" si="0"/>
        <v>8</v>
      </c>
      <c r="AA18" s="20" t="str">
        <f t="shared" si="1"/>
        <v>Within 1km</v>
      </c>
    </row>
    <row r="19" spans="2:27">
      <c r="B19" s="35" t="s">
        <v>317</v>
      </c>
      <c r="C19" s="35" t="s">
        <v>18</v>
      </c>
      <c r="D19" s="35" t="s">
        <v>341</v>
      </c>
      <c r="E19" s="35">
        <v>458</v>
      </c>
      <c r="F19" s="35" t="s">
        <v>322</v>
      </c>
      <c r="G19" s="35" t="s">
        <v>344</v>
      </c>
      <c r="H19" s="35">
        <v>120</v>
      </c>
      <c r="I19" s="35" t="s">
        <v>326</v>
      </c>
      <c r="J19" s="36">
        <v>1980</v>
      </c>
      <c r="K19" s="39">
        <v>55.3333333333333</v>
      </c>
      <c r="L19" s="37">
        <v>690000</v>
      </c>
      <c r="M19" s="35" t="s">
        <v>345</v>
      </c>
      <c r="N19" s="27">
        <v>560458</v>
      </c>
      <c r="O19" s="38">
        <v>1.36656815236771</v>
      </c>
      <c r="P19" s="38">
        <v>103.859626843322</v>
      </c>
      <c r="Q19" s="38" t="str" cm="1">
        <f t="array" ref="Q19">INDEX('MRT station dataset'!$C$3:$C$179, MATCH(MIN(SQRT(('MRT station dataset'!$E$3:$E$179-'Resale flat dataset (DV)'!O19)^2+('MRT station dataset'!$F$3:$F$179-'Resale flat dataset (DV)'!P19)^2)), SQRT(('MRT station dataset'!$E$3:$E$179-'Resale flat dataset (DV)'!O19)^2+('MRT station dataset'!$F$3:$F$179-'Resale flat dataset (DV)'!P19)^2), 0))</f>
        <v>ANG MO KIO MRT STATION</v>
      </c>
      <c r="R19" s="38" t="str" cm="1">
        <f t="array" ref="R19">INDEX('Mall Dataset'!$B$3:$B$157, MATCH(MIN(SQRT(('Mall Dataset'!$E$3:$E$157-'Resale flat dataset (DV)'!O19)^2+('Mall Dataset'!$F$3:$F$157-'Resale flat dataset (DV)'!P19)^2)), SQRT(('Mall Dataset'!$E$3:$E$157-'Resale flat dataset (DV)'!O19)^2+('Mall Dataset'!$F$3:$F$157-'Resale flat dataset (DV)'!P19)^2), 0))</f>
        <v>myVillage At Serangoon Garden</v>
      </c>
      <c r="S19" s="38" t="str" cm="1">
        <f t="array" ref="S19">INDEX('Schools dataset'!$B$3:$B$187, MATCH(MIN(SQRT(('Schools dataset'!$J$3:$J$187-'Resale flat dataset (DV)'!O19)^2+('Schools dataset'!$K$3:$K$187-'Resale flat dataset (DV)'!P19)^2)), SQRT(('Schools dataset'!$J$3:$J$187-'Resale flat dataset (DV)'!O19)^2+('Schools dataset'!$K$3:$K$187-'Resale flat dataset (DV)'!P19)^2), 0))</f>
        <v>TECK GHEE PRIMARY SCHOOL</v>
      </c>
      <c r="T19" s="39">
        <f>ACOS(COS(RADIANS(90-O19))*COS(RADIANS(90-_xlfn.XLOOKUP(Q19,'MRT station dataset'!$C$3:$C$179,'MRT station dataset'!$E$3:$E$179)))+SIN(RADIANS(90-O19))*SIN(RADIANS(90-_xlfn.XLOOKUP(Q19,'MRT station dataset'!$C$3:$C$179,'MRT station dataset'!$E$3:$E$179)))*COS(RADIANS(P19-_xlfn.XLOOKUP('Resale flat dataset (DV)'!Q19,'MRT station dataset'!$C$3:$C$179,'MRT station dataset'!$F$3:$F$179))))*6371*1000</f>
        <v>1123.126847082274</v>
      </c>
      <c r="U19" s="39">
        <f>ACOS(COS(RADIANS(90-O19))*COS(RADIANS(90-_xlfn.XLOOKUP(R19,'Mall Dataset'!$B$3:$B$157,'Mall Dataset'!$E$3:$E$157,,0)))+SIN(RADIANS(90-O19))*SIN(RADIANS(90-_xlfn.XLOOKUP(R19,'Mall Dataset'!$B$3:$B$157,'Mall Dataset'!$E$3:$E$157,,0)))*COS(RADIANS(P19-_xlfn.XLOOKUP(R19,'Mall Dataset'!$B$3:$B$157,'Mall Dataset'!$F$3:$F$157,,0))))*6371*1000</f>
        <v>635.90316569859965</v>
      </c>
      <c r="V19" s="39">
        <f>ACOS(COS(RADIANS(90-O19))*COS(RADIANS(90-_xlfn.XLOOKUP(S19,'Schools dataset'!$B$3:$B$187,'Schools dataset'!$J$3:$J$187,,0)))+SIN(RADIANS(90-O19))*SIN(RADIANS(90-_xlfn.XLOOKUP(S19,'Schools dataset'!$B$3:$B$187,'Schools dataset'!$J$3:$J$187,,0)))*COS(RADIANS(P19-_xlfn.XLOOKUP(S19,'Schools dataset'!$B$3:$B$187,'Schools dataset'!$K$3:$K$187,,0))))*6371*1000</f>
        <v>963.32219452816776</v>
      </c>
      <c r="W19" s="20">
        <f>_xlfn.XLOOKUP(T19,'HDB Recommender'!$P$10:$P$39,'HDB Recommender'!$Q$10:$Q$39,"&gt;30mins",1)</f>
        <v>15</v>
      </c>
      <c r="X19" s="20">
        <f>_xlfn.XLOOKUP(U19,'HDB Recommender'!$P$10:$P$39,'HDB Recommender'!$Q$10:$Q$39,"&gt;30mins",1)</f>
        <v>9</v>
      </c>
      <c r="Y19" s="20">
        <f>_xlfn.XLOOKUP(V19,'HDB Recommender'!$P$10:$P$39,'HDB Recommender'!$Q$10:$Q$39,"&gt;30mins",1)</f>
        <v>13</v>
      </c>
      <c r="Z19" s="39">
        <f t="shared" si="0"/>
        <v>12.333333333333334</v>
      </c>
      <c r="AA19" s="20" t="str">
        <f t="shared" si="1"/>
        <v>Within 1km</v>
      </c>
    </row>
    <row r="20" spans="2:27">
      <c r="B20" s="35" t="s">
        <v>317</v>
      </c>
      <c r="C20" s="35" t="s">
        <v>18</v>
      </c>
      <c r="D20" s="35" t="s">
        <v>341</v>
      </c>
      <c r="E20" s="35">
        <v>439</v>
      </c>
      <c r="F20" s="35" t="s">
        <v>322</v>
      </c>
      <c r="G20" s="35" t="s">
        <v>346</v>
      </c>
      <c r="H20" s="35">
        <v>119</v>
      </c>
      <c r="I20" s="35" t="s">
        <v>326</v>
      </c>
      <c r="J20" s="36">
        <v>1979</v>
      </c>
      <c r="K20" s="39">
        <v>54.3333333333333</v>
      </c>
      <c r="L20" s="37">
        <v>713800</v>
      </c>
      <c r="M20" s="35" t="s">
        <v>347</v>
      </c>
      <c r="N20" s="27">
        <v>560439</v>
      </c>
      <c r="O20" s="38">
        <v>1.3662919786480201</v>
      </c>
      <c r="P20" s="38">
        <v>103.85349630883</v>
      </c>
      <c r="Q20" s="38" t="str" cm="1">
        <f t="array" ref="Q20">INDEX('MRT station dataset'!$C$3:$C$179, MATCH(MIN(SQRT(('MRT station dataset'!$E$3:$E$179-'Resale flat dataset (DV)'!O20)^2+('MRT station dataset'!$F$3:$F$179-'Resale flat dataset (DV)'!P20)^2)), SQRT(('MRT station dataset'!$E$3:$E$179-'Resale flat dataset (DV)'!O20)^2+('MRT station dataset'!$F$3:$F$179-'Resale flat dataset (DV)'!P20)^2), 0))</f>
        <v>ANG MO KIO MRT STATION</v>
      </c>
      <c r="R20" s="38" t="str" cm="1">
        <f t="array" ref="R20">INDEX('Mall Dataset'!$B$3:$B$157, MATCH(MIN(SQRT(('Mall Dataset'!$E$3:$E$157-'Resale flat dataset (DV)'!O20)^2+('Mall Dataset'!$F$3:$F$157-'Resale flat dataset (DV)'!P20)^2)), SQRT(('Mall Dataset'!$E$3:$E$157-'Resale flat dataset (DV)'!O20)^2+('Mall Dataset'!$F$3:$F$157-'Resale flat dataset (DV)'!P20)^2), 0))</f>
        <v>AMK Hub</v>
      </c>
      <c r="S20" s="38" t="str" cm="1">
        <f t="array" ref="S20">INDEX('Schools dataset'!$B$3:$B$187, MATCH(MIN(SQRT(('Schools dataset'!$J$3:$J$187-'Resale flat dataset (DV)'!O20)^2+('Schools dataset'!$K$3:$K$187-'Resale flat dataset (DV)'!P20)^2)), SQRT(('Schools dataset'!$J$3:$J$187-'Resale flat dataset (DV)'!O20)^2+('Schools dataset'!$K$3:$K$187-'Resale flat dataset (DV)'!P20)^2), 0))</f>
        <v>TECK GHEE PRIMARY SCHOOL</v>
      </c>
      <c r="T20" s="39">
        <f>ACOS(COS(RADIANS(90-O20))*COS(RADIANS(90-_xlfn.XLOOKUP(Q20,'MRT station dataset'!$C$3:$C$179,'MRT station dataset'!$E$3:$E$179)))+SIN(RADIANS(90-O20))*SIN(RADIANS(90-_xlfn.XLOOKUP(Q20,'MRT station dataset'!$C$3:$C$179,'MRT station dataset'!$E$3:$E$179)))*COS(RADIANS(P20-_xlfn.XLOOKUP('Resale flat dataset (DV)'!Q20,'MRT station dataset'!$C$3:$C$179,'MRT station dataset'!$F$3:$F$179))))*6371*1000</f>
        <v>521.24523412486303</v>
      </c>
      <c r="U20" s="39">
        <f>ACOS(COS(RADIANS(90-O20))*COS(RADIANS(90-_xlfn.XLOOKUP(R20,'Mall Dataset'!$B$3:$B$157,'Mall Dataset'!$E$3:$E$157,,0)))+SIN(RADIANS(90-O20))*SIN(RADIANS(90-_xlfn.XLOOKUP(R20,'Mall Dataset'!$B$3:$B$157,'Mall Dataset'!$E$3:$E$157,,0)))*COS(RADIANS(P20-_xlfn.XLOOKUP(R20,'Mall Dataset'!$B$3:$B$157,'Mall Dataset'!$F$3:$F$157,,0))))*6371*1000</f>
        <v>649.22353664486889</v>
      </c>
      <c r="V20" s="39">
        <f>ACOS(COS(RADIANS(90-O20))*COS(RADIANS(90-_xlfn.XLOOKUP(S20,'Schools dataset'!$B$3:$B$187,'Schools dataset'!$J$3:$J$187,,0)))+SIN(RADIANS(90-O20))*SIN(RADIANS(90-_xlfn.XLOOKUP(S20,'Schools dataset'!$B$3:$B$187,'Schools dataset'!$J$3:$J$187,,0)))*COS(RADIANS(P20-_xlfn.XLOOKUP(S20,'Schools dataset'!$B$3:$B$187,'Schools dataset'!$K$3:$K$187,,0))))*6371*1000</f>
        <v>285.47246157242091</v>
      </c>
      <c r="W20" s="20">
        <f>_xlfn.XLOOKUP(T20,'HDB Recommender'!$P$10:$P$39,'HDB Recommender'!$Q$10:$Q$39,"&gt;30mins",1)</f>
        <v>7</v>
      </c>
      <c r="X20" s="20">
        <f>_xlfn.XLOOKUP(U20,'HDB Recommender'!$P$10:$P$39,'HDB Recommender'!$Q$10:$Q$39,"&gt;30mins",1)</f>
        <v>9</v>
      </c>
      <c r="Y20" s="20">
        <f>_xlfn.XLOOKUP(V20,'HDB Recommender'!$P$10:$P$39,'HDB Recommender'!$Q$10:$Q$39,"&gt;30mins",1)</f>
        <v>4</v>
      </c>
      <c r="Z20" s="39">
        <f t="shared" si="0"/>
        <v>6.666666666666667</v>
      </c>
      <c r="AA20" s="20" t="str">
        <f t="shared" si="1"/>
        <v>Within 1km</v>
      </c>
    </row>
    <row r="21" spans="2:27">
      <c r="B21" s="35" t="s">
        <v>317</v>
      </c>
      <c r="C21" s="35" t="s">
        <v>18</v>
      </c>
      <c r="D21" s="35" t="s">
        <v>341</v>
      </c>
      <c r="E21" s="35">
        <v>350</v>
      </c>
      <c r="F21" s="35" t="s">
        <v>348</v>
      </c>
      <c r="G21" s="35" t="s">
        <v>349</v>
      </c>
      <c r="H21" s="35">
        <v>110</v>
      </c>
      <c r="I21" s="35" t="s">
        <v>326</v>
      </c>
      <c r="J21" s="36">
        <v>2001</v>
      </c>
      <c r="K21" s="39">
        <v>77.25</v>
      </c>
      <c r="L21" s="37">
        <v>750000</v>
      </c>
      <c r="M21" s="35" t="s">
        <v>350</v>
      </c>
      <c r="N21" s="27">
        <v>560350</v>
      </c>
      <c r="O21" s="38">
        <v>1.3637131176306301</v>
      </c>
      <c r="P21" s="38">
        <v>103.85004423187701</v>
      </c>
      <c r="Q21" s="38" t="str" cm="1">
        <f t="array" ref="Q21">INDEX('MRT station dataset'!$C$3:$C$179, MATCH(MIN(SQRT(('MRT station dataset'!$E$3:$E$179-'Resale flat dataset (DV)'!O21)^2+('MRT station dataset'!$F$3:$F$179-'Resale flat dataset (DV)'!P21)^2)), SQRT(('MRT station dataset'!$E$3:$E$179-'Resale flat dataset (DV)'!O21)^2+('MRT station dataset'!$F$3:$F$179-'Resale flat dataset (DV)'!P21)^2), 0))</f>
        <v>ANG MO KIO MRT STATION</v>
      </c>
      <c r="R21" s="38" t="str" cm="1">
        <f t="array" ref="R21">INDEX('Mall Dataset'!$B$3:$B$157, MATCH(MIN(SQRT(('Mall Dataset'!$E$3:$E$157-'Resale flat dataset (DV)'!O21)^2+('Mall Dataset'!$F$3:$F$157-'Resale flat dataset (DV)'!P21)^2)), SQRT(('Mall Dataset'!$E$3:$E$157-'Resale flat dataset (DV)'!O21)^2+('Mall Dataset'!$F$3:$F$157-'Resale flat dataset (DV)'!P21)^2), 0))</f>
        <v>AMK Hub</v>
      </c>
      <c r="S21" s="38" t="str" cm="1">
        <f t="array" ref="S21">INDEX('Schools dataset'!$B$3:$B$187, MATCH(MIN(SQRT(('Schools dataset'!$J$3:$J$187-'Resale flat dataset (DV)'!O21)^2+('Schools dataset'!$K$3:$K$187-'Resale flat dataset (DV)'!P21)^2)), SQRT(('Schools dataset'!$J$3:$J$187-'Resale flat dataset (DV)'!O21)^2+('Schools dataset'!$K$3:$K$187-'Resale flat dataset (DV)'!P21)^2), 0))</f>
        <v>TECK GHEE PRIMARY SCHOOL</v>
      </c>
      <c r="T21" s="39">
        <f>ACOS(COS(RADIANS(90-O21))*COS(RADIANS(90-_xlfn.XLOOKUP(Q21,'MRT station dataset'!$C$3:$C$179,'MRT station dataset'!$E$3:$E$179)))+SIN(RADIANS(90-O21))*SIN(RADIANS(90-_xlfn.XLOOKUP(Q21,'MRT station dataset'!$C$3:$C$179,'MRT station dataset'!$E$3:$E$179)))*COS(RADIANS(P21-_xlfn.XLOOKUP('Resale flat dataset (DV)'!Q21,'MRT station dataset'!$C$3:$C$179,'MRT station dataset'!$F$3:$F$179))))*6371*1000</f>
        <v>621.43984742199439</v>
      </c>
      <c r="U21" s="39">
        <f>ACOS(COS(RADIANS(90-O21))*COS(RADIANS(90-_xlfn.XLOOKUP(R21,'Mall Dataset'!$B$3:$B$157,'Mall Dataset'!$E$3:$E$157,,0)))+SIN(RADIANS(90-O21))*SIN(RADIANS(90-_xlfn.XLOOKUP(R21,'Mall Dataset'!$B$3:$B$157,'Mall Dataset'!$E$3:$E$157,,0)))*COS(RADIANS(P21-_xlfn.XLOOKUP(R21,'Mall Dataset'!$B$3:$B$157,'Mall Dataset'!$F$3:$F$157,,0))))*6371*1000</f>
        <v>640.78833174888655</v>
      </c>
      <c r="V21" s="39">
        <f>ACOS(COS(RADIANS(90-O21))*COS(RADIANS(90-_xlfn.XLOOKUP(S21,'Schools dataset'!$B$3:$B$187,'Schools dataset'!$J$3:$J$187,,0)))+SIN(RADIANS(90-O21))*SIN(RADIANS(90-_xlfn.XLOOKUP(S21,'Schools dataset'!$B$3:$B$187,'Schools dataset'!$J$3:$J$187,,0)))*COS(RADIANS(P21-_xlfn.XLOOKUP(S21,'Schools dataset'!$B$3:$B$187,'Schools dataset'!$K$3:$K$187,,0))))*6371*1000</f>
        <v>240.65485723457058</v>
      </c>
      <c r="W21" s="20">
        <f>_xlfn.XLOOKUP(T21,'HDB Recommender'!$P$10:$P$39,'HDB Recommender'!$Q$10:$Q$39,"&gt;30mins",1)</f>
        <v>9</v>
      </c>
      <c r="X21" s="20">
        <f>_xlfn.XLOOKUP(U21,'HDB Recommender'!$P$10:$P$39,'HDB Recommender'!$Q$10:$Q$39,"&gt;30mins",1)</f>
        <v>9</v>
      </c>
      <c r="Y21" s="20">
        <f>_xlfn.XLOOKUP(V21,'HDB Recommender'!$P$10:$P$39,'HDB Recommender'!$Q$10:$Q$39,"&gt;30mins",1)</f>
        <v>4</v>
      </c>
      <c r="Z21" s="39">
        <f t="shared" si="0"/>
        <v>7.333333333333333</v>
      </c>
      <c r="AA21" s="20" t="str">
        <f t="shared" si="1"/>
        <v>Within 1km</v>
      </c>
    </row>
    <row r="22" spans="2:27">
      <c r="B22" s="35" t="s">
        <v>317</v>
      </c>
      <c r="C22" s="35" t="s">
        <v>351</v>
      </c>
      <c r="D22" s="35" t="s">
        <v>318</v>
      </c>
      <c r="E22" s="35">
        <v>115</v>
      </c>
      <c r="F22" s="35" t="s">
        <v>352</v>
      </c>
      <c r="G22" s="35" t="s">
        <v>191</v>
      </c>
      <c r="H22" s="35">
        <v>73</v>
      </c>
      <c r="I22" s="35" t="s">
        <v>320</v>
      </c>
      <c r="J22" s="36">
        <v>1978</v>
      </c>
      <c r="K22" s="39">
        <v>53.6666666666666</v>
      </c>
      <c r="L22" s="37">
        <v>390000</v>
      </c>
      <c r="M22" s="35" t="s">
        <v>353</v>
      </c>
      <c r="N22" s="27">
        <v>460115</v>
      </c>
      <c r="O22" s="38">
        <v>1.33143368026417</v>
      </c>
      <c r="P22" s="38">
        <v>103.936865404278</v>
      </c>
      <c r="Q22" s="38" t="str" cm="1">
        <f t="array" ref="Q22">INDEX('MRT station dataset'!$C$3:$C$179, MATCH(MIN(SQRT(('MRT station dataset'!$E$3:$E$179-'Resale flat dataset (DV)'!O22)^2+('MRT station dataset'!$F$3:$F$179-'Resale flat dataset (DV)'!P22)^2)), SQRT(('MRT station dataset'!$E$3:$E$179-'Resale flat dataset (DV)'!O22)^2+('MRT station dataset'!$F$3:$F$179-'Resale flat dataset (DV)'!P22)^2), 0))</f>
        <v>BEDOK RESERVOIR MRT STATION</v>
      </c>
      <c r="R22" s="38" t="str" cm="1">
        <f t="array" ref="R22">INDEX('Mall Dataset'!$B$3:$B$157, MATCH(MIN(SQRT(('Mall Dataset'!$E$3:$E$157-'Resale flat dataset (DV)'!O22)^2+('Mall Dataset'!$F$3:$F$157-'Resale flat dataset (DV)'!P22)^2)), SQRT(('Mall Dataset'!$E$3:$E$157-'Resale flat dataset (DV)'!O22)^2+('Mall Dataset'!$F$3:$F$157-'Resale flat dataset (DV)'!P22)^2), 0))</f>
        <v>Djitsun Mall Bedok</v>
      </c>
      <c r="S22" s="38" t="str" cm="1">
        <f t="array" ref="S22">INDEX('Schools dataset'!$B$3:$B$187, MATCH(MIN(SQRT(('Schools dataset'!$J$3:$J$187-'Resale flat dataset (DV)'!O22)^2+('Schools dataset'!$K$3:$K$187-'Resale flat dataset (DV)'!P22)^2)), SQRT(('Schools dataset'!$J$3:$J$187-'Resale flat dataset (DV)'!O22)^2+('Schools dataset'!$K$3:$K$187-'Resale flat dataset (DV)'!P22)^2), 0))</f>
        <v>RED SWASTIKA SCHOOL</v>
      </c>
      <c r="T22" s="39">
        <f>ACOS(COS(RADIANS(90-O22))*COS(RADIANS(90-_xlfn.XLOOKUP(Q22,'MRT station dataset'!$C$3:$C$179,'MRT station dataset'!$E$3:$E$179)))+SIN(RADIANS(90-O22))*SIN(RADIANS(90-_xlfn.XLOOKUP(Q22,'MRT station dataset'!$C$3:$C$179,'MRT station dataset'!$E$3:$E$179)))*COS(RADIANS(P22-_xlfn.XLOOKUP('Resale flat dataset (DV)'!Q22,'MRT station dataset'!$C$3:$C$179,'MRT station dataset'!$F$3:$F$179))))*6371*1000</f>
        <v>773.94432398505876</v>
      </c>
      <c r="U22" s="39">
        <f>ACOS(COS(RADIANS(90-O22))*COS(RADIANS(90-_xlfn.XLOOKUP(R22,'Mall Dataset'!$B$3:$B$157,'Mall Dataset'!$E$3:$E$157,,0)))+SIN(RADIANS(90-O22))*SIN(RADIANS(90-_xlfn.XLOOKUP(R22,'Mall Dataset'!$B$3:$B$157,'Mall Dataset'!$E$3:$E$157,,0)))*COS(RADIANS(P22-_xlfn.XLOOKUP(R22,'Mall Dataset'!$B$3:$B$157,'Mall Dataset'!$F$3:$F$157,,0))))*6371*1000</f>
        <v>1248.6904901627497</v>
      </c>
      <c r="V22" s="39">
        <f>ACOS(COS(RADIANS(90-O22))*COS(RADIANS(90-_xlfn.XLOOKUP(S22,'Schools dataset'!$B$3:$B$187,'Schools dataset'!$J$3:$J$187,,0)))+SIN(RADIANS(90-O22))*SIN(RADIANS(90-_xlfn.XLOOKUP(S22,'Schools dataset'!$B$3:$B$187,'Schools dataset'!$J$3:$J$187,,0)))*COS(RADIANS(P22-_xlfn.XLOOKUP(S22,'Schools dataset'!$B$3:$B$187,'Schools dataset'!$K$3:$K$187,,0))))*6371*1000</f>
        <v>406.5515988833186</v>
      </c>
      <c r="W22" s="20">
        <f>_xlfn.XLOOKUP(T22,'HDB Recommender'!$P$10:$P$39,'HDB Recommender'!$Q$10:$Q$39,"&gt;30mins",1)</f>
        <v>11</v>
      </c>
      <c r="X22" s="20">
        <f>_xlfn.XLOOKUP(U22,'HDB Recommender'!$P$10:$P$39,'HDB Recommender'!$Q$10:$Q$39,"&gt;30mins",1)</f>
        <v>17</v>
      </c>
      <c r="Y22" s="20">
        <f>_xlfn.XLOOKUP(V22,'HDB Recommender'!$P$10:$P$39,'HDB Recommender'!$Q$10:$Q$39,"&gt;30mins",1)</f>
        <v>6</v>
      </c>
      <c r="Z22" s="39">
        <f t="shared" si="0"/>
        <v>11.333333333333334</v>
      </c>
      <c r="AA22" s="20" t="str">
        <f t="shared" si="1"/>
        <v>Within 1km</v>
      </c>
    </row>
    <row r="23" spans="2:27">
      <c r="B23" s="35" t="s">
        <v>317</v>
      </c>
      <c r="C23" s="35" t="s">
        <v>351</v>
      </c>
      <c r="D23" s="35" t="s">
        <v>318</v>
      </c>
      <c r="E23" s="35">
        <v>217</v>
      </c>
      <c r="F23" s="35" t="s">
        <v>354</v>
      </c>
      <c r="G23" s="35" t="s">
        <v>349</v>
      </c>
      <c r="H23" s="35">
        <v>68</v>
      </c>
      <c r="I23" s="35" t="s">
        <v>320</v>
      </c>
      <c r="J23" s="36">
        <v>1979</v>
      </c>
      <c r="K23" s="39">
        <v>55.0833333333333</v>
      </c>
      <c r="L23" s="37">
        <v>380000</v>
      </c>
      <c r="M23" s="35" t="s">
        <v>355</v>
      </c>
      <c r="N23" s="27">
        <v>460217</v>
      </c>
      <c r="O23" s="38">
        <v>1.3268372172142699</v>
      </c>
      <c r="P23" s="38">
        <v>103.93392071271801</v>
      </c>
      <c r="Q23" s="38" t="str" cm="1">
        <f t="array" ref="Q23">INDEX('MRT station dataset'!$C$3:$C$179, MATCH(MIN(SQRT(('MRT station dataset'!$E$3:$E$179-'Resale flat dataset (DV)'!O23)^2+('MRT station dataset'!$F$3:$F$179-'Resale flat dataset (DV)'!P23)^2)), SQRT(('MRT station dataset'!$E$3:$E$179-'Resale flat dataset (DV)'!O23)^2+('MRT station dataset'!$F$3:$F$179-'Resale flat dataset (DV)'!P23)^2), 0))</f>
        <v>BEDOK MRT STATION</v>
      </c>
      <c r="R23" s="38" t="str" cm="1">
        <f t="array" ref="R23">INDEX('Mall Dataset'!$B$3:$B$157, MATCH(MIN(SQRT(('Mall Dataset'!$E$3:$E$157-'Resale flat dataset (DV)'!O23)^2+('Mall Dataset'!$F$3:$F$157-'Resale flat dataset (DV)'!P23)^2)), SQRT(('Mall Dataset'!$E$3:$E$157-'Resale flat dataset (DV)'!O23)^2+('Mall Dataset'!$F$3:$F$157-'Resale flat dataset (DV)'!P23)^2), 0))</f>
        <v>Djitsun Mall Bedok</v>
      </c>
      <c r="S23" s="38" t="str" cm="1">
        <f t="array" ref="S23">INDEX('Schools dataset'!$B$3:$B$187, MATCH(MIN(SQRT(('Schools dataset'!$J$3:$J$187-'Resale flat dataset (DV)'!O23)^2+('Schools dataset'!$K$3:$K$187-'Resale flat dataset (DV)'!P23)^2)), SQRT(('Schools dataset'!$J$3:$J$187-'Resale flat dataset (DV)'!O23)^2+('Schools dataset'!$K$3:$K$187-'Resale flat dataset (DV)'!P23)^2), 0))</f>
        <v>FENGSHAN PRIMARY SCHOOL</v>
      </c>
      <c r="T23" s="39">
        <f>ACOS(COS(RADIANS(90-O23))*COS(RADIANS(90-_xlfn.XLOOKUP(Q23,'MRT station dataset'!$C$3:$C$179,'MRT station dataset'!$E$3:$E$179)))+SIN(RADIANS(90-O23))*SIN(RADIANS(90-_xlfn.XLOOKUP(Q23,'MRT station dataset'!$C$3:$C$179,'MRT station dataset'!$E$3:$E$179)))*COS(RADIANS(P23-_xlfn.XLOOKUP('Resale flat dataset (DV)'!Q23,'MRT station dataset'!$C$3:$C$179,'MRT station dataset'!$F$3:$F$179))))*6371*1000</f>
        <v>538.04518788266887</v>
      </c>
      <c r="U23" s="39">
        <f>ACOS(COS(RADIANS(90-O23))*COS(RADIANS(90-_xlfn.XLOOKUP(R23,'Mall Dataset'!$B$3:$B$157,'Mall Dataset'!$E$3:$E$157,,0)))+SIN(RADIANS(90-O23))*SIN(RADIANS(90-_xlfn.XLOOKUP(R23,'Mall Dataset'!$B$3:$B$157,'Mall Dataset'!$E$3:$E$157,,0)))*COS(RADIANS(P23-_xlfn.XLOOKUP(R23,'Mall Dataset'!$B$3:$B$157,'Mall Dataset'!$F$3:$F$157,,0))))*6371*1000</f>
        <v>777.16322492055622</v>
      </c>
      <c r="V23" s="39">
        <f>ACOS(COS(RADIANS(90-O23))*COS(RADIANS(90-_xlfn.XLOOKUP(S23,'Schools dataset'!$B$3:$B$187,'Schools dataset'!$J$3:$J$187,,0)))+SIN(RADIANS(90-O23))*SIN(RADIANS(90-_xlfn.XLOOKUP(S23,'Schools dataset'!$B$3:$B$187,'Schools dataset'!$J$3:$J$187,,0)))*COS(RADIANS(P23-_xlfn.XLOOKUP(S23,'Schools dataset'!$B$3:$B$187,'Schools dataset'!$K$3:$K$187,,0))))*6371*1000</f>
        <v>402.12517983255134</v>
      </c>
      <c r="W23" s="20">
        <f>_xlfn.XLOOKUP(T23,'HDB Recommender'!$P$10:$P$39,'HDB Recommender'!$Q$10:$Q$39,"&gt;30mins",1)</f>
        <v>8</v>
      </c>
      <c r="X23" s="20">
        <f>_xlfn.XLOOKUP(U23,'HDB Recommender'!$P$10:$P$39,'HDB Recommender'!$Q$10:$Q$39,"&gt;30mins",1)</f>
        <v>11</v>
      </c>
      <c r="Y23" s="20">
        <f>_xlfn.XLOOKUP(V23,'HDB Recommender'!$P$10:$P$39,'HDB Recommender'!$Q$10:$Q$39,"&gt;30mins",1)</f>
        <v>6</v>
      </c>
      <c r="Z23" s="39">
        <f t="shared" si="0"/>
        <v>8.3333333333333339</v>
      </c>
      <c r="AA23" s="20" t="str">
        <f t="shared" si="1"/>
        <v>Within 1km</v>
      </c>
    </row>
    <row r="24" spans="2:27">
      <c r="B24" s="35" t="s">
        <v>317</v>
      </c>
      <c r="C24" s="35" t="s">
        <v>351</v>
      </c>
      <c r="D24" s="35" t="s">
        <v>318</v>
      </c>
      <c r="E24" s="35">
        <v>134</v>
      </c>
      <c r="F24" s="35" t="s">
        <v>356</v>
      </c>
      <c r="G24" s="35" t="s">
        <v>349</v>
      </c>
      <c r="H24" s="35">
        <v>67</v>
      </c>
      <c r="I24" s="35" t="s">
        <v>320</v>
      </c>
      <c r="J24" s="36">
        <v>1978</v>
      </c>
      <c r="K24" s="39">
        <v>53.6666666666666</v>
      </c>
      <c r="L24" s="37">
        <v>350000</v>
      </c>
      <c r="M24" s="35" t="s">
        <v>357</v>
      </c>
      <c r="N24" s="27">
        <v>460134</v>
      </c>
      <c r="O24" s="38">
        <v>1.3283213331325501</v>
      </c>
      <c r="P24" s="38">
        <v>103.93658216345</v>
      </c>
      <c r="Q24" s="38" t="str" cm="1">
        <f t="array" ref="Q24">INDEX('MRT station dataset'!$C$3:$C$179, MATCH(MIN(SQRT(('MRT station dataset'!$E$3:$E$179-'Resale flat dataset (DV)'!O24)^2+('MRT station dataset'!$F$3:$F$179-'Resale flat dataset (DV)'!P24)^2)), SQRT(('MRT station dataset'!$E$3:$E$179-'Resale flat dataset (DV)'!O24)^2+('MRT station dataset'!$F$3:$F$179-'Resale flat dataset (DV)'!P24)^2), 0))</f>
        <v>BEDOK MRT STATION</v>
      </c>
      <c r="R24" s="38" t="str" cm="1">
        <f t="array" ref="R24">INDEX('Mall Dataset'!$B$3:$B$157, MATCH(MIN(SQRT(('Mall Dataset'!$E$3:$E$157-'Resale flat dataset (DV)'!O24)^2+('Mall Dataset'!$F$3:$F$157-'Resale flat dataset (DV)'!P24)^2)), SQRT(('Mall Dataset'!$E$3:$E$157-'Resale flat dataset (DV)'!O24)^2+('Mall Dataset'!$F$3:$F$157-'Resale flat dataset (DV)'!P24)^2), 0))</f>
        <v>Djitsun Mall Bedok</v>
      </c>
      <c r="S24" s="38" t="str" cm="1">
        <f t="array" ref="S24">INDEX('Schools dataset'!$B$3:$B$187, MATCH(MIN(SQRT(('Schools dataset'!$J$3:$J$187-'Resale flat dataset (DV)'!O24)^2+('Schools dataset'!$K$3:$K$187-'Resale flat dataset (DV)'!P24)^2)), SQRT(('Schools dataset'!$J$3:$J$187-'Resale flat dataset (DV)'!O24)^2+('Schools dataset'!$K$3:$K$187-'Resale flat dataset (DV)'!P24)^2), 0))</f>
        <v>FENGSHAN PRIMARY SCHOOL</v>
      </c>
      <c r="T24" s="39">
        <f>ACOS(COS(RADIANS(90-O24))*COS(RADIANS(90-_xlfn.XLOOKUP(Q24,'MRT station dataset'!$C$3:$C$179,'MRT station dataset'!$E$3:$E$179)))+SIN(RADIANS(90-O24))*SIN(RADIANS(90-_xlfn.XLOOKUP(Q24,'MRT station dataset'!$C$3:$C$179,'MRT station dataset'!$E$3:$E$179)))*COS(RADIANS(P24-_xlfn.XLOOKUP('Resale flat dataset (DV)'!Q24,'MRT station dataset'!$C$3:$C$179,'MRT station dataset'!$F$3:$F$179))))*6371*1000</f>
        <v>875.37734916499346</v>
      </c>
      <c r="U24" s="39">
        <f>ACOS(COS(RADIANS(90-O24))*COS(RADIANS(90-_xlfn.XLOOKUP(R24,'Mall Dataset'!$B$3:$B$157,'Mall Dataset'!$E$3:$E$157,,0)))+SIN(RADIANS(90-O24))*SIN(RADIANS(90-_xlfn.XLOOKUP(R24,'Mall Dataset'!$B$3:$B$157,'Mall Dataset'!$E$3:$E$157,,0)))*COS(RADIANS(P24-_xlfn.XLOOKUP(R24,'Mall Dataset'!$B$3:$B$157,'Mall Dataset'!$F$3:$F$157,,0))))*6371*1000</f>
        <v>1096.4891922376983</v>
      </c>
      <c r="V24" s="39">
        <f>ACOS(COS(RADIANS(90-O24))*COS(RADIANS(90-_xlfn.XLOOKUP(S24,'Schools dataset'!$B$3:$B$187,'Schools dataset'!$J$3:$J$187,,0)))+SIN(RADIANS(90-O24))*SIN(RADIANS(90-_xlfn.XLOOKUP(S24,'Schools dataset'!$B$3:$B$187,'Schools dataset'!$J$3:$J$187,,0)))*COS(RADIANS(P24-_xlfn.XLOOKUP(S24,'Schools dataset'!$B$3:$B$187,'Schools dataset'!$K$3:$K$187,,0))))*6371*1000</f>
        <v>553.35252558609136</v>
      </c>
      <c r="W24" s="20">
        <f>_xlfn.XLOOKUP(T24,'HDB Recommender'!$P$10:$P$39,'HDB Recommender'!$Q$10:$Q$39,"&gt;30mins",1)</f>
        <v>12</v>
      </c>
      <c r="X24" s="20">
        <f>_xlfn.XLOOKUP(U24,'HDB Recommender'!$P$10:$P$39,'HDB Recommender'!$Q$10:$Q$39,"&gt;30mins",1)</f>
        <v>15</v>
      </c>
      <c r="Y24" s="20">
        <f>_xlfn.XLOOKUP(V24,'HDB Recommender'!$P$10:$P$39,'HDB Recommender'!$Q$10:$Q$39,"&gt;30mins",1)</f>
        <v>8</v>
      </c>
      <c r="Z24" s="39">
        <f t="shared" si="0"/>
        <v>11.666666666666666</v>
      </c>
      <c r="AA24" s="20" t="str">
        <f t="shared" si="1"/>
        <v>Within 1km</v>
      </c>
    </row>
    <row r="25" spans="2:27">
      <c r="B25" s="35" t="s">
        <v>317</v>
      </c>
      <c r="C25" s="35" t="s">
        <v>351</v>
      </c>
      <c r="D25" s="35" t="s">
        <v>318</v>
      </c>
      <c r="E25" s="35">
        <v>529</v>
      </c>
      <c r="F25" s="35" t="s">
        <v>358</v>
      </c>
      <c r="G25" s="35" t="s">
        <v>184</v>
      </c>
      <c r="H25" s="35">
        <v>68</v>
      </c>
      <c r="I25" s="35" t="s">
        <v>320</v>
      </c>
      <c r="J25" s="36">
        <v>1979</v>
      </c>
      <c r="K25" s="39">
        <v>54.9166666666666</v>
      </c>
      <c r="L25" s="37">
        <v>368000</v>
      </c>
      <c r="M25" s="35" t="s">
        <v>359</v>
      </c>
      <c r="N25" s="27">
        <v>460529</v>
      </c>
      <c r="O25" s="38">
        <v>1.3342694614427499</v>
      </c>
      <c r="P25" s="38">
        <v>103.92654228460199</v>
      </c>
      <c r="Q25" s="38" t="str" cm="1">
        <f t="array" ref="Q25">INDEX('MRT station dataset'!$C$3:$C$179, MATCH(MIN(SQRT(('MRT station dataset'!$E$3:$E$179-'Resale flat dataset (DV)'!O25)^2+('MRT station dataset'!$F$3:$F$179-'Resale flat dataset (DV)'!P25)^2)), SQRT(('MRT station dataset'!$E$3:$E$179-'Resale flat dataset (DV)'!O25)^2+('MRT station dataset'!$F$3:$F$179-'Resale flat dataset (DV)'!P25)^2), 0))</f>
        <v>BEDOK RESERVOIR MRT STATION</v>
      </c>
      <c r="R25" s="38" t="str" cm="1">
        <f t="array" ref="R25">INDEX('Mall Dataset'!$B$3:$B$157, MATCH(MIN(SQRT(('Mall Dataset'!$E$3:$E$157-'Resale flat dataset (DV)'!O25)^2+('Mall Dataset'!$F$3:$F$157-'Resale flat dataset (DV)'!P25)^2)), SQRT(('Mall Dataset'!$E$3:$E$157-'Resale flat dataset (DV)'!O25)^2+('Mall Dataset'!$F$3:$F$157-'Resale flat dataset (DV)'!P25)^2), 0))</f>
        <v>Djitsun Mall Bedok</v>
      </c>
      <c r="S25" s="38" t="str" cm="1">
        <f t="array" ref="S25">INDEX('Schools dataset'!$B$3:$B$187, MATCH(MIN(SQRT(('Schools dataset'!$J$3:$J$187-'Resale flat dataset (DV)'!O25)^2+('Schools dataset'!$K$3:$K$187-'Resale flat dataset (DV)'!P25)^2)), SQRT(('Schools dataset'!$J$3:$J$187-'Resale flat dataset (DV)'!O25)^2+('Schools dataset'!$K$3:$K$187-'Resale flat dataset (DV)'!P25)^2), 0))</f>
        <v>DAMAI PRIMARY SCHOOL</v>
      </c>
      <c r="T25" s="39">
        <f>ACOS(COS(RADIANS(90-O25))*COS(RADIANS(90-_xlfn.XLOOKUP(Q25,'MRT station dataset'!$C$3:$C$179,'MRT station dataset'!$E$3:$E$179)))+SIN(RADIANS(90-O25))*SIN(RADIANS(90-_xlfn.XLOOKUP(Q25,'MRT station dataset'!$C$3:$C$179,'MRT station dataset'!$E$3:$E$179)))*COS(RADIANS(P25-_xlfn.XLOOKUP('Resale flat dataset (DV)'!Q25,'MRT station dataset'!$C$3:$C$179,'MRT station dataset'!$F$3:$F$179))))*6371*1000</f>
        <v>680.23460374650836</v>
      </c>
      <c r="U25" s="39">
        <f>ACOS(COS(RADIANS(90-O25))*COS(RADIANS(90-_xlfn.XLOOKUP(R25,'Mall Dataset'!$B$3:$B$157,'Mall Dataset'!$E$3:$E$157,,0)))+SIN(RADIANS(90-O25))*SIN(RADIANS(90-_xlfn.XLOOKUP(R25,'Mall Dataset'!$B$3:$B$157,'Mall Dataset'!$E$3:$E$157,,0)))*COS(RADIANS(P25-_xlfn.XLOOKUP(R25,'Mall Dataset'!$B$3:$B$157,'Mall Dataset'!$F$3:$F$157,,0))))*6371*1000</f>
        <v>906.59032881747009</v>
      </c>
      <c r="V25" s="39">
        <f>ACOS(COS(RADIANS(90-O25))*COS(RADIANS(90-_xlfn.XLOOKUP(S25,'Schools dataset'!$B$3:$B$187,'Schools dataset'!$J$3:$J$187,,0)))+SIN(RADIANS(90-O25))*SIN(RADIANS(90-_xlfn.XLOOKUP(S25,'Schools dataset'!$B$3:$B$187,'Schools dataset'!$J$3:$J$187,,0)))*COS(RADIANS(P25-_xlfn.XLOOKUP(S25,'Schools dataset'!$B$3:$B$187,'Schools dataset'!$K$3:$K$187,,0))))*6371*1000</f>
        <v>594.27052596429951</v>
      </c>
      <c r="W25" s="20">
        <f>_xlfn.XLOOKUP(T25,'HDB Recommender'!$P$10:$P$39,'HDB Recommender'!$Q$10:$Q$39,"&gt;30mins",1)</f>
        <v>10</v>
      </c>
      <c r="X25" s="20">
        <f>_xlfn.XLOOKUP(U25,'HDB Recommender'!$P$10:$P$39,'HDB Recommender'!$Q$10:$Q$39,"&gt;30mins",1)</f>
        <v>13</v>
      </c>
      <c r="Y25" s="20">
        <f>_xlfn.XLOOKUP(V25,'HDB Recommender'!$P$10:$P$39,'HDB Recommender'!$Q$10:$Q$39,"&gt;30mins",1)</f>
        <v>8</v>
      </c>
      <c r="Z25" s="39">
        <f t="shared" si="0"/>
        <v>10.333333333333334</v>
      </c>
      <c r="AA25" s="20" t="str">
        <f t="shared" si="1"/>
        <v>Within 1km</v>
      </c>
    </row>
    <row r="26" spans="2:27">
      <c r="B26" s="35" t="s">
        <v>317</v>
      </c>
      <c r="C26" s="35" t="s">
        <v>351</v>
      </c>
      <c r="D26" s="35" t="s">
        <v>318</v>
      </c>
      <c r="E26" s="35">
        <v>501</v>
      </c>
      <c r="F26" s="35" t="s">
        <v>358</v>
      </c>
      <c r="G26" s="35" t="s">
        <v>184</v>
      </c>
      <c r="H26" s="35">
        <v>59</v>
      </c>
      <c r="I26" s="35" t="s">
        <v>326</v>
      </c>
      <c r="J26" s="36">
        <v>1978</v>
      </c>
      <c r="K26" s="39">
        <v>53.5833333333333</v>
      </c>
      <c r="L26" s="37">
        <v>365000</v>
      </c>
      <c r="M26" s="35" t="s">
        <v>360</v>
      </c>
      <c r="N26" s="27">
        <v>460501</v>
      </c>
      <c r="O26" s="38">
        <v>1.33164071248973</v>
      </c>
      <c r="P26" s="38">
        <v>103.931167665142</v>
      </c>
      <c r="Q26" s="38" t="str" cm="1">
        <f t="array" ref="Q26">INDEX('MRT station dataset'!$C$3:$C$179, MATCH(MIN(SQRT(('MRT station dataset'!$E$3:$E$179-'Resale flat dataset (DV)'!O26)^2+('MRT station dataset'!$F$3:$F$179-'Resale flat dataset (DV)'!P26)^2)), SQRT(('MRT station dataset'!$E$3:$E$179-'Resale flat dataset (DV)'!O26)^2+('MRT station dataset'!$F$3:$F$179-'Resale flat dataset (DV)'!P26)^2), 0))</f>
        <v>BEDOK RESERVOIR MRT STATION</v>
      </c>
      <c r="R26" s="38" t="str" cm="1">
        <f t="array" ref="R26">INDEX('Mall Dataset'!$B$3:$B$157, MATCH(MIN(SQRT(('Mall Dataset'!$E$3:$E$157-'Resale flat dataset (DV)'!O26)^2+('Mall Dataset'!$F$3:$F$157-'Resale flat dataset (DV)'!P26)^2)), SQRT(('Mall Dataset'!$E$3:$E$157-'Resale flat dataset (DV)'!O26)^2+('Mall Dataset'!$F$3:$F$157-'Resale flat dataset (DV)'!P26)^2), 0))</f>
        <v>Djitsun Mall Bedok</v>
      </c>
      <c r="S26" s="38" t="str" cm="1">
        <f t="array" ref="S26">INDEX('Schools dataset'!$B$3:$B$187, MATCH(MIN(SQRT(('Schools dataset'!$J$3:$J$187-'Resale flat dataset (DV)'!O26)^2+('Schools dataset'!$K$3:$K$187-'Resale flat dataset (DV)'!P26)^2)), SQRT(('Schools dataset'!$J$3:$J$187-'Resale flat dataset (DV)'!O26)^2+('Schools dataset'!$K$3:$K$187-'Resale flat dataset (DV)'!P26)^2), 0))</f>
        <v>FENGSHAN PRIMARY SCHOOL</v>
      </c>
      <c r="T26" s="39">
        <f>ACOS(COS(RADIANS(90-O26))*COS(RADIANS(90-_xlfn.XLOOKUP(Q26,'MRT station dataset'!$C$3:$C$179,'MRT station dataset'!$E$3:$E$179)))+SIN(RADIANS(90-O26))*SIN(RADIANS(90-_xlfn.XLOOKUP(Q26,'MRT station dataset'!$C$3:$C$179,'MRT station dataset'!$E$3:$E$179)))*COS(RADIANS(P26-_xlfn.XLOOKUP('Resale flat dataset (DV)'!Q26,'MRT station dataset'!$C$3:$C$179,'MRT station dataset'!$F$3:$F$179))))*6371*1000</f>
        <v>563.26205975048799</v>
      </c>
      <c r="U26" s="39">
        <f>ACOS(COS(RADIANS(90-O26))*COS(RADIANS(90-_xlfn.XLOOKUP(R26,'Mall Dataset'!$B$3:$B$157,'Mall Dataset'!$E$3:$E$157,,0)))+SIN(RADIANS(90-O26))*SIN(RADIANS(90-_xlfn.XLOOKUP(R26,'Mall Dataset'!$B$3:$B$157,'Mall Dataset'!$E$3:$E$157,,0)))*COS(RADIANS(P26-_xlfn.XLOOKUP(R26,'Mall Dataset'!$B$3:$B$157,'Mall Dataset'!$F$3:$F$157,,0))))*6371*1000</f>
        <v>770.73319196807529</v>
      </c>
      <c r="V26" s="39">
        <f>ACOS(COS(RADIANS(90-O26))*COS(RADIANS(90-_xlfn.XLOOKUP(S26,'Schools dataset'!$B$3:$B$187,'Schools dataset'!$J$3:$J$187,,0)))+SIN(RADIANS(90-O26))*SIN(RADIANS(90-_xlfn.XLOOKUP(S26,'Schools dataset'!$B$3:$B$187,'Schools dataset'!$J$3:$J$187,,0)))*COS(RADIANS(P26-_xlfn.XLOOKUP(S26,'Schools dataset'!$B$3:$B$187,'Schools dataset'!$K$3:$K$187,,0))))*6371*1000</f>
        <v>218.9372846113431</v>
      </c>
      <c r="W26" s="20">
        <f>_xlfn.XLOOKUP(T26,'HDB Recommender'!$P$10:$P$39,'HDB Recommender'!$Q$10:$Q$39,"&gt;30mins",1)</f>
        <v>8</v>
      </c>
      <c r="X26" s="20">
        <f>_xlfn.XLOOKUP(U26,'HDB Recommender'!$P$10:$P$39,'HDB Recommender'!$Q$10:$Q$39,"&gt;30mins",1)</f>
        <v>11</v>
      </c>
      <c r="Y26" s="20">
        <f>_xlfn.XLOOKUP(V26,'HDB Recommender'!$P$10:$P$39,'HDB Recommender'!$Q$10:$Q$39,"&gt;30mins",1)</f>
        <v>3</v>
      </c>
      <c r="Z26" s="39">
        <f t="shared" si="0"/>
        <v>7.333333333333333</v>
      </c>
      <c r="AA26" s="20" t="str">
        <f t="shared" si="1"/>
        <v>Within 1km</v>
      </c>
    </row>
    <row r="27" spans="2:27">
      <c r="B27" s="35" t="s">
        <v>317</v>
      </c>
      <c r="C27" s="35" t="s">
        <v>351</v>
      </c>
      <c r="D27" s="35" t="s">
        <v>318</v>
      </c>
      <c r="E27" s="35">
        <v>539</v>
      </c>
      <c r="F27" s="35" t="s">
        <v>358</v>
      </c>
      <c r="G27" s="35" t="s">
        <v>189</v>
      </c>
      <c r="H27" s="35">
        <v>68</v>
      </c>
      <c r="I27" s="35" t="s">
        <v>320</v>
      </c>
      <c r="J27" s="36">
        <v>1980</v>
      </c>
      <c r="K27" s="39">
        <v>55.3333333333333</v>
      </c>
      <c r="L27" s="37">
        <v>368000</v>
      </c>
      <c r="M27" s="35" t="s">
        <v>361</v>
      </c>
      <c r="N27" s="27">
        <v>460539</v>
      </c>
      <c r="O27" s="38">
        <v>1.33131111312379</v>
      </c>
      <c r="P27" s="38">
        <v>103.925307784513</v>
      </c>
      <c r="Q27" s="38" t="str" cm="1">
        <f t="array" ref="Q27">INDEX('MRT station dataset'!$C$3:$C$179, MATCH(MIN(SQRT(('MRT station dataset'!$E$3:$E$179-'Resale flat dataset (DV)'!O27)^2+('MRT station dataset'!$F$3:$F$179-'Resale flat dataset (DV)'!P27)^2)), SQRT(('MRT station dataset'!$E$3:$E$179-'Resale flat dataset (DV)'!O27)^2+('MRT station dataset'!$F$3:$F$179-'Resale flat dataset (DV)'!P27)^2), 0))</f>
        <v>BEDOK NORTH MRT STATION</v>
      </c>
      <c r="R27" s="38" t="str" cm="1">
        <f t="array" ref="R27">INDEX('Mall Dataset'!$B$3:$B$157, MATCH(MIN(SQRT(('Mall Dataset'!$E$3:$E$157-'Resale flat dataset (DV)'!O27)^2+('Mall Dataset'!$F$3:$F$157-'Resale flat dataset (DV)'!P27)^2)), SQRT(('Mall Dataset'!$E$3:$E$157-'Resale flat dataset (DV)'!O27)^2+('Mall Dataset'!$F$3:$F$157-'Resale flat dataset (DV)'!P27)^2), 0))</f>
        <v>Djitsun Mall Bedok</v>
      </c>
      <c r="S27" s="38" t="str" cm="1">
        <f t="array" ref="S27">INDEX('Schools dataset'!$B$3:$B$187, MATCH(MIN(SQRT(('Schools dataset'!$J$3:$J$187-'Resale flat dataset (DV)'!O27)^2+('Schools dataset'!$K$3:$K$187-'Resale flat dataset (DV)'!P27)^2)), SQRT(('Schools dataset'!$J$3:$J$187-'Resale flat dataset (DV)'!O27)^2+('Schools dataset'!$K$3:$K$187-'Resale flat dataset (DV)'!P27)^2), 0))</f>
        <v>DAMAI PRIMARY SCHOOL</v>
      </c>
      <c r="T27" s="39">
        <f>ACOS(COS(RADIANS(90-O27))*COS(RADIANS(90-_xlfn.XLOOKUP(Q27,'MRT station dataset'!$C$3:$C$179,'MRT station dataset'!$E$3:$E$179)))+SIN(RADIANS(90-O27))*SIN(RADIANS(90-_xlfn.XLOOKUP(Q27,'MRT station dataset'!$C$3:$C$179,'MRT station dataset'!$E$3:$E$179)))*COS(RADIANS(P27-_xlfn.XLOOKUP('Resale flat dataset (DV)'!Q27,'MRT station dataset'!$C$3:$C$179,'MRT station dataset'!$F$3:$F$179))))*6371*1000</f>
        <v>895.511829510967</v>
      </c>
      <c r="U27" s="39">
        <f>ACOS(COS(RADIANS(90-O27))*COS(RADIANS(90-_xlfn.XLOOKUP(R27,'Mall Dataset'!$B$3:$B$157,'Mall Dataset'!$E$3:$E$157,,0)))+SIN(RADIANS(90-O27))*SIN(RADIANS(90-_xlfn.XLOOKUP(R27,'Mall Dataset'!$B$3:$B$157,'Mall Dataset'!$E$3:$E$157,,0)))*COS(RADIANS(P27-_xlfn.XLOOKUP(R27,'Mall Dataset'!$B$3:$B$157,'Mall Dataset'!$F$3:$F$157,,0))))*6371*1000</f>
        <v>605.16458612116298</v>
      </c>
      <c r="V27" s="39">
        <f>ACOS(COS(RADIANS(90-O27))*COS(RADIANS(90-_xlfn.XLOOKUP(S27,'Schools dataset'!$B$3:$B$187,'Schools dataset'!$J$3:$J$187,,0)))+SIN(RADIANS(90-O27))*SIN(RADIANS(90-_xlfn.XLOOKUP(S27,'Schools dataset'!$B$3:$B$187,'Schools dataset'!$J$3:$J$187,,0)))*COS(RADIANS(P27-_xlfn.XLOOKUP(S27,'Schools dataset'!$B$3:$B$187,'Schools dataset'!$K$3:$K$187,,0))))*6371*1000</f>
        <v>625.52509811286393</v>
      </c>
      <c r="W27" s="20">
        <f>_xlfn.XLOOKUP(T27,'HDB Recommender'!$P$10:$P$39,'HDB Recommender'!$Q$10:$Q$39,"&gt;30mins",1)</f>
        <v>12</v>
      </c>
      <c r="X27" s="20">
        <f>_xlfn.XLOOKUP(U27,'HDB Recommender'!$P$10:$P$39,'HDB Recommender'!$Q$10:$Q$39,"&gt;30mins",1)</f>
        <v>9</v>
      </c>
      <c r="Y27" s="20">
        <f>_xlfn.XLOOKUP(V27,'HDB Recommender'!$P$10:$P$39,'HDB Recommender'!$Q$10:$Q$39,"&gt;30mins",1)</f>
        <v>9</v>
      </c>
      <c r="Z27" s="39">
        <f t="shared" si="0"/>
        <v>10</v>
      </c>
      <c r="AA27" s="20" t="str">
        <f t="shared" si="1"/>
        <v>Within 1km</v>
      </c>
    </row>
    <row r="28" spans="2:27">
      <c r="B28" s="35" t="s">
        <v>317</v>
      </c>
      <c r="C28" s="35" t="s">
        <v>351</v>
      </c>
      <c r="D28" s="35" t="s">
        <v>318</v>
      </c>
      <c r="E28" s="35"/>
      <c r="F28" s="35" t="s">
        <v>362</v>
      </c>
      <c r="G28" s="35" t="s">
        <v>191</v>
      </c>
      <c r="H28" s="35">
        <v>67</v>
      </c>
      <c r="I28" s="35" t="s">
        <v>363</v>
      </c>
      <c r="J28" s="36">
        <v>2014</v>
      </c>
      <c r="K28" s="39">
        <v>90</v>
      </c>
      <c r="L28" s="37">
        <v>620000</v>
      </c>
      <c r="M28" s="35" t="s">
        <v>364</v>
      </c>
      <c r="N28" s="27">
        <v>472748</v>
      </c>
      <c r="O28" s="38">
        <v>1.33629391354583</v>
      </c>
      <c r="P28" s="38">
        <v>103.921242294579</v>
      </c>
      <c r="Q28" s="38" t="str" cm="1">
        <f t="array" ref="Q28">INDEX('MRT station dataset'!$C$3:$C$179, MATCH(MIN(SQRT(('MRT station dataset'!$E$3:$E$179-'Resale flat dataset (DV)'!O28)^2+('MRT station dataset'!$F$3:$F$179-'Resale flat dataset (DV)'!P28)^2)), SQRT(('MRT station dataset'!$E$3:$E$179-'Resale flat dataset (DV)'!O28)^2+('MRT station dataset'!$F$3:$F$179-'Resale flat dataset (DV)'!P28)^2), 0))</f>
        <v>BEDOK NORTH MRT STATION</v>
      </c>
      <c r="R28" s="38" t="str" cm="1">
        <f t="array" ref="R28">INDEX('Mall Dataset'!$B$3:$B$157, MATCH(MIN(SQRT(('Mall Dataset'!$E$3:$E$157-'Resale flat dataset (DV)'!O28)^2+('Mall Dataset'!$F$3:$F$157-'Resale flat dataset (DV)'!P28)^2)), SQRT(('Mall Dataset'!$E$3:$E$157-'Resale flat dataset (DV)'!O28)^2+('Mall Dataset'!$F$3:$F$157-'Resale flat dataset (DV)'!P28)^2), 0))</f>
        <v>Djitsun Mall Bedok</v>
      </c>
      <c r="S28" s="38" t="str" cm="1">
        <f t="array" ref="S28">INDEX('Schools dataset'!$B$3:$B$187, MATCH(MIN(SQRT(('Schools dataset'!$J$3:$J$187-'Resale flat dataset (DV)'!O28)^2+('Schools dataset'!$K$3:$K$187-'Resale flat dataset (DV)'!P28)^2)), SQRT(('Schools dataset'!$J$3:$J$187-'Resale flat dataset (DV)'!O28)^2+('Schools dataset'!$K$3:$K$187-'Resale flat dataset (DV)'!P28)^2), 0))</f>
        <v>DAMAI PRIMARY SCHOOL</v>
      </c>
      <c r="T28" s="39">
        <f>ACOS(COS(RADIANS(90-O28))*COS(RADIANS(90-_xlfn.XLOOKUP(Q28,'MRT station dataset'!$C$3:$C$179,'MRT station dataset'!$E$3:$E$179)))+SIN(RADIANS(90-O28))*SIN(RADIANS(90-_xlfn.XLOOKUP(Q28,'MRT station dataset'!$C$3:$C$179,'MRT station dataset'!$E$3:$E$179)))*COS(RADIANS(P28-_xlfn.XLOOKUP('Resale flat dataset (DV)'!Q28,'MRT station dataset'!$C$3:$C$179,'MRT station dataset'!$F$3:$F$179))))*6371*1000</f>
        <v>401.64807782716537</v>
      </c>
      <c r="U28" s="39">
        <f>ACOS(COS(RADIANS(90-O28))*COS(RADIANS(90-_xlfn.XLOOKUP(R28,'Mall Dataset'!$B$3:$B$157,'Mall Dataset'!$E$3:$E$157,,0)))+SIN(RADIANS(90-O28))*SIN(RADIANS(90-_xlfn.XLOOKUP(R28,'Mall Dataset'!$B$3:$B$157,'Mall Dataset'!$E$3:$E$157,,0)))*COS(RADIANS(P28-_xlfn.XLOOKUP(R28,'Mall Dataset'!$B$3:$B$157,'Mall Dataset'!$F$3:$F$157,,0))))*6371*1000</f>
        <v>1297.2253096294553</v>
      </c>
      <c r="V28" s="39">
        <f>ACOS(COS(RADIANS(90-O28))*COS(RADIANS(90-_xlfn.XLOOKUP(S28,'Schools dataset'!$B$3:$B$187,'Schools dataset'!$J$3:$J$187,,0)))+SIN(RADIANS(90-O28))*SIN(RADIANS(90-_xlfn.XLOOKUP(S28,'Schools dataset'!$B$3:$B$187,'Schools dataset'!$J$3:$J$187,,0)))*COS(RADIANS(P28-_xlfn.XLOOKUP(S28,'Schools dataset'!$B$3:$B$187,'Schools dataset'!$K$3:$K$187,,0))))*6371*1000</f>
        <v>116.62282619082376</v>
      </c>
      <c r="W28" s="20">
        <f>_xlfn.XLOOKUP(T28,'HDB Recommender'!$P$10:$P$39,'HDB Recommender'!$Q$10:$Q$39,"&gt;30mins",1)</f>
        <v>6</v>
      </c>
      <c r="X28" s="20">
        <f>_xlfn.XLOOKUP(U28,'HDB Recommender'!$P$10:$P$39,'HDB Recommender'!$Q$10:$Q$39,"&gt;30mins",1)</f>
        <v>18</v>
      </c>
      <c r="Y28" s="20">
        <f>_xlfn.XLOOKUP(V28,'HDB Recommender'!$P$10:$P$39,'HDB Recommender'!$Q$10:$Q$39,"&gt;30mins",1)</f>
        <v>2</v>
      </c>
      <c r="Z28" s="39">
        <f t="shared" si="0"/>
        <v>8.6666666666666661</v>
      </c>
      <c r="AA28" s="20" t="str">
        <f t="shared" si="1"/>
        <v>Within 1km</v>
      </c>
    </row>
    <row r="29" spans="2:27">
      <c r="B29" s="35" t="s">
        <v>317</v>
      </c>
      <c r="C29" s="35" t="s">
        <v>351</v>
      </c>
      <c r="D29" s="35" t="s">
        <v>318</v>
      </c>
      <c r="E29" s="35"/>
      <c r="F29" s="35" t="s">
        <v>362</v>
      </c>
      <c r="G29" s="35" t="s">
        <v>184</v>
      </c>
      <c r="H29" s="35">
        <v>66</v>
      </c>
      <c r="I29" s="35" t="s">
        <v>363</v>
      </c>
      <c r="J29" s="36">
        <v>2014</v>
      </c>
      <c r="K29" s="39">
        <v>90</v>
      </c>
      <c r="L29" s="37">
        <v>608000</v>
      </c>
      <c r="M29" s="35" t="s">
        <v>365</v>
      </c>
      <c r="N29" s="27">
        <v>473748</v>
      </c>
      <c r="O29" s="38">
        <v>1.3361617562811601</v>
      </c>
      <c r="P29" s="38">
        <v>103.92149259831901</v>
      </c>
      <c r="Q29" s="38" t="str" cm="1">
        <f t="array" ref="Q29">INDEX('MRT station dataset'!$C$3:$C$179, MATCH(MIN(SQRT(('MRT station dataset'!$E$3:$E$179-'Resale flat dataset (DV)'!O29)^2+('MRT station dataset'!$F$3:$F$179-'Resale flat dataset (DV)'!P29)^2)), SQRT(('MRT station dataset'!$E$3:$E$179-'Resale flat dataset (DV)'!O29)^2+('MRT station dataset'!$F$3:$F$179-'Resale flat dataset (DV)'!P29)^2), 0))</f>
        <v>BEDOK NORTH MRT STATION</v>
      </c>
      <c r="R29" s="38" t="str" cm="1">
        <f t="array" ref="R29">INDEX('Mall Dataset'!$B$3:$B$157, MATCH(MIN(SQRT(('Mall Dataset'!$E$3:$E$157-'Resale flat dataset (DV)'!O29)^2+('Mall Dataset'!$F$3:$F$157-'Resale flat dataset (DV)'!P29)^2)), SQRT(('Mall Dataset'!$E$3:$E$157-'Resale flat dataset (DV)'!O29)^2+('Mall Dataset'!$F$3:$F$157-'Resale flat dataset (DV)'!P29)^2), 0))</f>
        <v>Djitsun Mall Bedok</v>
      </c>
      <c r="S29" s="38" t="str" cm="1">
        <f t="array" ref="S29">INDEX('Schools dataset'!$B$3:$B$187, MATCH(MIN(SQRT(('Schools dataset'!$J$3:$J$187-'Resale flat dataset (DV)'!O29)^2+('Schools dataset'!$K$3:$K$187-'Resale flat dataset (DV)'!P29)^2)), SQRT(('Schools dataset'!$J$3:$J$187-'Resale flat dataset (DV)'!O29)^2+('Schools dataset'!$K$3:$K$187-'Resale flat dataset (DV)'!P29)^2), 0))</f>
        <v>DAMAI PRIMARY SCHOOL</v>
      </c>
      <c r="T29" s="39">
        <f>ACOS(COS(RADIANS(90-O29))*COS(RADIANS(90-_xlfn.XLOOKUP(Q29,'MRT station dataset'!$C$3:$C$179,'MRT station dataset'!$E$3:$E$179)))+SIN(RADIANS(90-O29))*SIN(RADIANS(90-_xlfn.XLOOKUP(Q29,'MRT station dataset'!$C$3:$C$179,'MRT station dataset'!$E$3:$E$179)))*COS(RADIANS(P29-_xlfn.XLOOKUP('Resale flat dataset (DV)'!Q29,'MRT station dataset'!$C$3:$C$179,'MRT station dataset'!$F$3:$F$179))))*6371*1000</f>
        <v>420.90399198606065</v>
      </c>
      <c r="U29" s="39">
        <f>ACOS(COS(RADIANS(90-O29))*COS(RADIANS(90-_xlfn.XLOOKUP(R29,'Mall Dataset'!$B$3:$B$157,'Mall Dataset'!$E$3:$E$157,,0)))+SIN(RADIANS(90-O29))*SIN(RADIANS(90-_xlfn.XLOOKUP(R29,'Mall Dataset'!$B$3:$B$157,'Mall Dataset'!$E$3:$E$157,,0)))*COS(RADIANS(P29-_xlfn.XLOOKUP(R29,'Mall Dataset'!$B$3:$B$157,'Mall Dataset'!$F$3:$F$157,,0))))*6371*1000</f>
        <v>1270.8859362856322</v>
      </c>
      <c r="V29" s="39">
        <f>ACOS(COS(RADIANS(90-O29))*COS(RADIANS(90-_xlfn.XLOOKUP(S29,'Schools dataset'!$B$3:$B$187,'Schools dataset'!$J$3:$J$187,,0)))+SIN(RADIANS(90-O29))*SIN(RADIANS(90-_xlfn.XLOOKUP(S29,'Schools dataset'!$B$3:$B$187,'Schools dataset'!$J$3:$J$187,,0)))*COS(RADIANS(P29-_xlfn.XLOOKUP(S29,'Schools dataset'!$B$3:$B$187,'Schools dataset'!$K$3:$K$187,,0))))*6371*1000</f>
        <v>104.37154880958977</v>
      </c>
      <c r="W29" s="20">
        <f>_xlfn.XLOOKUP(T29,'HDB Recommender'!$P$10:$P$39,'HDB Recommender'!$Q$10:$Q$39,"&gt;30mins",1)</f>
        <v>6</v>
      </c>
      <c r="X29" s="20">
        <f>_xlfn.XLOOKUP(U29,'HDB Recommender'!$P$10:$P$39,'HDB Recommender'!$Q$10:$Q$39,"&gt;30mins",1)</f>
        <v>17</v>
      </c>
      <c r="Y29" s="20">
        <f>_xlfn.XLOOKUP(V29,'HDB Recommender'!$P$10:$P$39,'HDB Recommender'!$Q$10:$Q$39,"&gt;30mins",1)</f>
        <v>2</v>
      </c>
      <c r="Z29" s="39">
        <f t="shared" si="0"/>
        <v>8.3333333333333339</v>
      </c>
      <c r="AA29" s="20" t="str">
        <f t="shared" si="1"/>
        <v>Within 1km</v>
      </c>
    </row>
    <row r="30" spans="2:27">
      <c r="B30" s="35" t="s">
        <v>317</v>
      </c>
      <c r="C30" s="35" t="s">
        <v>351</v>
      </c>
      <c r="D30" s="35" t="s">
        <v>318</v>
      </c>
      <c r="E30" s="35">
        <v>616</v>
      </c>
      <c r="F30" s="35" t="s">
        <v>366</v>
      </c>
      <c r="G30" s="35" t="s">
        <v>191</v>
      </c>
      <c r="H30" s="35">
        <v>68</v>
      </c>
      <c r="I30" s="35" t="s">
        <v>320</v>
      </c>
      <c r="J30" s="36">
        <v>1982</v>
      </c>
      <c r="K30" s="39">
        <v>57.6666666666666</v>
      </c>
      <c r="L30" s="37">
        <v>375000</v>
      </c>
      <c r="M30" s="35" t="s">
        <v>367</v>
      </c>
      <c r="N30" s="27">
        <v>470616</v>
      </c>
      <c r="O30" s="38">
        <v>1.3318271323841699</v>
      </c>
      <c r="P30" s="38">
        <v>103.91499104559099</v>
      </c>
      <c r="Q30" s="38" t="str" cm="1">
        <f t="array" ref="Q30">INDEX('MRT station dataset'!$C$3:$C$179, MATCH(MIN(SQRT(('MRT station dataset'!$E$3:$E$179-'Resale flat dataset (DV)'!O30)^2+('MRT station dataset'!$F$3:$F$179-'Resale flat dataset (DV)'!P30)^2)), SQRT(('MRT station dataset'!$E$3:$E$179-'Resale flat dataset (DV)'!O30)^2+('MRT station dataset'!$F$3:$F$179-'Resale flat dataset (DV)'!P30)^2), 0))</f>
        <v>BEDOK NORTH MRT STATION</v>
      </c>
      <c r="R30" s="38" t="str" cm="1">
        <f t="array" ref="R30">INDEX('Mall Dataset'!$B$3:$B$157, MATCH(MIN(SQRT(('Mall Dataset'!$E$3:$E$157-'Resale flat dataset (DV)'!O30)^2+('Mall Dataset'!$F$3:$F$157-'Resale flat dataset (DV)'!P30)^2)), SQRT(('Mall Dataset'!$E$3:$E$157-'Resale flat dataset (DV)'!O30)^2+('Mall Dataset'!$F$3:$F$157-'Resale flat dataset (DV)'!P30)^2), 0))</f>
        <v>Djitsun Mall Bedok</v>
      </c>
      <c r="S30" s="38" t="str" cm="1">
        <f t="array" ref="S30">INDEX('Schools dataset'!$B$3:$B$187, MATCH(MIN(SQRT(('Schools dataset'!$J$3:$J$187-'Resale flat dataset (DV)'!O30)^2+('Schools dataset'!$K$3:$K$187-'Resale flat dataset (DV)'!P30)^2)), SQRT(('Schools dataset'!$J$3:$J$187-'Resale flat dataset (DV)'!O30)^2+('Schools dataset'!$K$3:$K$187-'Resale flat dataset (DV)'!P30)^2), 0))</f>
        <v>TELOK KURAU PRIMARY SCHOOL</v>
      </c>
      <c r="T30" s="39">
        <f>ACOS(COS(RADIANS(90-O30))*COS(RADIANS(90-_xlfn.XLOOKUP(Q30,'MRT station dataset'!$C$3:$C$179,'MRT station dataset'!$E$3:$E$179)))+SIN(RADIANS(90-O30))*SIN(RADIANS(90-_xlfn.XLOOKUP(Q30,'MRT station dataset'!$C$3:$C$179,'MRT station dataset'!$E$3:$E$179)))*COS(RADIANS(P30-_xlfn.XLOOKUP('Resale flat dataset (DV)'!Q30,'MRT station dataset'!$C$3:$C$179,'MRT station dataset'!$F$3:$F$179))))*6371*1000</f>
        <v>462.52643783234413</v>
      </c>
      <c r="U30" s="39">
        <f>ACOS(COS(RADIANS(90-O30))*COS(RADIANS(90-_xlfn.XLOOKUP(R30,'Mall Dataset'!$B$3:$B$157,'Mall Dataset'!$E$3:$E$157,,0)))+SIN(RADIANS(90-O30))*SIN(RADIANS(90-_xlfn.XLOOKUP(R30,'Mall Dataset'!$B$3:$B$157,'Mall Dataset'!$E$3:$E$157,,0)))*COS(RADIANS(P30-_xlfn.XLOOKUP(R30,'Mall Dataset'!$B$3:$B$157,'Mall Dataset'!$F$3:$F$157,,0))))*6371*1000</f>
        <v>1474.3528892071345</v>
      </c>
      <c r="V30" s="39">
        <f>ACOS(COS(RADIANS(90-O30))*COS(RADIANS(90-_xlfn.XLOOKUP(S30,'Schools dataset'!$B$3:$B$187,'Schools dataset'!$J$3:$J$187,,0)))+SIN(RADIANS(90-O30))*SIN(RADIANS(90-_xlfn.XLOOKUP(S30,'Schools dataset'!$B$3:$B$187,'Schools dataset'!$J$3:$J$187,,0)))*COS(RADIANS(P30-_xlfn.XLOOKUP(S30,'Schools dataset'!$B$3:$B$187,'Schools dataset'!$K$3:$K$187,,0))))*6371*1000</f>
        <v>450.46460767173403</v>
      </c>
      <c r="W30" s="20">
        <f>_xlfn.XLOOKUP(T30,'HDB Recommender'!$P$10:$P$39,'HDB Recommender'!$Q$10:$Q$39,"&gt;30mins",1)</f>
        <v>7</v>
      </c>
      <c r="X30" s="20">
        <f>_xlfn.XLOOKUP(U30,'HDB Recommender'!$P$10:$P$39,'HDB Recommender'!$Q$10:$Q$39,"&gt;30mins",1)</f>
        <v>20</v>
      </c>
      <c r="Y30" s="20">
        <f>_xlfn.XLOOKUP(V30,'HDB Recommender'!$P$10:$P$39,'HDB Recommender'!$Q$10:$Q$39,"&gt;30mins",1)</f>
        <v>7</v>
      </c>
      <c r="Z30" s="39">
        <f t="shared" si="0"/>
        <v>11.333333333333334</v>
      </c>
      <c r="AA30" s="20" t="str">
        <f t="shared" si="1"/>
        <v>Within 1km</v>
      </c>
    </row>
    <row r="31" spans="2:27">
      <c r="B31" s="35" t="s">
        <v>317</v>
      </c>
      <c r="C31" s="35" t="s">
        <v>351</v>
      </c>
      <c r="D31" s="35" t="s">
        <v>318</v>
      </c>
      <c r="E31" s="35">
        <v>712</v>
      </c>
      <c r="F31" s="35" t="s">
        <v>366</v>
      </c>
      <c r="G31" s="35" t="s">
        <v>184</v>
      </c>
      <c r="H31" s="35">
        <v>68</v>
      </c>
      <c r="I31" s="35" t="s">
        <v>320</v>
      </c>
      <c r="J31" s="36">
        <v>1981</v>
      </c>
      <c r="K31" s="39">
        <v>56.8333333333333</v>
      </c>
      <c r="L31" s="37">
        <v>360000</v>
      </c>
      <c r="M31" s="35" t="s">
        <v>368</v>
      </c>
      <c r="N31" s="27">
        <v>470712</v>
      </c>
      <c r="O31" s="38">
        <v>1.3359072918616299</v>
      </c>
      <c r="P31" s="38">
        <v>103.92263404313699</v>
      </c>
      <c r="Q31" s="38" t="str" cm="1">
        <f t="array" ref="Q31">INDEX('MRT station dataset'!$C$3:$C$179, MATCH(MIN(SQRT(('MRT station dataset'!$E$3:$E$179-'Resale flat dataset (DV)'!O31)^2+('MRT station dataset'!$F$3:$F$179-'Resale flat dataset (DV)'!P31)^2)), SQRT(('MRT station dataset'!$E$3:$E$179-'Resale flat dataset (DV)'!O31)^2+('MRT station dataset'!$F$3:$F$179-'Resale flat dataset (DV)'!P31)^2), 0))</f>
        <v>BEDOK NORTH MRT STATION</v>
      </c>
      <c r="R31" s="38" t="str" cm="1">
        <f t="array" ref="R31">INDEX('Mall Dataset'!$B$3:$B$157, MATCH(MIN(SQRT(('Mall Dataset'!$E$3:$E$157-'Resale flat dataset (DV)'!O31)^2+('Mall Dataset'!$F$3:$F$157-'Resale flat dataset (DV)'!P31)^2)), SQRT(('Mall Dataset'!$E$3:$E$157-'Resale flat dataset (DV)'!O31)^2+('Mall Dataset'!$F$3:$F$157-'Resale flat dataset (DV)'!P31)^2), 0))</f>
        <v>Djitsun Mall Bedok</v>
      </c>
      <c r="S31" s="38" t="str" cm="1">
        <f t="array" ref="S31">INDEX('Schools dataset'!$B$3:$B$187, MATCH(MIN(SQRT(('Schools dataset'!$J$3:$J$187-'Resale flat dataset (DV)'!O31)^2+('Schools dataset'!$K$3:$K$187-'Resale flat dataset (DV)'!P31)^2)), SQRT(('Schools dataset'!$J$3:$J$187-'Resale flat dataset (DV)'!O31)^2+('Schools dataset'!$K$3:$K$187-'Resale flat dataset (DV)'!P31)^2), 0))</f>
        <v>DAMAI PRIMARY SCHOOL</v>
      </c>
      <c r="T31" s="39">
        <f>ACOS(COS(RADIANS(90-O31))*COS(RADIANS(90-_xlfn.XLOOKUP(Q31,'MRT station dataset'!$C$3:$C$179,'MRT station dataset'!$E$3:$E$179)))+SIN(RADIANS(90-O31))*SIN(RADIANS(90-_xlfn.XLOOKUP(Q31,'MRT station dataset'!$C$3:$C$179,'MRT station dataset'!$E$3:$E$179)))*COS(RADIANS(P31-_xlfn.XLOOKUP('Resale flat dataset (DV)'!Q31,'MRT station dataset'!$C$3:$C$179,'MRT station dataset'!$F$3:$F$179))))*6371*1000</f>
        <v>532.34677787048224</v>
      </c>
      <c r="U31" s="39">
        <f>ACOS(COS(RADIANS(90-O31))*COS(RADIANS(90-_xlfn.XLOOKUP(R31,'Mall Dataset'!$B$3:$B$157,'Mall Dataset'!$E$3:$E$157,,0)))+SIN(RADIANS(90-O31))*SIN(RADIANS(90-_xlfn.XLOOKUP(R31,'Mall Dataset'!$B$3:$B$157,'Mall Dataset'!$E$3:$E$157,,0)))*COS(RADIANS(P31-_xlfn.XLOOKUP(R31,'Mall Dataset'!$B$3:$B$157,'Mall Dataset'!$F$3:$F$157,,0))))*6371*1000</f>
        <v>1189.3295946149499</v>
      </c>
      <c r="V31" s="39">
        <f>ACOS(COS(RADIANS(90-O31))*COS(RADIANS(90-_xlfn.XLOOKUP(S31,'Schools dataset'!$B$3:$B$187,'Schools dataset'!$J$3:$J$187,,0)))+SIN(RADIANS(90-O31))*SIN(RADIANS(90-_xlfn.XLOOKUP(S31,'Schools dataset'!$B$3:$B$187,'Schools dataset'!$J$3:$J$187,,0)))*COS(RADIANS(P31-_xlfn.XLOOKUP(S31,'Schools dataset'!$B$3:$B$187,'Schools dataset'!$K$3:$K$187,,0))))*6371*1000</f>
        <v>166.87875630331916</v>
      </c>
      <c r="W31" s="20">
        <f>_xlfn.XLOOKUP(T31,'HDB Recommender'!$P$10:$P$39,'HDB Recommender'!$Q$10:$Q$39,"&gt;30mins",1)</f>
        <v>8</v>
      </c>
      <c r="X31" s="20">
        <f>_xlfn.XLOOKUP(U31,'HDB Recommender'!$P$10:$P$39,'HDB Recommender'!$Q$10:$Q$39,"&gt;30mins",1)</f>
        <v>16</v>
      </c>
      <c r="Y31" s="20">
        <f>_xlfn.XLOOKUP(V31,'HDB Recommender'!$P$10:$P$39,'HDB Recommender'!$Q$10:$Q$39,"&gt;30mins",1)</f>
        <v>3</v>
      </c>
      <c r="Z31" s="39">
        <f t="shared" si="0"/>
        <v>9</v>
      </c>
      <c r="AA31" s="20" t="str">
        <f t="shared" si="1"/>
        <v>Within 1km</v>
      </c>
    </row>
    <row r="32" spans="2:27">
      <c r="B32" s="35" t="s">
        <v>317</v>
      </c>
      <c r="C32" s="35" t="s">
        <v>351</v>
      </c>
      <c r="D32" s="35" t="s">
        <v>318</v>
      </c>
      <c r="E32" s="35">
        <v>151</v>
      </c>
      <c r="F32" s="35" t="s">
        <v>366</v>
      </c>
      <c r="G32" s="35" t="s">
        <v>189</v>
      </c>
      <c r="H32" s="35">
        <v>63</v>
      </c>
      <c r="I32" s="35" t="s">
        <v>369</v>
      </c>
      <c r="J32" s="36">
        <v>1988</v>
      </c>
      <c r="K32" s="39">
        <v>64.0833333333333</v>
      </c>
      <c r="L32" s="37">
        <v>370000</v>
      </c>
      <c r="M32" s="35" t="s">
        <v>370</v>
      </c>
      <c r="N32" s="27">
        <v>470151</v>
      </c>
      <c r="O32" s="38">
        <v>1.3355761945470199</v>
      </c>
      <c r="P32" s="38">
        <v>103.91154577969201</v>
      </c>
      <c r="Q32" s="38" t="str" cm="1">
        <f t="array" ref="Q32">INDEX('MRT station dataset'!$C$3:$C$179, MATCH(MIN(SQRT(('MRT station dataset'!$E$3:$E$179-'Resale flat dataset (DV)'!O32)^2+('MRT station dataset'!$F$3:$F$179-'Resale flat dataset (DV)'!P32)^2)), SQRT(('MRT station dataset'!$E$3:$E$179-'Resale flat dataset (DV)'!O32)^2+('MRT station dataset'!$F$3:$F$179-'Resale flat dataset (DV)'!P32)^2), 0))</f>
        <v>KAKI BUKIT MRT STATION</v>
      </c>
      <c r="R32" s="38" t="str" cm="1">
        <f t="array" ref="R32">INDEX('Mall Dataset'!$B$3:$B$157, MATCH(MIN(SQRT(('Mall Dataset'!$E$3:$E$157-'Resale flat dataset (DV)'!O32)^2+('Mall Dataset'!$F$3:$F$157-'Resale flat dataset (DV)'!P32)^2)), SQRT(('Mall Dataset'!$E$3:$E$157-'Resale flat dataset (DV)'!O32)^2+('Mall Dataset'!$F$3:$F$157-'Resale flat dataset (DV)'!P32)^2), 0))</f>
        <v>Djitsun Mall Bedok</v>
      </c>
      <c r="S32" s="38" t="str" cm="1">
        <f t="array" ref="S32">INDEX('Schools dataset'!$B$3:$B$187, MATCH(MIN(SQRT(('Schools dataset'!$J$3:$J$187-'Resale flat dataset (DV)'!O32)^2+('Schools dataset'!$K$3:$K$187-'Resale flat dataset (DV)'!P32)^2)), SQRT(('Schools dataset'!$J$3:$J$187-'Resale flat dataset (DV)'!O32)^2+('Schools dataset'!$K$3:$K$187-'Resale flat dataset (DV)'!P32)^2), 0))</f>
        <v>TELOK KURAU PRIMARY SCHOOL</v>
      </c>
      <c r="T32" s="39">
        <f>ACOS(COS(RADIANS(90-O32))*COS(RADIANS(90-_xlfn.XLOOKUP(Q32,'MRT station dataset'!$C$3:$C$179,'MRT station dataset'!$E$3:$E$179)))+SIN(RADIANS(90-O32))*SIN(RADIANS(90-_xlfn.XLOOKUP(Q32,'MRT station dataset'!$C$3:$C$179,'MRT station dataset'!$E$3:$E$179)))*COS(RADIANS(P32-_xlfn.XLOOKUP('Resale flat dataset (DV)'!Q32,'MRT station dataset'!$C$3:$C$179,'MRT station dataset'!$F$3:$F$179))))*6371*1000</f>
        <v>344.59192011200668</v>
      </c>
      <c r="U32" s="39">
        <f>ACOS(COS(RADIANS(90-O32))*COS(RADIANS(90-_xlfn.XLOOKUP(R32,'Mall Dataset'!$B$3:$B$157,'Mall Dataset'!$E$3:$E$157,,0)))+SIN(RADIANS(90-O32))*SIN(RADIANS(90-_xlfn.XLOOKUP(R32,'Mall Dataset'!$B$3:$B$157,'Mall Dataset'!$E$3:$E$157,,0)))*COS(RADIANS(P32-_xlfn.XLOOKUP(R32,'Mall Dataset'!$B$3:$B$157,'Mall Dataset'!$F$3:$F$157,,0))))*6371*1000</f>
        <v>2010.5394797023405</v>
      </c>
      <c r="V32" s="39">
        <f>ACOS(COS(RADIANS(90-O32))*COS(RADIANS(90-_xlfn.XLOOKUP(S32,'Schools dataset'!$B$3:$B$187,'Schools dataset'!$J$3:$J$187,,0)))+SIN(RADIANS(90-O32))*SIN(RADIANS(90-_xlfn.XLOOKUP(S32,'Schools dataset'!$B$3:$B$187,'Schools dataset'!$J$3:$J$187,,0)))*COS(RADIANS(P32-_xlfn.XLOOKUP(S32,'Schools dataset'!$B$3:$B$187,'Schools dataset'!$K$3:$K$187,,0))))*6371*1000</f>
        <v>501.77218109733724</v>
      </c>
      <c r="W32" s="20">
        <f>_xlfn.XLOOKUP(T32,'HDB Recommender'!$P$10:$P$39,'HDB Recommender'!$Q$10:$Q$39,"&gt;30mins",1)</f>
        <v>5</v>
      </c>
      <c r="X32" s="20">
        <f>_xlfn.XLOOKUP(U32,'HDB Recommender'!$P$10:$P$39,'HDB Recommender'!$Q$10:$Q$39,"&gt;30mins",1)</f>
        <v>27</v>
      </c>
      <c r="Y32" s="20">
        <f>_xlfn.XLOOKUP(V32,'HDB Recommender'!$P$10:$P$39,'HDB Recommender'!$Q$10:$Q$39,"&gt;30mins",1)</f>
        <v>7</v>
      </c>
      <c r="Z32" s="39">
        <f t="shared" si="0"/>
        <v>13</v>
      </c>
      <c r="AA32" s="20" t="str">
        <f t="shared" si="1"/>
        <v>Within 1km</v>
      </c>
    </row>
    <row r="33" spans="2:27">
      <c r="B33" s="35" t="s">
        <v>317</v>
      </c>
      <c r="C33" s="35" t="s">
        <v>351</v>
      </c>
      <c r="D33" s="35" t="s">
        <v>318</v>
      </c>
      <c r="E33" s="35">
        <v>20</v>
      </c>
      <c r="F33" s="35" t="s">
        <v>371</v>
      </c>
      <c r="G33" s="35" t="s">
        <v>349</v>
      </c>
      <c r="H33" s="35">
        <v>65</v>
      </c>
      <c r="I33" s="35" t="s">
        <v>326</v>
      </c>
      <c r="J33" s="36">
        <v>1972</v>
      </c>
      <c r="K33" s="39">
        <v>47.9166666666666</v>
      </c>
      <c r="L33" s="37">
        <v>330000</v>
      </c>
      <c r="M33" s="35" t="s">
        <v>372</v>
      </c>
      <c r="N33" s="27">
        <v>461020</v>
      </c>
      <c r="O33" s="38">
        <v>1.3262727124323299</v>
      </c>
      <c r="P33" s="38">
        <v>103.922885287154</v>
      </c>
      <c r="Q33" s="38" t="str" cm="1">
        <f t="array" ref="Q33">INDEX('MRT station dataset'!$C$3:$C$179, MATCH(MIN(SQRT(('MRT station dataset'!$E$3:$E$179-'Resale flat dataset (DV)'!O33)^2+('MRT station dataset'!$F$3:$F$179-'Resale flat dataset (DV)'!P33)^2)), SQRT(('MRT station dataset'!$E$3:$E$179-'Resale flat dataset (DV)'!O33)^2+('MRT station dataset'!$F$3:$F$179-'Resale flat dataset (DV)'!P33)^2), 0))</f>
        <v>BEDOK MRT STATION</v>
      </c>
      <c r="R33" s="38" t="str" cm="1">
        <f t="array" ref="R33">INDEX('Mall Dataset'!$B$3:$B$157, MATCH(MIN(SQRT(('Mall Dataset'!$E$3:$E$157-'Resale flat dataset (DV)'!O33)^2+('Mall Dataset'!$F$3:$F$157-'Resale flat dataset (DV)'!P33)^2)), SQRT(('Mall Dataset'!$E$3:$E$157-'Resale flat dataset (DV)'!O33)^2+('Mall Dataset'!$F$3:$F$157-'Resale flat dataset (DV)'!P33)^2), 0))</f>
        <v>Djitsun Mall Bedok</v>
      </c>
      <c r="S33" s="38" t="str" cm="1">
        <f t="array" ref="S33">INDEX('Schools dataset'!$B$3:$B$187, MATCH(MIN(SQRT(('Schools dataset'!$J$3:$J$187-'Resale flat dataset (DV)'!O33)^2+('Schools dataset'!$K$3:$K$187-'Resale flat dataset (DV)'!P33)^2)), SQRT(('Schools dataset'!$J$3:$J$187-'Resale flat dataset (DV)'!O33)^2+('Schools dataset'!$K$3:$K$187-'Resale flat dataset (DV)'!P33)^2), 0))</f>
        <v>OPERA ESTATE PRIMARY SCHOOL</v>
      </c>
      <c r="T33" s="39">
        <f>ACOS(COS(RADIANS(90-O33))*COS(RADIANS(90-_xlfn.XLOOKUP(Q33,'MRT station dataset'!$C$3:$C$179,'MRT station dataset'!$E$3:$E$179)))+SIN(RADIANS(90-O33))*SIN(RADIANS(90-_xlfn.XLOOKUP(Q33,'MRT station dataset'!$C$3:$C$179,'MRT station dataset'!$E$3:$E$179)))*COS(RADIANS(P33-_xlfn.XLOOKUP('Resale flat dataset (DV)'!Q33,'MRT station dataset'!$C$3:$C$179,'MRT station dataset'!$F$3:$F$179))))*6371*1000</f>
        <v>830.30145176225028</v>
      </c>
      <c r="U33" s="39">
        <f>ACOS(COS(RADIANS(90-O33))*COS(RADIANS(90-_xlfn.XLOOKUP(R33,'Mall Dataset'!$B$3:$B$157,'Mall Dataset'!$E$3:$E$157,,0)))+SIN(RADIANS(90-O33))*SIN(RADIANS(90-_xlfn.XLOOKUP(R33,'Mall Dataset'!$B$3:$B$157,'Mall Dataset'!$E$3:$E$157,,0)))*COS(RADIANS(P33-_xlfn.XLOOKUP(R33,'Mall Dataset'!$B$3:$B$157,'Mall Dataset'!$F$3:$F$157,,0))))*6371*1000</f>
        <v>453.89887417019457</v>
      </c>
      <c r="V33" s="39">
        <f>ACOS(COS(RADIANS(90-O33))*COS(RADIANS(90-_xlfn.XLOOKUP(S33,'Schools dataset'!$B$3:$B$187,'Schools dataset'!$J$3:$J$187,,0)))+SIN(RADIANS(90-O33))*SIN(RADIANS(90-_xlfn.XLOOKUP(S33,'Schools dataset'!$B$3:$B$187,'Schools dataset'!$J$3:$J$187,,0)))*COS(RADIANS(P33-_xlfn.XLOOKUP(S33,'Schools dataset'!$B$3:$B$187,'Schools dataset'!$K$3:$K$187,,0))))*6371*1000</f>
        <v>707.56781936110679</v>
      </c>
      <c r="W33" s="20">
        <f>_xlfn.XLOOKUP(T33,'HDB Recommender'!$P$10:$P$39,'HDB Recommender'!$Q$10:$Q$39,"&gt;30mins",1)</f>
        <v>12</v>
      </c>
      <c r="X33" s="20">
        <f>_xlfn.XLOOKUP(U33,'HDB Recommender'!$P$10:$P$39,'HDB Recommender'!$Q$10:$Q$39,"&gt;30mins",1)</f>
        <v>7</v>
      </c>
      <c r="Y33" s="20">
        <f>_xlfn.XLOOKUP(V33,'HDB Recommender'!$P$10:$P$39,'HDB Recommender'!$Q$10:$Q$39,"&gt;30mins",1)</f>
        <v>10</v>
      </c>
      <c r="Z33" s="39">
        <f t="shared" si="0"/>
        <v>9.6666666666666661</v>
      </c>
      <c r="AA33" s="20" t="str">
        <f t="shared" si="1"/>
        <v>Within 1km</v>
      </c>
    </row>
    <row r="34" spans="2:27">
      <c r="B34" s="35" t="s">
        <v>317</v>
      </c>
      <c r="C34" s="35" t="s">
        <v>351</v>
      </c>
      <c r="D34" s="35" t="s">
        <v>20</v>
      </c>
      <c r="E34" s="35">
        <v>507</v>
      </c>
      <c r="F34" s="35" t="s">
        <v>373</v>
      </c>
      <c r="G34" s="35" t="s">
        <v>349</v>
      </c>
      <c r="H34" s="35">
        <v>92</v>
      </c>
      <c r="I34" s="35" t="s">
        <v>320</v>
      </c>
      <c r="J34" s="36">
        <v>1978</v>
      </c>
      <c r="K34" s="39">
        <v>54.1666666666666</v>
      </c>
      <c r="L34" s="37">
        <v>435000</v>
      </c>
      <c r="M34" s="35" t="s">
        <v>374</v>
      </c>
      <c r="N34" s="27">
        <v>460507</v>
      </c>
      <c r="O34" s="38">
        <v>1.33298071677208</v>
      </c>
      <c r="P34" s="38">
        <v>103.93259903289</v>
      </c>
      <c r="Q34" s="38" t="str" cm="1">
        <f t="array" ref="Q34">INDEX('MRT station dataset'!$C$3:$C$179, MATCH(MIN(SQRT(('MRT station dataset'!$E$3:$E$179-'Resale flat dataset (DV)'!O34)^2+('MRT station dataset'!$F$3:$F$179-'Resale flat dataset (DV)'!P34)^2)), SQRT(('MRT station dataset'!$E$3:$E$179-'Resale flat dataset (DV)'!O34)^2+('MRT station dataset'!$F$3:$F$179-'Resale flat dataset (DV)'!P34)^2), 0))</f>
        <v>BEDOK RESERVOIR MRT STATION</v>
      </c>
      <c r="R34" s="38" t="str" cm="1">
        <f t="array" ref="R34">INDEX('Mall Dataset'!$B$3:$B$157, MATCH(MIN(SQRT(('Mall Dataset'!$E$3:$E$157-'Resale flat dataset (DV)'!O34)^2+('Mall Dataset'!$F$3:$F$157-'Resale flat dataset (DV)'!P34)^2)), SQRT(('Mall Dataset'!$E$3:$E$157-'Resale flat dataset (DV)'!O34)^2+('Mall Dataset'!$F$3:$F$157-'Resale flat dataset (DV)'!P34)^2), 0))</f>
        <v>Djitsun Mall Bedok</v>
      </c>
      <c r="S34" s="38" t="str" cm="1">
        <f t="array" ref="S34">INDEX('Schools dataset'!$B$3:$B$187, MATCH(MIN(SQRT(('Schools dataset'!$J$3:$J$187-'Resale flat dataset (DV)'!O34)^2+('Schools dataset'!$K$3:$K$187-'Resale flat dataset (DV)'!P34)^2)), SQRT(('Schools dataset'!$J$3:$J$187-'Resale flat dataset (DV)'!O34)^2+('Schools dataset'!$K$3:$K$187-'Resale flat dataset (DV)'!P34)^2), 0))</f>
        <v>YU NENG PRIMARY SCHOOL</v>
      </c>
      <c r="T34" s="39">
        <f>ACOS(COS(RADIANS(90-O34))*COS(RADIANS(90-_xlfn.XLOOKUP(Q34,'MRT station dataset'!$C$3:$C$179,'MRT station dataset'!$E$3:$E$179)))+SIN(RADIANS(90-O34))*SIN(RADIANS(90-_xlfn.XLOOKUP(Q34,'MRT station dataset'!$C$3:$C$179,'MRT station dataset'!$E$3:$E$179)))*COS(RADIANS(P34-_xlfn.XLOOKUP('Resale flat dataset (DV)'!Q34,'MRT station dataset'!$C$3:$C$179,'MRT station dataset'!$F$3:$F$179))))*6371*1000</f>
        <v>404.88318593387152</v>
      </c>
      <c r="U34" s="39">
        <f>ACOS(COS(RADIANS(90-O34))*COS(RADIANS(90-_xlfn.XLOOKUP(R34,'Mall Dataset'!$B$3:$B$157,'Mall Dataset'!$E$3:$E$157,,0)))+SIN(RADIANS(90-O34))*SIN(RADIANS(90-_xlfn.XLOOKUP(R34,'Mall Dataset'!$B$3:$B$157,'Mall Dataset'!$E$3:$E$157,,0)))*COS(RADIANS(P34-_xlfn.XLOOKUP(R34,'Mall Dataset'!$B$3:$B$157,'Mall Dataset'!$F$3:$F$157,,0))))*6371*1000</f>
        <v>986.35321321846561</v>
      </c>
      <c r="V34" s="39">
        <f>ACOS(COS(RADIANS(90-O34))*COS(RADIANS(90-_xlfn.XLOOKUP(S34,'Schools dataset'!$B$3:$B$187,'Schools dataset'!$J$3:$J$187,,0)))+SIN(RADIANS(90-O34))*SIN(RADIANS(90-_xlfn.XLOOKUP(S34,'Schools dataset'!$B$3:$B$187,'Schools dataset'!$J$3:$J$187,,0)))*COS(RADIANS(P34-_xlfn.XLOOKUP(S34,'Schools dataset'!$B$3:$B$187,'Schools dataset'!$K$3:$K$187,,0))))*6371*1000</f>
        <v>112.94328352964311</v>
      </c>
      <c r="W34" s="20">
        <f>_xlfn.XLOOKUP(T34,'HDB Recommender'!$P$10:$P$39,'HDB Recommender'!$Q$10:$Q$39,"&gt;30mins",1)</f>
        <v>6</v>
      </c>
      <c r="X34" s="20">
        <f>_xlfn.XLOOKUP(U34,'HDB Recommender'!$P$10:$P$39,'HDB Recommender'!$Q$10:$Q$39,"&gt;30mins",1)</f>
        <v>14</v>
      </c>
      <c r="Y34" s="20">
        <f>_xlfn.XLOOKUP(V34,'HDB Recommender'!$P$10:$P$39,'HDB Recommender'!$Q$10:$Q$39,"&gt;30mins",1)</f>
        <v>2</v>
      </c>
      <c r="Z34" s="39">
        <f t="shared" si="0"/>
        <v>7.333333333333333</v>
      </c>
      <c r="AA34" s="20" t="str">
        <f t="shared" si="1"/>
        <v>Within 1km</v>
      </c>
    </row>
    <row r="35" spans="2:27">
      <c r="B35" s="35" t="s">
        <v>317</v>
      </c>
      <c r="C35" s="35" t="s">
        <v>351</v>
      </c>
      <c r="D35" s="35" t="s">
        <v>20</v>
      </c>
      <c r="E35" s="35">
        <v>107</v>
      </c>
      <c r="F35" s="35" t="s">
        <v>352</v>
      </c>
      <c r="G35" s="35" t="s">
        <v>349</v>
      </c>
      <c r="H35" s="35">
        <v>91</v>
      </c>
      <c r="I35" s="35" t="s">
        <v>320</v>
      </c>
      <c r="J35" s="36">
        <v>1977</v>
      </c>
      <c r="K35" s="39">
        <v>52.8333333333333</v>
      </c>
      <c r="L35" s="37">
        <v>468000</v>
      </c>
      <c r="M35" s="35" t="s">
        <v>375</v>
      </c>
      <c r="N35" s="27">
        <v>460107</v>
      </c>
      <c r="O35" s="38">
        <v>1.3323174074578299</v>
      </c>
      <c r="P35" s="38">
        <v>103.936301267285</v>
      </c>
      <c r="Q35" s="38" t="str" cm="1">
        <f t="array" ref="Q35">INDEX('MRT station dataset'!$C$3:$C$179, MATCH(MIN(SQRT(('MRT station dataset'!$E$3:$E$179-'Resale flat dataset (DV)'!O35)^2+('MRT station dataset'!$F$3:$F$179-'Resale flat dataset (DV)'!P35)^2)), SQRT(('MRT station dataset'!$E$3:$E$179-'Resale flat dataset (DV)'!O35)^2+('MRT station dataset'!$F$3:$F$179-'Resale flat dataset (DV)'!P35)^2), 0))</f>
        <v>BEDOK RESERVOIR MRT STATION</v>
      </c>
      <c r="R35" s="38" t="str" cm="1">
        <f t="array" ref="R35">INDEX('Mall Dataset'!$B$3:$B$157, MATCH(MIN(SQRT(('Mall Dataset'!$E$3:$E$157-'Resale flat dataset (DV)'!O35)^2+('Mall Dataset'!$F$3:$F$157-'Resale flat dataset (DV)'!P35)^2)), SQRT(('Mall Dataset'!$E$3:$E$157-'Resale flat dataset (DV)'!O35)^2+('Mall Dataset'!$F$3:$F$157-'Resale flat dataset (DV)'!P35)^2), 0))</f>
        <v>Djitsun Mall Bedok</v>
      </c>
      <c r="S35" s="38" t="str" cm="1">
        <f t="array" ref="S35">INDEX('Schools dataset'!$B$3:$B$187, MATCH(MIN(SQRT(('Schools dataset'!$J$3:$J$187-'Resale flat dataset (DV)'!O35)^2+('Schools dataset'!$K$3:$K$187-'Resale flat dataset (DV)'!P35)^2)), SQRT(('Schools dataset'!$J$3:$J$187-'Resale flat dataset (DV)'!O35)^2+('Schools dataset'!$K$3:$K$187-'Resale flat dataset (DV)'!P35)^2), 0))</f>
        <v>RED SWASTIKA SCHOOL</v>
      </c>
      <c r="T35" s="39">
        <f>ACOS(COS(RADIANS(90-O35))*COS(RADIANS(90-_xlfn.XLOOKUP(Q35,'MRT station dataset'!$C$3:$C$179,'MRT station dataset'!$E$3:$E$179)))+SIN(RADIANS(90-O35))*SIN(RADIANS(90-_xlfn.XLOOKUP(Q35,'MRT station dataset'!$C$3:$C$179,'MRT station dataset'!$E$3:$E$179)))*COS(RADIANS(P35-_xlfn.XLOOKUP('Resale flat dataset (DV)'!Q35,'MRT station dataset'!$C$3:$C$179,'MRT station dataset'!$F$3:$F$179))))*6371*1000</f>
        <v>659.26373219010804</v>
      </c>
      <c r="U35" s="39">
        <f>ACOS(COS(RADIANS(90-O35))*COS(RADIANS(90-_xlfn.XLOOKUP(R35,'Mall Dataset'!$B$3:$B$157,'Mall Dataset'!$E$3:$E$157,,0)))+SIN(RADIANS(90-O35))*SIN(RADIANS(90-_xlfn.XLOOKUP(R35,'Mall Dataset'!$B$3:$B$157,'Mall Dataset'!$E$3:$E$157,,0)))*COS(RADIANS(P35-_xlfn.XLOOKUP(R35,'Mall Dataset'!$B$3:$B$157,'Mall Dataset'!$F$3:$F$157,,0))))*6371*1000</f>
        <v>1245.2912566992713</v>
      </c>
      <c r="V35" s="39">
        <f>ACOS(COS(RADIANS(90-O35))*COS(RADIANS(90-_xlfn.XLOOKUP(S35,'Schools dataset'!$B$3:$B$187,'Schools dataset'!$J$3:$J$187,,0)))+SIN(RADIANS(90-O35))*SIN(RADIANS(90-_xlfn.XLOOKUP(S35,'Schools dataset'!$B$3:$B$187,'Schools dataset'!$J$3:$J$187,,0)))*COS(RADIANS(P35-_xlfn.XLOOKUP(S35,'Schools dataset'!$B$3:$B$187,'Schools dataset'!$K$3:$K$187,,0))))*6371*1000</f>
        <v>293.30737747276925</v>
      </c>
      <c r="W35" s="20">
        <f>_xlfn.XLOOKUP(T35,'HDB Recommender'!$P$10:$P$39,'HDB Recommender'!$Q$10:$Q$39,"&gt;30mins",1)</f>
        <v>9</v>
      </c>
      <c r="X35" s="20">
        <f>_xlfn.XLOOKUP(U35,'HDB Recommender'!$P$10:$P$39,'HDB Recommender'!$Q$10:$Q$39,"&gt;30mins",1)</f>
        <v>17</v>
      </c>
      <c r="Y35" s="20">
        <f>_xlfn.XLOOKUP(V35,'HDB Recommender'!$P$10:$P$39,'HDB Recommender'!$Q$10:$Q$39,"&gt;30mins",1)</f>
        <v>4</v>
      </c>
      <c r="Z35" s="39">
        <f t="shared" si="0"/>
        <v>10</v>
      </c>
      <c r="AA35" s="20" t="str">
        <f t="shared" si="1"/>
        <v>Within 1km</v>
      </c>
    </row>
    <row r="36" spans="2:27">
      <c r="B36" s="35" t="s">
        <v>317</v>
      </c>
      <c r="C36" s="35" t="s">
        <v>351</v>
      </c>
      <c r="D36" s="35" t="s">
        <v>20</v>
      </c>
      <c r="E36" s="35"/>
      <c r="F36" s="35" t="s">
        <v>376</v>
      </c>
      <c r="G36" s="35" t="s">
        <v>189</v>
      </c>
      <c r="H36" s="35">
        <v>93</v>
      </c>
      <c r="I36" s="35" t="s">
        <v>335</v>
      </c>
      <c r="J36" s="36">
        <v>2018</v>
      </c>
      <c r="K36" s="39">
        <v>94.3333333333333</v>
      </c>
      <c r="L36" s="37">
        <v>740000</v>
      </c>
      <c r="M36" s="35" t="s">
        <v>377</v>
      </c>
      <c r="N36" s="27">
        <v>462186</v>
      </c>
      <c r="O36" s="38">
        <v>1.33003736213542</v>
      </c>
      <c r="P36" s="38">
        <v>103.940842245677</v>
      </c>
      <c r="Q36" s="38" t="str" cm="1">
        <f t="array" ref="Q36">INDEX('MRT station dataset'!$C$3:$C$179, MATCH(MIN(SQRT(('MRT station dataset'!$E$3:$E$179-'Resale flat dataset (DV)'!O36)^2+('MRT station dataset'!$F$3:$F$179-'Resale flat dataset (DV)'!P36)^2)), SQRT(('MRT station dataset'!$E$3:$E$179-'Resale flat dataset (DV)'!O36)^2+('MRT station dataset'!$F$3:$F$179-'Resale flat dataset (DV)'!P36)^2), 0))</f>
        <v>TANAH MERAH MRT STATION</v>
      </c>
      <c r="R36" s="38" t="str" cm="1">
        <f t="array" ref="R36">INDEX('Mall Dataset'!$B$3:$B$157, MATCH(MIN(SQRT(('Mall Dataset'!$E$3:$E$157-'Resale flat dataset (DV)'!O36)^2+('Mall Dataset'!$F$3:$F$157-'Resale flat dataset (DV)'!P36)^2)), SQRT(('Mall Dataset'!$E$3:$E$157-'Resale flat dataset (DV)'!O36)^2+('Mall Dataset'!$F$3:$F$157-'Resale flat dataset (DV)'!P36)^2), 0))</f>
        <v>Djitsun Mall Bedok</v>
      </c>
      <c r="S36" s="38" t="str" cm="1">
        <f t="array" ref="S36">INDEX('Schools dataset'!$B$3:$B$187, MATCH(MIN(SQRT(('Schools dataset'!$J$3:$J$187-'Resale flat dataset (DV)'!O36)^2+('Schools dataset'!$K$3:$K$187-'Resale flat dataset (DV)'!P36)^2)), SQRT(('Schools dataset'!$J$3:$J$187-'Resale flat dataset (DV)'!O36)^2+('Schools dataset'!$K$3:$K$187-'Resale flat dataset (DV)'!P36)^2), 0))</f>
        <v>ST. ANTHONY'S CANOSSIAN PRIMARY SCHOOL</v>
      </c>
      <c r="T36" s="39">
        <f>ACOS(COS(RADIANS(90-O36))*COS(RADIANS(90-_xlfn.XLOOKUP(Q36,'MRT station dataset'!$C$3:$C$179,'MRT station dataset'!$E$3:$E$179)))+SIN(RADIANS(90-O36))*SIN(RADIANS(90-_xlfn.XLOOKUP(Q36,'MRT station dataset'!$C$3:$C$179,'MRT station dataset'!$E$3:$E$179)))*COS(RADIANS(P36-_xlfn.XLOOKUP('Resale flat dataset (DV)'!Q36,'MRT station dataset'!$C$3:$C$179,'MRT station dataset'!$F$3:$F$179))))*6371*1000</f>
        <v>683.84149553725319</v>
      </c>
      <c r="U36" s="39">
        <f>ACOS(COS(RADIANS(90-O36))*COS(RADIANS(90-_xlfn.XLOOKUP(R36,'Mall Dataset'!$B$3:$B$157,'Mall Dataset'!$E$3:$E$157,,0)))+SIN(RADIANS(90-O36))*SIN(RADIANS(90-_xlfn.XLOOKUP(R36,'Mall Dataset'!$B$3:$B$157,'Mall Dataset'!$E$3:$E$157,,0)))*COS(RADIANS(P36-_xlfn.XLOOKUP(R36,'Mall Dataset'!$B$3:$B$157,'Mall Dataset'!$F$3:$F$157,,0))))*6371*1000</f>
        <v>1602.6768694230975</v>
      </c>
      <c r="V36" s="39">
        <f>ACOS(COS(RADIANS(90-O36))*COS(RADIANS(90-_xlfn.XLOOKUP(S36,'Schools dataset'!$B$3:$B$187,'Schools dataset'!$J$3:$J$187,,0)))+SIN(RADIANS(90-O36))*SIN(RADIANS(90-_xlfn.XLOOKUP(S36,'Schools dataset'!$B$3:$B$187,'Schools dataset'!$J$3:$J$187,,0)))*COS(RADIANS(P36-_xlfn.XLOOKUP(S36,'Schools dataset'!$B$3:$B$187,'Schools dataset'!$K$3:$K$187,,0))))*6371*1000</f>
        <v>571.83672121362861</v>
      </c>
      <c r="W36" s="20">
        <f>_xlfn.XLOOKUP(T36,'HDB Recommender'!$P$10:$P$39,'HDB Recommender'!$Q$10:$Q$39,"&gt;30mins",1)</f>
        <v>10</v>
      </c>
      <c r="X36" s="20">
        <f>_xlfn.XLOOKUP(U36,'HDB Recommender'!$P$10:$P$39,'HDB Recommender'!$Q$10:$Q$39,"&gt;30mins",1)</f>
        <v>22</v>
      </c>
      <c r="Y36" s="20">
        <f>_xlfn.XLOOKUP(V36,'HDB Recommender'!$P$10:$P$39,'HDB Recommender'!$Q$10:$Q$39,"&gt;30mins",1)</f>
        <v>8</v>
      </c>
      <c r="Z36" s="39">
        <f t="shared" si="0"/>
        <v>13.333333333333334</v>
      </c>
      <c r="AA36" s="20" t="str">
        <f t="shared" si="1"/>
        <v>Within 1km</v>
      </c>
    </row>
    <row r="37" spans="2:27">
      <c r="B37" s="35" t="s">
        <v>317</v>
      </c>
      <c r="C37" s="35" t="s">
        <v>351</v>
      </c>
      <c r="D37" s="35" t="s">
        <v>20</v>
      </c>
      <c r="E37" s="35">
        <v>122</v>
      </c>
      <c r="F37" s="35" t="s">
        <v>366</v>
      </c>
      <c r="G37" s="35" t="s">
        <v>189</v>
      </c>
      <c r="H37" s="35">
        <v>103</v>
      </c>
      <c r="I37" s="35" t="s">
        <v>335</v>
      </c>
      <c r="J37" s="36">
        <v>1987</v>
      </c>
      <c r="K37" s="39">
        <v>62.75</v>
      </c>
      <c r="L37" s="37">
        <v>565000</v>
      </c>
      <c r="M37" s="35" t="s">
        <v>378</v>
      </c>
      <c r="N37" s="27">
        <v>470122</v>
      </c>
      <c r="O37" s="38">
        <v>1.3319788590372501</v>
      </c>
      <c r="P37" s="38">
        <v>103.910623676887</v>
      </c>
      <c r="Q37" s="38" t="str" cm="1">
        <f t="array" ref="Q37">INDEX('MRT station dataset'!$C$3:$C$179, MATCH(MIN(SQRT(('MRT station dataset'!$E$3:$E$179-'Resale flat dataset (DV)'!O37)^2+('MRT station dataset'!$F$3:$F$179-'Resale flat dataset (DV)'!P37)^2)), SQRT(('MRT station dataset'!$E$3:$E$179-'Resale flat dataset (DV)'!O37)^2+('MRT station dataset'!$F$3:$F$179-'Resale flat dataset (DV)'!P37)^2), 0))</f>
        <v>KAKI BUKIT MRT STATION</v>
      </c>
      <c r="R37" s="38" t="str" cm="1">
        <f t="array" ref="R37">INDEX('Mall Dataset'!$B$3:$B$157, MATCH(MIN(SQRT(('Mall Dataset'!$E$3:$E$157-'Resale flat dataset (DV)'!O37)^2+('Mall Dataset'!$F$3:$F$157-'Resale flat dataset (DV)'!P37)^2)), SQRT(('Mall Dataset'!$E$3:$E$157-'Resale flat dataset (DV)'!O37)^2+('Mall Dataset'!$F$3:$F$157-'Resale flat dataset (DV)'!P37)^2), 0))</f>
        <v>Djitsun Mall Bedok</v>
      </c>
      <c r="S37" s="38" t="str" cm="1">
        <f t="array" ref="S37">INDEX('Schools dataset'!$B$3:$B$187, MATCH(MIN(SQRT(('Schools dataset'!$J$3:$J$187-'Resale flat dataset (DV)'!O37)^2+('Schools dataset'!$K$3:$K$187-'Resale flat dataset (DV)'!P37)^2)), SQRT(('Schools dataset'!$J$3:$J$187-'Resale flat dataset (DV)'!O37)^2+('Schools dataset'!$K$3:$K$187-'Resale flat dataset (DV)'!P37)^2), 0))</f>
        <v>TELOK KURAU PRIMARY SCHOOL</v>
      </c>
      <c r="T37" s="39">
        <f>ACOS(COS(RADIANS(90-O37))*COS(RADIANS(90-_xlfn.XLOOKUP(Q37,'MRT station dataset'!$C$3:$C$179,'MRT station dataset'!$E$3:$E$179)))+SIN(RADIANS(90-O37))*SIN(RADIANS(90-_xlfn.XLOOKUP(Q37,'MRT station dataset'!$C$3:$C$179,'MRT station dataset'!$E$3:$E$179)))*COS(RADIANS(P37-_xlfn.XLOOKUP('Resale flat dataset (DV)'!Q37,'MRT station dataset'!$C$3:$C$179,'MRT station dataset'!$F$3:$F$179))))*6371*1000</f>
        <v>410.59175047861805</v>
      </c>
      <c r="U37" s="39">
        <f>ACOS(COS(RADIANS(90-O37))*COS(RADIANS(90-_xlfn.XLOOKUP(R37,'Mall Dataset'!$B$3:$B$157,'Mall Dataset'!$E$3:$E$157,,0)))+SIN(RADIANS(90-O37))*SIN(RADIANS(90-_xlfn.XLOOKUP(R37,'Mall Dataset'!$B$3:$B$157,'Mall Dataset'!$E$3:$E$157,,0)))*COS(RADIANS(P37-_xlfn.XLOOKUP(R37,'Mall Dataset'!$B$3:$B$157,'Mall Dataset'!$F$3:$F$157,,0))))*6371*1000</f>
        <v>1929.6791306153534</v>
      </c>
      <c r="V37" s="39">
        <f>ACOS(COS(RADIANS(90-O37))*COS(RADIANS(90-_xlfn.XLOOKUP(S37,'Schools dataset'!$B$3:$B$187,'Schools dataset'!$J$3:$J$187,,0)))+SIN(RADIANS(90-O37))*SIN(RADIANS(90-_xlfn.XLOOKUP(S37,'Schools dataset'!$B$3:$B$187,'Schools dataset'!$J$3:$J$187,,0)))*COS(RADIANS(P37-_xlfn.XLOOKUP(S37,'Schools dataset'!$B$3:$B$187,'Schools dataset'!$K$3:$K$187,,0))))*6371*1000</f>
        <v>106.93448919806147</v>
      </c>
      <c r="W37" s="20">
        <f>_xlfn.XLOOKUP(T37,'HDB Recommender'!$P$10:$P$39,'HDB Recommender'!$Q$10:$Q$39,"&gt;30mins",1)</f>
        <v>6</v>
      </c>
      <c r="X37" s="20">
        <f>_xlfn.XLOOKUP(U37,'HDB Recommender'!$P$10:$P$39,'HDB Recommender'!$Q$10:$Q$39,"&gt;30mins",1)</f>
        <v>26</v>
      </c>
      <c r="Y37" s="20">
        <f>_xlfn.XLOOKUP(V37,'HDB Recommender'!$P$10:$P$39,'HDB Recommender'!$Q$10:$Q$39,"&gt;30mins",1)</f>
        <v>2</v>
      </c>
      <c r="Z37" s="39">
        <f t="shared" si="0"/>
        <v>11.333333333333334</v>
      </c>
      <c r="AA37" s="20" t="str">
        <f t="shared" si="1"/>
        <v>Within 1km</v>
      </c>
    </row>
    <row r="38" spans="2:27">
      <c r="B38" s="35" t="s">
        <v>317</v>
      </c>
      <c r="C38" s="35" t="s">
        <v>351</v>
      </c>
      <c r="D38" s="35" t="s">
        <v>20</v>
      </c>
      <c r="E38" s="35">
        <v>718</v>
      </c>
      <c r="F38" s="35" t="s">
        <v>366</v>
      </c>
      <c r="G38" s="35" t="s">
        <v>184</v>
      </c>
      <c r="H38" s="35">
        <v>104</v>
      </c>
      <c r="I38" s="35" t="s">
        <v>335</v>
      </c>
      <c r="J38" s="36">
        <v>1984</v>
      </c>
      <c r="K38" s="39">
        <v>59.3333333333333</v>
      </c>
      <c r="L38" s="37">
        <v>552888</v>
      </c>
      <c r="M38" s="35" t="s">
        <v>379</v>
      </c>
      <c r="N38" s="27">
        <v>470718</v>
      </c>
      <c r="O38" s="38">
        <v>1.3366305993765</v>
      </c>
      <c r="P38" s="38">
        <v>103.92574851611</v>
      </c>
      <c r="Q38" s="38" t="str" cm="1">
        <f t="array" ref="Q38">INDEX('MRT station dataset'!$C$3:$C$179, MATCH(MIN(SQRT(('MRT station dataset'!$E$3:$E$179-'Resale flat dataset (DV)'!O38)^2+('MRT station dataset'!$F$3:$F$179-'Resale flat dataset (DV)'!P38)^2)), SQRT(('MRT station dataset'!$E$3:$E$179-'Resale flat dataset (DV)'!O38)^2+('MRT station dataset'!$F$3:$F$179-'Resale flat dataset (DV)'!P38)^2), 0))</f>
        <v>BEDOK RESERVOIR MRT STATION</v>
      </c>
      <c r="R38" s="38" t="str" cm="1">
        <f t="array" ref="R38">INDEX('Mall Dataset'!$B$3:$B$157, MATCH(MIN(SQRT(('Mall Dataset'!$E$3:$E$157-'Resale flat dataset (DV)'!O38)^2+('Mall Dataset'!$F$3:$F$157-'Resale flat dataset (DV)'!P38)^2)), SQRT(('Mall Dataset'!$E$3:$E$157-'Resale flat dataset (DV)'!O38)^2+('Mall Dataset'!$F$3:$F$157-'Resale flat dataset (DV)'!P38)^2), 0))</f>
        <v>Djitsun Mall Bedok</v>
      </c>
      <c r="S38" s="38" t="str" cm="1">
        <f t="array" ref="S38">INDEX('Schools dataset'!$B$3:$B$187, MATCH(MIN(SQRT(('Schools dataset'!$J$3:$J$187-'Resale flat dataset (DV)'!O38)^2+('Schools dataset'!$K$3:$K$187-'Resale flat dataset (DV)'!P38)^2)), SQRT(('Schools dataset'!$J$3:$J$187-'Resale flat dataset (DV)'!O38)^2+('Schools dataset'!$K$3:$K$187-'Resale flat dataset (DV)'!P38)^2), 0))</f>
        <v>DAMAI PRIMARY SCHOOL</v>
      </c>
      <c r="T38" s="39">
        <f>ACOS(COS(RADIANS(90-O38))*COS(RADIANS(90-_xlfn.XLOOKUP(Q38,'MRT station dataset'!$C$3:$C$179,'MRT station dataset'!$E$3:$E$179)))+SIN(RADIANS(90-O38))*SIN(RADIANS(90-_xlfn.XLOOKUP(Q38,'MRT station dataset'!$C$3:$C$179,'MRT station dataset'!$E$3:$E$179)))*COS(RADIANS(P38-_xlfn.XLOOKUP('Resale flat dataset (DV)'!Q38,'MRT station dataset'!$C$3:$C$179,'MRT station dataset'!$F$3:$F$179))))*6371*1000</f>
        <v>717.18515090084225</v>
      </c>
      <c r="U38" s="39">
        <f>ACOS(COS(RADIANS(90-O38))*COS(RADIANS(90-_xlfn.XLOOKUP(R38,'Mall Dataset'!$B$3:$B$157,'Mall Dataset'!$E$3:$E$157,,0)))+SIN(RADIANS(90-O38))*SIN(RADIANS(90-_xlfn.XLOOKUP(R38,'Mall Dataset'!$B$3:$B$157,'Mall Dataset'!$E$3:$E$157,,0)))*COS(RADIANS(P38-_xlfn.XLOOKUP(R38,'Mall Dataset'!$B$3:$B$157,'Mall Dataset'!$F$3:$F$157,,0))))*6371*1000</f>
        <v>1175.7267924578573</v>
      </c>
      <c r="V38" s="39">
        <f>ACOS(COS(RADIANS(90-O38))*COS(RADIANS(90-_xlfn.XLOOKUP(S38,'Schools dataset'!$B$3:$B$187,'Schools dataset'!$J$3:$J$187,,0)))+SIN(RADIANS(90-O38))*SIN(RADIANS(90-_xlfn.XLOOKUP(S38,'Schools dataset'!$B$3:$B$187,'Schools dataset'!$J$3:$J$187,,0)))*COS(RADIANS(P38-_xlfn.XLOOKUP(S38,'Schools dataset'!$B$3:$B$187,'Schools dataset'!$K$3:$K$187,,0))))*6371*1000</f>
        <v>519.36935031989037</v>
      </c>
      <c r="W38" s="20">
        <f>_xlfn.XLOOKUP(T38,'HDB Recommender'!$P$10:$P$39,'HDB Recommender'!$Q$10:$Q$39,"&gt;30mins",1)</f>
        <v>10</v>
      </c>
      <c r="X38" s="20">
        <f>_xlfn.XLOOKUP(U38,'HDB Recommender'!$P$10:$P$39,'HDB Recommender'!$Q$10:$Q$39,"&gt;30mins",1)</f>
        <v>16</v>
      </c>
      <c r="Y38" s="20">
        <f>_xlfn.XLOOKUP(V38,'HDB Recommender'!$P$10:$P$39,'HDB Recommender'!$Q$10:$Q$39,"&gt;30mins",1)</f>
        <v>7</v>
      </c>
      <c r="Z38" s="39">
        <f t="shared" si="0"/>
        <v>11</v>
      </c>
      <c r="AA38" s="20" t="str">
        <f t="shared" si="1"/>
        <v>Within 1km</v>
      </c>
    </row>
    <row r="39" spans="2:27">
      <c r="B39" s="35" t="s">
        <v>317</v>
      </c>
      <c r="C39" s="35" t="s">
        <v>351</v>
      </c>
      <c r="D39" s="35" t="s">
        <v>20</v>
      </c>
      <c r="E39" s="35">
        <v>134</v>
      </c>
      <c r="F39" s="35" t="s">
        <v>366</v>
      </c>
      <c r="G39" s="35" t="s">
        <v>349</v>
      </c>
      <c r="H39" s="35">
        <v>84</v>
      </c>
      <c r="I39" s="35" t="s">
        <v>369</v>
      </c>
      <c r="J39" s="36">
        <v>1987</v>
      </c>
      <c r="K39" s="39">
        <v>62.6666666666666</v>
      </c>
      <c r="L39" s="37">
        <v>460000</v>
      </c>
      <c r="M39" s="35" t="s">
        <v>380</v>
      </c>
      <c r="N39" s="27">
        <v>470134</v>
      </c>
      <c r="O39" s="38">
        <v>1.33277860691699</v>
      </c>
      <c r="P39" s="38">
        <v>103.912631126804</v>
      </c>
      <c r="Q39" s="38" t="str" cm="1">
        <f t="array" ref="Q39">INDEX('MRT station dataset'!$C$3:$C$179, MATCH(MIN(SQRT(('MRT station dataset'!$E$3:$E$179-'Resale flat dataset (DV)'!O39)^2+('MRT station dataset'!$F$3:$F$179-'Resale flat dataset (DV)'!P39)^2)), SQRT(('MRT station dataset'!$E$3:$E$179-'Resale flat dataset (DV)'!O39)^2+('MRT station dataset'!$F$3:$F$179-'Resale flat dataset (DV)'!P39)^2), 0))</f>
        <v>KAKI BUKIT MRT STATION</v>
      </c>
      <c r="R39" s="38" t="str" cm="1">
        <f t="array" ref="R39">INDEX('Mall Dataset'!$B$3:$B$157, MATCH(MIN(SQRT(('Mall Dataset'!$E$3:$E$157-'Resale flat dataset (DV)'!O39)^2+('Mall Dataset'!$F$3:$F$157-'Resale flat dataset (DV)'!P39)^2)), SQRT(('Mall Dataset'!$E$3:$E$157-'Resale flat dataset (DV)'!O39)^2+('Mall Dataset'!$F$3:$F$157-'Resale flat dataset (DV)'!P39)^2), 0))</f>
        <v>Djitsun Mall Bedok</v>
      </c>
      <c r="S39" s="38" t="str" cm="1">
        <f t="array" ref="S39">INDEX('Schools dataset'!$B$3:$B$187, MATCH(MIN(SQRT(('Schools dataset'!$J$3:$J$187-'Resale flat dataset (DV)'!O39)^2+('Schools dataset'!$K$3:$K$187-'Resale flat dataset (DV)'!P39)^2)), SQRT(('Schools dataset'!$J$3:$J$187-'Resale flat dataset (DV)'!O39)^2+('Schools dataset'!$K$3:$K$187-'Resale flat dataset (DV)'!P39)^2), 0))</f>
        <v>TELOK KURAU PRIMARY SCHOOL</v>
      </c>
      <c r="T39" s="39">
        <f>ACOS(COS(RADIANS(90-O39))*COS(RADIANS(90-_xlfn.XLOOKUP(Q39,'MRT station dataset'!$C$3:$C$179,'MRT station dataset'!$E$3:$E$179)))+SIN(RADIANS(90-O39))*SIN(RADIANS(90-_xlfn.XLOOKUP(Q39,'MRT station dataset'!$C$3:$C$179,'MRT station dataset'!$E$3:$E$179)))*COS(RADIANS(P39-_xlfn.XLOOKUP('Resale flat dataset (DV)'!Q39,'MRT station dataset'!$C$3:$C$179,'MRT station dataset'!$F$3:$F$179))))*6371*1000</f>
        <v>521.45023593899896</v>
      </c>
      <c r="U39" s="39">
        <f>ACOS(COS(RADIANS(90-O39))*COS(RADIANS(90-_xlfn.XLOOKUP(R39,'Mall Dataset'!$B$3:$B$157,'Mall Dataset'!$E$3:$E$157,,0)))+SIN(RADIANS(90-O39))*SIN(RADIANS(90-_xlfn.XLOOKUP(R39,'Mall Dataset'!$B$3:$B$157,'Mall Dataset'!$E$3:$E$157,,0)))*COS(RADIANS(P39-_xlfn.XLOOKUP(R39,'Mall Dataset'!$B$3:$B$157,'Mall Dataset'!$F$3:$F$157,,0))))*6371*1000</f>
        <v>1756.7817627108586</v>
      </c>
      <c r="V39" s="39">
        <f>ACOS(COS(RADIANS(90-O39))*COS(RADIANS(90-_xlfn.XLOOKUP(S39,'Schools dataset'!$B$3:$B$187,'Schools dataset'!$J$3:$J$187,,0)))+SIN(RADIANS(90-O39))*SIN(RADIANS(90-_xlfn.XLOOKUP(S39,'Schools dataset'!$B$3:$B$187,'Schools dataset'!$J$3:$J$187,,0)))*COS(RADIANS(P39-_xlfn.XLOOKUP(S39,'Schools dataset'!$B$3:$B$187,'Schools dataset'!$K$3:$K$187,,0))))*6371*1000</f>
        <v>260.12320151468236</v>
      </c>
      <c r="W39" s="20">
        <f>_xlfn.XLOOKUP(T39,'HDB Recommender'!$P$10:$P$39,'HDB Recommender'!$Q$10:$Q$39,"&gt;30mins",1)</f>
        <v>7</v>
      </c>
      <c r="X39" s="20">
        <f>_xlfn.XLOOKUP(U39,'HDB Recommender'!$P$10:$P$39,'HDB Recommender'!$Q$10:$Q$39,"&gt;30mins",1)</f>
        <v>24</v>
      </c>
      <c r="Y39" s="20">
        <f>_xlfn.XLOOKUP(V39,'HDB Recommender'!$P$10:$P$39,'HDB Recommender'!$Q$10:$Q$39,"&gt;30mins",1)</f>
        <v>4</v>
      </c>
      <c r="Z39" s="39">
        <f t="shared" si="0"/>
        <v>11.666666666666666</v>
      </c>
      <c r="AA39" s="20" t="str">
        <f t="shared" si="1"/>
        <v>Within 1km</v>
      </c>
    </row>
    <row r="40" spans="2:27">
      <c r="B40" s="35" t="s">
        <v>317</v>
      </c>
      <c r="C40" s="35" t="s">
        <v>351</v>
      </c>
      <c r="D40" s="35" t="s">
        <v>20</v>
      </c>
      <c r="E40" s="35">
        <v>64</v>
      </c>
      <c r="F40" s="35" t="s">
        <v>381</v>
      </c>
      <c r="G40" s="35" t="s">
        <v>184</v>
      </c>
      <c r="H40" s="35">
        <v>92</v>
      </c>
      <c r="I40" s="35" t="s">
        <v>320</v>
      </c>
      <c r="J40" s="36">
        <v>1978</v>
      </c>
      <c r="K40" s="39">
        <v>53.75</v>
      </c>
      <c r="L40" s="37">
        <v>500000</v>
      </c>
      <c r="M40" s="35" t="s">
        <v>382</v>
      </c>
      <c r="N40" s="27">
        <v>460064</v>
      </c>
      <c r="O40" s="38">
        <v>1.3242249299906399</v>
      </c>
      <c r="P40" s="38">
        <v>103.93985537620701</v>
      </c>
      <c r="Q40" s="38" t="str" cm="1">
        <f t="array" ref="Q40">INDEX('MRT station dataset'!$C$3:$C$179, MATCH(MIN(SQRT(('MRT station dataset'!$E$3:$E$179-'Resale flat dataset (DV)'!O40)^2+('MRT station dataset'!$F$3:$F$179-'Resale flat dataset (DV)'!P40)^2)), SQRT(('MRT station dataset'!$E$3:$E$179-'Resale flat dataset (DV)'!O40)^2+('MRT station dataset'!$F$3:$F$179-'Resale flat dataset (DV)'!P40)^2), 0))</f>
        <v>TANAH MERAH MRT STATION</v>
      </c>
      <c r="R40" s="38" t="str" cm="1">
        <f t="array" ref="R40">INDEX('Mall Dataset'!$B$3:$B$157, MATCH(MIN(SQRT(('Mall Dataset'!$E$3:$E$157-'Resale flat dataset (DV)'!O40)^2+('Mall Dataset'!$F$3:$F$157-'Resale flat dataset (DV)'!P40)^2)), SQRT(('Mall Dataset'!$E$3:$E$157-'Resale flat dataset (DV)'!O40)^2+('Mall Dataset'!$F$3:$F$157-'Resale flat dataset (DV)'!P40)^2), 0))</f>
        <v>Djitsun Mall Bedok</v>
      </c>
      <c r="S40" s="38" t="str" cm="1">
        <f t="array" ref="S40">INDEX('Schools dataset'!$B$3:$B$187, MATCH(MIN(SQRT(('Schools dataset'!$J$3:$J$187-'Resale flat dataset (DV)'!O40)^2+('Schools dataset'!$K$3:$K$187-'Resale flat dataset (DV)'!P40)^2)), SQRT(('Schools dataset'!$J$3:$J$187-'Resale flat dataset (DV)'!O40)^2+('Schools dataset'!$K$3:$K$187-'Resale flat dataset (DV)'!P40)^2), 0))</f>
        <v>BEDOK GREEN PRIMARY SCHOOL</v>
      </c>
      <c r="T40" s="39">
        <f>ACOS(COS(RADIANS(90-O40))*COS(RADIANS(90-_xlfn.XLOOKUP(Q40,'MRT station dataset'!$C$3:$C$179,'MRT station dataset'!$E$3:$E$179)))+SIN(RADIANS(90-O40))*SIN(RADIANS(90-_xlfn.XLOOKUP(Q40,'MRT station dataset'!$C$3:$C$179,'MRT station dataset'!$E$3:$E$179)))*COS(RADIANS(P40-_xlfn.XLOOKUP('Resale flat dataset (DV)'!Q40,'MRT station dataset'!$C$3:$C$179,'MRT station dataset'!$F$3:$F$179))))*6371*1000</f>
        <v>789.10790791428735</v>
      </c>
      <c r="U40" s="39">
        <f>ACOS(COS(RADIANS(90-O40))*COS(RADIANS(90-_xlfn.XLOOKUP(R40,'Mall Dataset'!$B$3:$B$157,'Mall Dataset'!$E$3:$E$157,,0)))+SIN(RADIANS(90-O40))*SIN(RADIANS(90-_xlfn.XLOOKUP(R40,'Mall Dataset'!$B$3:$B$157,'Mall Dataset'!$E$3:$E$157,,0)))*COS(RADIANS(P40-_xlfn.XLOOKUP(R40,'Mall Dataset'!$B$3:$B$157,'Mall Dataset'!$F$3:$F$157,,0))))*6371*1000</f>
        <v>1448.4022854147913</v>
      </c>
      <c r="V40" s="39">
        <f>ACOS(COS(RADIANS(90-O40))*COS(RADIANS(90-_xlfn.XLOOKUP(S40,'Schools dataset'!$B$3:$B$187,'Schools dataset'!$J$3:$J$187,,0)))+SIN(RADIANS(90-O40))*SIN(RADIANS(90-_xlfn.XLOOKUP(S40,'Schools dataset'!$B$3:$B$187,'Schools dataset'!$J$3:$J$187,,0)))*COS(RADIANS(P40-_xlfn.XLOOKUP(S40,'Schools dataset'!$B$3:$B$187,'Schools dataset'!$K$3:$K$187,,0))))*6371*1000</f>
        <v>236.1658031101621</v>
      </c>
      <c r="W40" s="20">
        <f>_xlfn.XLOOKUP(T40,'HDB Recommender'!$P$10:$P$39,'HDB Recommender'!$Q$10:$Q$39,"&gt;30mins",1)</f>
        <v>11</v>
      </c>
      <c r="X40" s="20">
        <f>_xlfn.XLOOKUP(U40,'HDB Recommender'!$P$10:$P$39,'HDB Recommender'!$Q$10:$Q$39,"&gt;30mins",1)</f>
        <v>20</v>
      </c>
      <c r="Y40" s="20">
        <f>_xlfn.XLOOKUP(V40,'HDB Recommender'!$P$10:$P$39,'HDB Recommender'!$Q$10:$Q$39,"&gt;30mins",1)</f>
        <v>4</v>
      </c>
      <c r="Z40" s="39">
        <f t="shared" si="0"/>
        <v>11.666666666666666</v>
      </c>
      <c r="AA40" s="20" t="str">
        <f t="shared" si="1"/>
        <v>Within 1km</v>
      </c>
    </row>
    <row r="41" spans="2:27">
      <c r="B41" s="35" t="s">
        <v>317</v>
      </c>
      <c r="C41" s="35" t="s">
        <v>351</v>
      </c>
      <c r="D41" s="35" t="s">
        <v>383</v>
      </c>
      <c r="E41" s="35">
        <v>639</v>
      </c>
      <c r="F41" s="35" t="s">
        <v>366</v>
      </c>
      <c r="G41" s="35" t="s">
        <v>349</v>
      </c>
      <c r="H41" s="35">
        <v>143</v>
      </c>
      <c r="I41" s="35" t="s">
        <v>384</v>
      </c>
      <c r="J41" s="36">
        <v>1993</v>
      </c>
      <c r="K41" s="39">
        <v>69.25</v>
      </c>
      <c r="L41" s="37">
        <v>850000</v>
      </c>
      <c r="M41" s="35" t="s">
        <v>385</v>
      </c>
      <c r="N41" s="27">
        <v>410639</v>
      </c>
      <c r="O41" s="38">
        <v>1.33166324925224</v>
      </c>
      <c r="P41" s="38">
        <v>103.904625609758</v>
      </c>
      <c r="Q41" s="38" t="str" cm="1">
        <f t="array" ref="Q41">INDEX('MRT station dataset'!$C$3:$C$179, MATCH(MIN(SQRT(('MRT station dataset'!$E$3:$E$179-'Resale flat dataset (DV)'!O41)^2+('MRT station dataset'!$F$3:$F$179-'Resale flat dataset (DV)'!P41)^2)), SQRT(('MRT station dataset'!$E$3:$E$179-'Resale flat dataset (DV)'!O41)^2+('MRT station dataset'!$F$3:$F$179-'Resale flat dataset (DV)'!P41)^2), 0))</f>
        <v>KAKI BUKIT MRT STATION</v>
      </c>
      <c r="R41" s="38" t="str" cm="1">
        <f t="array" ref="R41">INDEX('Mall Dataset'!$B$3:$B$157, MATCH(MIN(SQRT(('Mall Dataset'!$E$3:$E$157-'Resale flat dataset (DV)'!O41)^2+('Mall Dataset'!$F$3:$F$157-'Resale flat dataset (DV)'!P41)^2)), SQRT(('Mall Dataset'!$E$3:$E$157-'Resale flat dataset (DV)'!O41)^2+('Mall Dataset'!$F$3:$F$157-'Resale flat dataset (DV)'!P41)^2), 0))</f>
        <v>Singpost Centre</v>
      </c>
      <c r="S41" s="38" t="str" cm="1">
        <f t="array" ref="S41">INDEX('Schools dataset'!$B$3:$B$187, MATCH(MIN(SQRT(('Schools dataset'!$J$3:$J$187-'Resale flat dataset (DV)'!O41)^2+('Schools dataset'!$K$3:$K$187-'Resale flat dataset (DV)'!P41)^2)), SQRT(('Schools dataset'!$J$3:$J$187-'Resale flat dataset (DV)'!O41)^2+('Schools dataset'!$K$3:$K$187-'Resale flat dataset (DV)'!P41)^2), 0))</f>
        <v>MAHA BODHI SCHOOL</v>
      </c>
      <c r="T41" s="39">
        <f>ACOS(COS(RADIANS(90-O41))*COS(RADIANS(90-_xlfn.XLOOKUP(Q41,'MRT station dataset'!$C$3:$C$179,'MRT station dataset'!$E$3:$E$179)))+SIN(RADIANS(90-O41))*SIN(RADIANS(90-_xlfn.XLOOKUP(Q41,'MRT station dataset'!$C$3:$C$179,'MRT station dataset'!$E$3:$E$179)))*COS(RADIANS(P41-_xlfn.XLOOKUP('Resale flat dataset (DV)'!Q41,'MRT station dataset'!$C$3:$C$179,'MRT station dataset'!$F$3:$F$179))))*6371*1000</f>
        <v>568.47342846455945</v>
      </c>
      <c r="U41" s="39">
        <f>ACOS(COS(RADIANS(90-O41))*COS(RADIANS(90-_xlfn.XLOOKUP(R41,'Mall Dataset'!$B$3:$B$157,'Mall Dataset'!$E$3:$E$157,,0)))+SIN(RADIANS(90-O41))*SIN(RADIANS(90-_xlfn.XLOOKUP(R41,'Mall Dataset'!$B$3:$B$157,'Mall Dataset'!$E$3:$E$157,,0)))*COS(RADIANS(P41-_xlfn.XLOOKUP(R41,'Mall Dataset'!$B$3:$B$157,'Mall Dataset'!$F$3:$F$157,,0))))*6371*1000</f>
        <v>1775.9121376114997</v>
      </c>
      <c r="V41" s="39">
        <f>ACOS(COS(RADIANS(90-O41))*COS(RADIANS(90-_xlfn.XLOOKUP(S41,'Schools dataset'!$B$3:$B$187,'Schools dataset'!$J$3:$J$187,,0)))+SIN(RADIANS(90-O41))*SIN(RADIANS(90-_xlfn.XLOOKUP(S41,'Schools dataset'!$B$3:$B$187,'Schools dataset'!$J$3:$J$187,,0)))*COS(RADIANS(P41-_xlfn.XLOOKUP(S41,'Schools dataset'!$B$3:$B$187,'Schools dataset'!$K$3:$K$187,,0))))*6371*1000</f>
        <v>512.6245803995804</v>
      </c>
      <c r="W41" s="20">
        <f>_xlfn.XLOOKUP(T41,'HDB Recommender'!$P$10:$P$39,'HDB Recommender'!$Q$10:$Q$39,"&gt;30mins",1)</f>
        <v>8</v>
      </c>
      <c r="X41" s="20">
        <f>_xlfn.XLOOKUP(U41,'HDB Recommender'!$P$10:$P$39,'HDB Recommender'!$Q$10:$Q$39,"&gt;30mins",1)</f>
        <v>24</v>
      </c>
      <c r="Y41" s="20">
        <f>_xlfn.XLOOKUP(V41,'HDB Recommender'!$P$10:$P$39,'HDB Recommender'!$Q$10:$Q$39,"&gt;30mins",1)</f>
        <v>7</v>
      </c>
      <c r="Z41" s="39">
        <f t="shared" si="0"/>
        <v>13</v>
      </c>
      <c r="AA41" s="20" t="str">
        <f t="shared" si="1"/>
        <v>Within 1km</v>
      </c>
    </row>
    <row r="42" spans="2:27">
      <c r="B42" s="35" t="s">
        <v>317</v>
      </c>
      <c r="C42" s="35" t="s">
        <v>386</v>
      </c>
      <c r="D42" s="35" t="s">
        <v>20</v>
      </c>
      <c r="E42" s="35"/>
      <c r="F42" s="35" t="s">
        <v>387</v>
      </c>
      <c r="G42" s="35" t="s">
        <v>344</v>
      </c>
      <c r="H42" s="35">
        <v>95</v>
      </c>
      <c r="I42" s="35" t="s">
        <v>363</v>
      </c>
      <c r="J42" s="36">
        <v>2011</v>
      </c>
      <c r="K42" s="39">
        <v>86.9166666666666</v>
      </c>
      <c r="L42" s="37">
        <v>1078000</v>
      </c>
      <c r="M42" s="35" t="s">
        <v>388</v>
      </c>
      <c r="N42" s="27">
        <v>571273</v>
      </c>
      <c r="O42" s="38">
        <v>1.35636621091925</v>
      </c>
      <c r="P42" s="38">
        <v>103.843933964667</v>
      </c>
      <c r="Q42" s="38" t="str" cm="1">
        <f t="array" ref="Q42">INDEX('MRT station dataset'!$C$3:$C$179, MATCH(MIN(SQRT(('MRT station dataset'!$E$3:$E$179-'Resale flat dataset (DV)'!O42)^2+('MRT station dataset'!$F$3:$F$179-'Resale flat dataset (DV)'!P42)^2)), SQRT(('MRT station dataset'!$E$3:$E$179-'Resale flat dataset (DV)'!O42)^2+('MRT station dataset'!$F$3:$F$179-'Resale flat dataset (DV)'!P42)^2), 0))</f>
        <v>BISHAN MRT STATION</v>
      </c>
      <c r="R42" s="38" t="str" cm="1">
        <f t="array" ref="R42">INDEX('Mall Dataset'!$B$3:$B$157, MATCH(MIN(SQRT(('Mall Dataset'!$E$3:$E$157-'Resale flat dataset (DV)'!O42)^2+('Mall Dataset'!$F$3:$F$157-'Resale flat dataset (DV)'!P42)^2)), SQRT(('Mall Dataset'!$E$3:$E$157-'Resale flat dataset (DV)'!O42)^2+('Mall Dataset'!$F$3:$F$157-'Resale flat dataset (DV)'!P42)^2), 0))</f>
        <v>Junction 8</v>
      </c>
      <c r="S42" s="38" t="str" cm="1">
        <f t="array" ref="S42">INDEX('Schools dataset'!$B$3:$B$187, MATCH(MIN(SQRT(('Schools dataset'!$J$3:$J$187-'Resale flat dataset (DV)'!O42)^2+('Schools dataset'!$K$3:$K$187-'Resale flat dataset (DV)'!P42)^2)), SQRT(('Schools dataset'!$J$3:$J$187-'Resale flat dataset (DV)'!O42)^2+('Schools dataset'!$K$3:$K$187-'Resale flat dataset (DV)'!P42)^2), 0))</f>
        <v>CATHOLIC HIGH SCHOOL</v>
      </c>
      <c r="T42" s="39">
        <f>ACOS(COS(RADIANS(90-O42))*COS(RADIANS(90-_xlfn.XLOOKUP(Q42,'MRT station dataset'!$C$3:$C$179,'MRT station dataset'!$E$3:$E$179)))+SIN(RADIANS(90-O42))*SIN(RADIANS(90-_xlfn.XLOOKUP(Q42,'MRT station dataset'!$C$3:$C$179,'MRT station dataset'!$E$3:$E$179)))*COS(RADIANS(P42-_xlfn.XLOOKUP('Resale flat dataset (DV)'!Q42,'MRT station dataset'!$C$3:$C$179,'MRT station dataset'!$F$3:$F$179))))*6371*1000</f>
        <v>773.01566449920279</v>
      </c>
      <c r="U42" s="39">
        <f>ACOS(COS(RADIANS(90-O42))*COS(RADIANS(90-_xlfn.XLOOKUP(R42,'Mall Dataset'!$B$3:$B$157,'Mall Dataset'!$E$3:$E$157,,0)))+SIN(RADIANS(90-O42))*SIN(RADIANS(90-_xlfn.XLOOKUP(R42,'Mall Dataset'!$B$3:$B$157,'Mall Dataset'!$E$3:$E$157,,0)))*COS(RADIANS(P42-_xlfn.XLOOKUP(R42,'Mall Dataset'!$B$3:$B$157,'Mall Dataset'!$F$3:$F$157,,0))))*6371*1000</f>
        <v>859.10571647687721</v>
      </c>
      <c r="V42" s="39">
        <f>ACOS(COS(RADIANS(90-O42))*COS(RADIANS(90-_xlfn.XLOOKUP(S42,'Schools dataset'!$B$3:$B$187,'Schools dataset'!$J$3:$J$187,,0)))+SIN(RADIANS(90-O42))*SIN(RADIANS(90-_xlfn.XLOOKUP(S42,'Schools dataset'!$B$3:$B$187,'Schools dataset'!$J$3:$J$187,,0)))*COS(RADIANS(P42-_xlfn.XLOOKUP(S42,'Schools dataset'!$B$3:$B$187,'Schools dataset'!$K$3:$K$187,,0))))*6371*1000</f>
        <v>222.02096592420563</v>
      </c>
      <c r="W42" s="20">
        <f>_xlfn.XLOOKUP(T42,'HDB Recommender'!$P$10:$P$39,'HDB Recommender'!$Q$10:$Q$39,"&gt;30mins",1)</f>
        <v>11</v>
      </c>
      <c r="X42" s="20">
        <f>_xlfn.XLOOKUP(U42,'HDB Recommender'!$P$10:$P$39,'HDB Recommender'!$Q$10:$Q$39,"&gt;30mins",1)</f>
        <v>12</v>
      </c>
      <c r="Y42" s="20">
        <f>_xlfn.XLOOKUP(V42,'HDB Recommender'!$P$10:$P$39,'HDB Recommender'!$Q$10:$Q$39,"&gt;30mins",1)</f>
        <v>3</v>
      </c>
      <c r="Z42" s="39">
        <f t="shared" si="0"/>
        <v>8.6666666666666661</v>
      </c>
      <c r="AA42" s="20" t="str">
        <f t="shared" si="1"/>
        <v>Within 1km</v>
      </c>
    </row>
    <row r="43" spans="2:27">
      <c r="B43" s="35" t="s">
        <v>317</v>
      </c>
      <c r="C43" s="35" t="s">
        <v>386</v>
      </c>
      <c r="D43" s="35" t="s">
        <v>341</v>
      </c>
      <c r="E43" s="35">
        <v>290</v>
      </c>
      <c r="F43" s="35" t="s">
        <v>387</v>
      </c>
      <c r="G43" s="35" t="s">
        <v>323</v>
      </c>
      <c r="H43" s="35">
        <v>121</v>
      </c>
      <c r="I43" s="35" t="s">
        <v>389</v>
      </c>
      <c r="J43" s="36">
        <v>1998</v>
      </c>
      <c r="K43" s="39">
        <v>73.75</v>
      </c>
      <c r="L43" s="37">
        <v>925000</v>
      </c>
      <c r="M43" s="35" t="s">
        <v>390</v>
      </c>
      <c r="N43" s="27">
        <v>570290</v>
      </c>
      <c r="O43" s="38">
        <v>1.3561377851657599</v>
      </c>
      <c r="P43" s="38">
        <v>103.844897654796</v>
      </c>
      <c r="Q43" s="38" t="str" cm="1">
        <f t="array" ref="Q43">INDEX('MRT station dataset'!$C$3:$C$179, MATCH(MIN(SQRT(('MRT station dataset'!$E$3:$E$179-'Resale flat dataset (DV)'!O43)^2+('MRT station dataset'!$F$3:$F$179-'Resale flat dataset (DV)'!P43)^2)), SQRT(('MRT station dataset'!$E$3:$E$179-'Resale flat dataset (DV)'!O43)^2+('MRT station dataset'!$F$3:$F$179-'Resale flat dataset (DV)'!P43)^2), 0))</f>
        <v>BISHAN MRT STATION</v>
      </c>
      <c r="R43" s="38" t="str" cm="1">
        <f t="array" ref="R43">INDEX('Mall Dataset'!$B$3:$B$157, MATCH(MIN(SQRT(('Mall Dataset'!$E$3:$E$157-'Resale flat dataset (DV)'!O43)^2+('Mall Dataset'!$F$3:$F$157-'Resale flat dataset (DV)'!P43)^2)), SQRT(('Mall Dataset'!$E$3:$E$157-'Resale flat dataset (DV)'!O43)^2+('Mall Dataset'!$F$3:$F$157-'Resale flat dataset (DV)'!P43)^2), 0))</f>
        <v>Junction 8</v>
      </c>
      <c r="S43" s="38" t="str" cm="1">
        <f t="array" ref="S43">INDEX('Schools dataset'!$B$3:$B$187, MATCH(MIN(SQRT(('Schools dataset'!$J$3:$J$187-'Resale flat dataset (DV)'!O43)^2+('Schools dataset'!$K$3:$K$187-'Resale flat dataset (DV)'!P43)^2)), SQRT(('Schools dataset'!$J$3:$J$187-'Resale flat dataset (DV)'!O43)^2+('Schools dataset'!$K$3:$K$187-'Resale flat dataset (DV)'!P43)^2), 0))</f>
        <v>CATHOLIC HIGH SCHOOL</v>
      </c>
      <c r="T43" s="39">
        <f>ACOS(COS(RADIANS(90-O43))*COS(RADIANS(90-_xlfn.XLOOKUP(Q43,'MRT station dataset'!$C$3:$C$179,'MRT station dataset'!$E$3:$E$179)))+SIN(RADIANS(90-O43))*SIN(RADIANS(90-_xlfn.XLOOKUP(Q43,'MRT station dataset'!$C$3:$C$179,'MRT station dataset'!$E$3:$E$179)))*COS(RADIANS(P43-_xlfn.XLOOKUP('Resale flat dataset (DV)'!Q43,'MRT station dataset'!$C$3:$C$179,'MRT station dataset'!$F$3:$F$179))))*6371*1000</f>
        <v>692.10462781492015</v>
      </c>
      <c r="U43" s="39">
        <f>ACOS(COS(RADIANS(90-O43))*COS(RADIANS(90-_xlfn.XLOOKUP(R43,'Mall Dataset'!$B$3:$B$157,'Mall Dataset'!$E$3:$E$157,,0)))+SIN(RADIANS(90-O43))*SIN(RADIANS(90-_xlfn.XLOOKUP(R43,'Mall Dataset'!$B$3:$B$157,'Mall Dataset'!$E$3:$E$157,,0)))*COS(RADIANS(P43-_xlfn.XLOOKUP(R43,'Mall Dataset'!$B$3:$B$157,'Mall Dataset'!$F$3:$F$157,,0))))*6371*1000</f>
        <v>777.92496154155424</v>
      </c>
      <c r="V43" s="39">
        <f>ACOS(COS(RADIANS(90-O43))*COS(RADIANS(90-_xlfn.XLOOKUP(S43,'Schools dataset'!$B$3:$B$187,'Schools dataset'!$J$3:$J$187,,0)))+SIN(RADIANS(90-O43))*SIN(RADIANS(90-_xlfn.XLOOKUP(S43,'Schools dataset'!$B$3:$B$187,'Schools dataset'!$J$3:$J$187,,0)))*COS(RADIANS(P43-_xlfn.XLOOKUP(S43,'Schools dataset'!$B$3:$B$187,'Schools dataset'!$K$3:$K$187,,0))))*6371*1000</f>
        <v>208.93669578940012</v>
      </c>
      <c r="W43" s="20">
        <f>_xlfn.XLOOKUP(T43,'HDB Recommender'!$P$10:$P$39,'HDB Recommender'!$Q$10:$Q$39,"&gt;30mins",1)</f>
        <v>10</v>
      </c>
      <c r="X43" s="20">
        <f>_xlfn.XLOOKUP(U43,'HDB Recommender'!$P$10:$P$39,'HDB Recommender'!$Q$10:$Q$39,"&gt;30mins",1)</f>
        <v>11</v>
      </c>
      <c r="Y43" s="20">
        <f>_xlfn.XLOOKUP(V43,'HDB Recommender'!$P$10:$P$39,'HDB Recommender'!$Q$10:$Q$39,"&gt;30mins",1)</f>
        <v>3</v>
      </c>
      <c r="Z43" s="39">
        <f t="shared" si="0"/>
        <v>8</v>
      </c>
      <c r="AA43" s="20" t="str">
        <f t="shared" si="1"/>
        <v>Within 1km</v>
      </c>
    </row>
    <row r="44" spans="2:27">
      <c r="B44" s="35" t="s">
        <v>317</v>
      </c>
      <c r="C44" s="35" t="s">
        <v>386</v>
      </c>
      <c r="D44" s="35" t="s">
        <v>383</v>
      </c>
      <c r="E44" s="35">
        <v>201</v>
      </c>
      <c r="F44" s="35" t="s">
        <v>391</v>
      </c>
      <c r="G44" s="35" t="s">
        <v>191</v>
      </c>
      <c r="H44" s="35">
        <v>151</v>
      </c>
      <c r="I44" s="35" t="s">
        <v>392</v>
      </c>
      <c r="J44" s="36">
        <v>1992</v>
      </c>
      <c r="K44" s="39">
        <v>67.5833333333333</v>
      </c>
      <c r="L44" s="37">
        <v>1000000</v>
      </c>
      <c r="M44" s="35" t="s">
        <v>393</v>
      </c>
      <c r="N44" s="27">
        <v>570201</v>
      </c>
      <c r="O44" s="38">
        <v>1.3550668619694901</v>
      </c>
      <c r="P44" s="38">
        <v>103.846946067332</v>
      </c>
      <c r="Q44" s="38" t="str" cm="1">
        <f t="array" ref="Q44">INDEX('MRT station dataset'!$C$3:$C$179, MATCH(MIN(SQRT(('MRT station dataset'!$E$3:$E$179-'Resale flat dataset (DV)'!O44)^2+('MRT station dataset'!$F$3:$F$179-'Resale flat dataset (DV)'!P44)^2)), SQRT(('MRT station dataset'!$E$3:$E$179-'Resale flat dataset (DV)'!O44)^2+('MRT station dataset'!$F$3:$F$179-'Resale flat dataset (DV)'!P44)^2), 0))</f>
        <v>BISHAN MRT STATION</v>
      </c>
      <c r="R44" s="38" t="str" cm="1">
        <f t="array" ref="R44">INDEX('Mall Dataset'!$B$3:$B$157, MATCH(MIN(SQRT(('Mall Dataset'!$E$3:$E$157-'Resale flat dataset (DV)'!O44)^2+('Mall Dataset'!$F$3:$F$157-'Resale flat dataset (DV)'!P44)^2)), SQRT(('Mall Dataset'!$E$3:$E$157-'Resale flat dataset (DV)'!O44)^2+('Mall Dataset'!$F$3:$F$157-'Resale flat dataset (DV)'!P44)^2), 0))</f>
        <v>Junction 8</v>
      </c>
      <c r="S44" s="38" t="str" cm="1">
        <f t="array" ref="S44">INDEX('Schools dataset'!$B$3:$B$187, MATCH(MIN(SQRT(('Schools dataset'!$J$3:$J$187-'Resale flat dataset (DV)'!O44)^2+('Schools dataset'!$K$3:$K$187-'Resale flat dataset (DV)'!P44)^2)), SQRT(('Schools dataset'!$J$3:$J$187-'Resale flat dataset (DV)'!O44)^2+('Schools dataset'!$K$3:$K$187-'Resale flat dataset (DV)'!P44)^2), 0))</f>
        <v>CATHOLIC HIGH SCHOOL</v>
      </c>
      <c r="T44" s="39">
        <f>ACOS(COS(RADIANS(90-O44))*COS(RADIANS(90-_xlfn.XLOOKUP(Q44,'MRT station dataset'!$C$3:$C$179,'MRT station dataset'!$E$3:$E$179)))+SIN(RADIANS(90-O44))*SIN(RADIANS(90-_xlfn.XLOOKUP(Q44,'MRT station dataset'!$C$3:$C$179,'MRT station dataset'!$E$3:$E$179)))*COS(RADIANS(P44-_xlfn.XLOOKUP('Resale flat dataset (DV)'!Q44,'MRT station dataset'!$C$3:$C$179,'MRT station dataset'!$F$3:$F$179))))*6371*1000</f>
        <v>491.48824383203828</v>
      </c>
      <c r="U44" s="39">
        <f>ACOS(COS(RADIANS(90-O44))*COS(RADIANS(90-_xlfn.XLOOKUP(R44,'Mall Dataset'!$B$3:$B$157,'Mall Dataset'!$E$3:$E$157,,0)))+SIN(RADIANS(90-O44))*SIN(RADIANS(90-_xlfn.XLOOKUP(R44,'Mall Dataset'!$B$3:$B$157,'Mall Dataset'!$E$3:$E$157,,0)))*COS(RADIANS(P44-_xlfn.XLOOKUP(R44,'Mall Dataset'!$B$3:$B$157,'Mall Dataset'!$F$3:$F$157,,0))))*6371*1000</f>
        <v>572.82656858867108</v>
      </c>
      <c r="V44" s="39">
        <f>ACOS(COS(RADIANS(90-O44))*COS(RADIANS(90-_xlfn.XLOOKUP(S44,'Schools dataset'!$B$3:$B$187,'Schools dataset'!$J$3:$J$187,,0)))+SIN(RADIANS(90-O44))*SIN(RADIANS(90-_xlfn.XLOOKUP(S44,'Schools dataset'!$B$3:$B$187,'Schools dataset'!$J$3:$J$187,,0)))*COS(RADIANS(P44-_xlfn.XLOOKUP(S44,'Schools dataset'!$B$3:$B$187,'Schools dataset'!$K$3:$K$187,,0))))*6371*1000</f>
        <v>313.28569219079026</v>
      </c>
      <c r="W44" s="20">
        <f>_xlfn.XLOOKUP(T44,'HDB Recommender'!$P$10:$P$39,'HDB Recommender'!$Q$10:$Q$39,"&gt;30mins",1)</f>
        <v>7</v>
      </c>
      <c r="X44" s="20">
        <f>_xlfn.XLOOKUP(U44,'HDB Recommender'!$P$10:$P$39,'HDB Recommender'!$Q$10:$Q$39,"&gt;30mins",1)</f>
        <v>8</v>
      </c>
      <c r="Y44" s="20">
        <f>_xlfn.XLOOKUP(V44,'HDB Recommender'!$P$10:$P$39,'HDB Recommender'!$Q$10:$Q$39,"&gt;30mins",1)</f>
        <v>5</v>
      </c>
      <c r="Z44" s="39">
        <f t="shared" si="0"/>
        <v>6.666666666666667</v>
      </c>
      <c r="AA44" s="20" t="str">
        <f t="shared" si="1"/>
        <v>Within 1km</v>
      </c>
    </row>
    <row r="45" spans="2:27">
      <c r="B45" s="35" t="s">
        <v>317</v>
      </c>
      <c r="C45" s="35" t="s">
        <v>394</v>
      </c>
      <c r="D45" s="35" t="s">
        <v>395</v>
      </c>
      <c r="E45" s="35"/>
      <c r="F45" s="35" t="s">
        <v>396</v>
      </c>
      <c r="G45" s="35" t="s">
        <v>349</v>
      </c>
      <c r="H45" s="35">
        <v>47</v>
      </c>
      <c r="I45" s="35" t="s">
        <v>397</v>
      </c>
      <c r="J45" s="36">
        <v>2019</v>
      </c>
      <c r="K45" s="39">
        <v>94.5833333333333</v>
      </c>
      <c r="L45" s="37">
        <v>320000</v>
      </c>
      <c r="M45" s="35" t="s">
        <v>398</v>
      </c>
      <c r="N45" s="27">
        <v>652448</v>
      </c>
      <c r="O45" s="38">
        <v>1.35314900034194</v>
      </c>
      <c r="P45" s="38">
        <v>103.740846555722</v>
      </c>
      <c r="Q45" s="38" t="str" cm="1">
        <f t="array" ref="Q45">INDEX('MRT station dataset'!$C$3:$C$179, MATCH(MIN(SQRT(('MRT station dataset'!$E$3:$E$179-'Resale flat dataset (DV)'!O45)^2+('MRT station dataset'!$F$3:$F$179-'Resale flat dataset (DV)'!P45)^2)), SQRT(('MRT station dataset'!$E$3:$E$179-'Resale flat dataset (DV)'!O45)^2+('MRT station dataset'!$F$3:$F$179-'Resale flat dataset (DV)'!P45)^2), 0))</f>
        <v>BUKIT BATOK MRT STATION</v>
      </c>
      <c r="R45" s="38" t="str" cm="1">
        <f t="array" ref="R45">INDEX('Mall Dataset'!$B$3:$B$157, MATCH(MIN(SQRT(('Mall Dataset'!$E$3:$E$157-'Resale flat dataset (DV)'!O45)^2+('Mall Dataset'!$F$3:$F$157-'Resale flat dataset (DV)'!P45)^2)), SQRT(('Mall Dataset'!$E$3:$E$157-'Resale flat dataset (DV)'!O45)^2+('Mall Dataset'!$F$3:$F$157-'Resale flat dataset (DV)'!P45)^2), 0))</f>
        <v>West Mall</v>
      </c>
      <c r="S45" s="38" t="str" cm="1">
        <f t="array" ref="S45">INDEX('Schools dataset'!$B$3:$B$187, MATCH(MIN(SQRT(('Schools dataset'!$J$3:$J$187-'Resale flat dataset (DV)'!O45)^2+('Schools dataset'!$K$3:$K$187-'Resale flat dataset (DV)'!P45)^2)), SQRT(('Schools dataset'!$J$3:$J$187-'Resale flat dataset (DV)'!O45)^2+('Schools dataset'!$K$3:$K$187-'Resale flat dataset (DV)'!P45)^2), 0))</f>
        <v>PRINCESS ELIZABETH PRIMARY SCHOOL</v>
      </c>
      <c r="T45" s="39">
        <f>ACOS(COS(RADIANS(90-O45))*COS(RADIANS(90-_xlfn.XLOOKUP(Q45,'MRT station dataset'!$C$3:$C$179,'MRT station dataset'!$E$3:$E$179)))+SIN(RADIANS(90-O45))*SIN(RADIANS(90-_xlfn.XLOOKUP(Q45,'MRT station dataset'!$C$3:$C$179,'MRT station dataset'!$E$3:$E$179)))*COS(RADIANS(P45-_xlfn.XLOOKUP('Resale flat dataset (DV)'!Q45,'MRT station dataset'!$C$3:$C$179,'MRT station dataset'!$F$3:$F$179))))*6371*1000</f>
        <v>1076.8951213619828</v>
      </c>
      <c r="U45" s="39">
        <f>ACOS(COS(RADIANS(90-O45))*COS(RADIANS(90-_xlfn.XLOOKUP(R45,'Mall Dataset'!$B$3:$B$157,'Mall Dataset'!$E$3:$E$157,,0)))+SIN(RADIANS(90-O45))*SIN(RADIANS(90-_xlfn.XLOOKUP(R45,'Mall Dataset'!$B$3:$B$157,'Mall Dataset'!$E$3:$E$157,,0)))*COS(RADIANS(P45-_xlfn.XLOOKUP(R45,'Mall Dataset'!$B$3:$B$157,'Mall Dataset'!$F$3:$F$157,,0))))*6371*1000</f>
        <v>970.45177447886726</v>
      </c>
      <c r="V45" s="39">
        <f>ACOS(COS(RADIANS(90-O45))*COS(RADIANS(90-_xlfn.XLOOKUP(S45,'Schools dataset'!$B$3:$B$187,'Schools dataset'!$J$3:$J$187,,0)))+SIN(RADIANS(90-O45))*SIN(RADIANS(90-_xlfn.XLOOKUP(S45,'Schools dataset'!$B$3:$B$187,'Schools dataset'!$J$3:$J$187,,0)))*COS(RADIANS(P45-_xlfn.XLOOKUP(S45,'Schools dataset'!$B$3:$B$187,'Schools dataset'!$K$3:$K$187,,0))))*6371*1000</f>
        <v>439.13994527452837</v>
      </c>
      <c r="W45" s="20">
        <f>_xlfn.XLOOKUP(T45,'HDB Recommender'!$P$10:$P$39,'HDB Recommender'!$Q$10:$Q$39,"&gt;30mins",1)</f>
        <v>15</v>
      </c>
      <c r="X45" s="20">
        <f>_xlfn.XLOOKUP(U45,'HDB Recommender'!$P$10:$P$39,'HDB Recommender'!$Q$10:$Q$39,"&gt;30mins",1)</f>
        <v>13</v>
      </c>
      <c r="Y45" s="20">
        <f>_xlfn.XLOOKUP(V45,'HDB Recommender'!$P$10:$P$39,'HDB Recommender'!$Q$10:$Q$39,"&gt;30mins",1)</f>
        <v>6</v>
      </c>
      <c r="Z45" s="39">
        <f t="shared" si="0"/>
        <v>11.333333333333334</v>
      </c>
      <c r="AA45" s="20" t="str">
        <f t="shared" si="1"/>
        <v>Within 1km</v>
      </c>
    </row>
    <row r="46" spans="2:27">
      <c r="B46" s="35" t="s">
        <v>317</v>
      </c>
      <c r="C46" s="35" t="s">
        <v>394</v>
      </c>
      <c r="D46" s="35" t="s">
        <v>318</v>
      </c>
      <c r="E46" s="35">
        <v>267</v>
      </c>
      <c r="F46" s="35" t="s">
        <v>399</v>
      </c>
      <c r="G46" s="35" t="s">
        <v>191</v>
      </c>
      <c r="H46" s="35">
        <v>64</v>
      </c>
      <c r="I46" s="35" t="s">
        <v>369</v>
      </c>
      <c r="J46" s="36">
        <v>1987</v>
      </c>
      <c r="K46" s="39">
        <v>62.4166666666666</v>
      </c>
      <c r="L46" s="37">
        <v>360000</v>
      </c>
      <c r="M46" s="35" t="s">
        <v>400</v>
      </c>
      <c r="N46" s="27">
        <v>650267</v>
      </c>
      <c r="O46" s="38">
        <v>1.3488095657550201</v>
      </c>
      <c r="P46" s="38">
        <v>103.759892612835</v>
      </c>
      <c r="Q46" s="38" t="str" cm="1">
        <f t="array" ref="Q46">INDEX('MRT station dataset'!$C$3:$C$179, MATCH(MIN(SQRT(('MRT station dataset'!$E$3:$E$179-'Resale flat dataset (DV)'!O46)^2+('MRT station dataset'!$F$3:$F$179-'Resale flat dataset (DV)'!P46)^2)), SQRT(('MRT station dataset'!$E$3:$E$179-'Resale flat dataset (DV)'!O46)^2+('MRT station dataset'!$F$3:$F$179-'Resale flat dataset (DV)'!P46)^2), 0))</f>
        <v>BUKIT BATOK MRT STATION</v>
      </c>
      <c r="R46" s="38" t="str" cm="1">
        <f t="array" ref="R46">INDEX('Mall Dataset'!$B$3:$B$157, MATCH(MIN(SQRT(('Mall Dataset'!$E$3:$E$157-'Resale flat dataset (DV)'!O46)^2+('Mall Dataset'!$F$3:$F$157-'Resale flat dataset (DV)'!P46)^2)), SQRT(('Mall Dataset'!$E$3:$E$157-'Resale flat dataset (DV)'!O46)^2+('Mall Dataset'!$F$3:$F$157-'Resale flat dataset (DV)'!P46)^2), 0))</f>
        <v>West Mall</v>
      </c>
      <c r="S46" s="38" t="str" cm="1">
        <f t="array" ref="S46">INDEX('Schools dataset'!$B$3:$B$187, MATCH(MIN(SQRT(('Schools dataset'!$J$3:$J$187-'Resale flat dataset (DV)'!O46)^2+('Schools dataset'!$K$3:$K$187-'Resale flat dataset (DV)'!P46)^2)), SQRT(('Schools dataset'!$J$3:$J$187-'Resale flat dataset (DV)'!O46)^2+('Schools dataset'!$K$3:$K$187-'Resale flat dataset (DV)'!P46)^2), 0))</f>
        <v>KEMING PRIMARY SCHOOL</v>
      </c>
      <c r="T46" s="39">
        <f>ACOS(COS(RADIANS(90-O46))*COS(RADIANS(90-_xlfn.XLOOKUP(Q46,'MRT station dataset'!$C$3:$C$179,'MRT station dataset'!$E$3:$E$179)))+SIN(RADIANS(90-O46))*SIN(RADIANS(90-_xlfn.XLOOKUP(Q46,'MRT station dataset'!$C$3:$C$179,'MRT station dataset'!$E$3:$E$179)))*COS(RADIANS(P46-_xlfn.XLOOKUP('Resale flat dataset (DV)'!Q46,'MRT station dataset'!$C$3:$C$179,'MRT station dataset'!$F$3:$F$179))))*6371*1000</f>
        <v>1144.3651023359077</v>
      </c>
      <c r="U46" s="39">
        <f>ACOS(COS(RADIANS(90-O46))*COS(RADIANS(90-_xlfn.XLOOKUP(R46,'Mall Dataset'!$B$3:$B$157,'Mall Dataset'!$E$3:$E$157,,0)))+SIN(RADIANS(90-O46))*SIN(RADIANS(90-_xlfn.XLOOKUP(R46,'Mall Dataset'!$B$3:$B$157,'Mall Dataset'!$E$3:$E$157,,0)))*COS(RADIANS(P46-_xlfn.XLOOKUP(R46,'Mall Dataset'!$B$3:$B$157,'Mall Dataset'!$F$3:$F$157,,0))))*6371*1000</f>
        <v>1209.6908629557176</v>
      </c>
      <c r="V46" s="39">
        <f>ACOS(COS(RADIANS(90-O46))*COS(RADIANS(90-_xlfn.XLOOKUP(S46,'Schools dataset'!$B$3:$B$187,'Schools dataset'!$J$3:$J$187,,0)))+SIN(RADIANS(90-O46))*SIN(RADIANS(90-_xlfn.XLOOKUP(S46,'Schools dataset'!$B$3:$B$187,'Schools dataset'!$J$3:$J$187,,0)))*COS(RADIANS(P46-_xlfn.XLOOKUP(S46,'Schools dataset'!$B$3:$B$187,'Schools dataset'!$K$3:$K$187,,0))))*6371*1000</f>
        <v>606.80581704323049</v>
      </c>
      <c r="W46" s="20">
        <f>_xlfn.XLOOKUP(T46,'HDB Recommender'!$P$10:$P$39,'HDB Recommender'!$Q$10:$Q$39,"&gt;30mins",1)</f>
        <v>16</v>
      </c>
      <c r="X46" s="20">
        <f>_xlfn.XLOOKUP(U46,'HDB Recommender'!$P$10:$P$39,'HDB Recommender'!$Q$10:$Q$39,"&gt;30mins",1)</f>
        <v>17</v>
      </c>
      <c r="Y46" s="20">
        <f>_xlfn.XLOOKUP(V46,'HDB Recommender'!$P$10:$P$39,'HDB Recommender'!$Q$10:$Q$39,"&gt;30mins",1)</f>
        <v>9</v>
      </c>
      <c r="Z46" s="39">
        <f t="shared" si="0"/>
        <v>14</v>
      </c>
      <c r="AA46" s="20" t="str">
        <f t="shared" si="1"/>
        <v>Within 1km</v>
      </c>
    </row>
    <row r="47" spans="2:27">
      <c r="B47" s="35" t="s">
        <v>317</v>
      </c>
      <c r="C47" s="35" t="s">
        <v>394</v>
      </c>
      <c r="D47" s="35" t="s">
        <v>318</v>
      </c>
      <c r="E47" s="35">
        <v>239</v>
      </c>
      <c r="F47" s="35" t="s">
        <v>401</v>
      </c>
      <c r="G47" s="35" t="s">
        <v>349</v>
      </c>
      <c r="H47" s="35">
        <v>74</v>
      </c>
      <c r="I47" s="35" t="s">
        <v>320</v>
      </c>
      <c r="J47" s="36">
        <v>1985</v>
      </c>
      <c r="K47" s="39">
        <v>60.4166666666666</v>
      </c>
      <c r="L47" s="37">
        <v>385000</v>
      </c>
      <c r="M47" s="35" t="s">
        <v>402</v>
      </c>
      <c r="N47" s="27">
        <v>650239</v>
      </c>
      <c r="O47" s="38">
        <v>1.3502391390638</v>
      </c>
      <c r="P47" s="38">
        <v>103.75510085076201</v>
      </c>
      <c r="Q47" s="38" t="str" cm="1">
        <f t="array" ref="Q47">INDEX('MRT station dataset'!$C$3:$C$179, MATCH(MIN(SQRT(('MRT station dataset'!$E$3:$E$179-'Resale flat dataset (DV)'!O47)^2+('MRT station dataset'!$F$3:$F$179-'Resale flat dataset (DV)'!P47)^2)), SQRT(('MRT station dataset'!$E$3:$E$179-'Resale flat dataset (DV)'!O47)^2+('MRT station dataset'!$F$3:$F$179-'Resale flat dataset (DV)'!P47)^2), 0))</f>
        <v>BUKIT BATOK MRT STATION</v>
      </c>
      <c r="R47" s="38" t="str" cm="1">
        <f t="array" ref="R47">INDEX('Mall Dataset'!$B$3:$B$157, MATCH(MIN(SQRT(('Mall Dataset'!$E$3:$E$157-'Resale flat dataset (DV)'!O47)^2+('Mall Dataset'!$F$3:$F$157-'Resale flat dataset (DV)'!P47)^2)), SQRT(('Mall Dataset'!$E$3:$E$157-'Resale flat dataset (DV)'!O47)^2+('Mall Dataset'!$F$3:$F$157-'Resale flat dataset (DV)'!P47)^2), 0))</f>
        <v>West Mall</v>
      </c>
      <c r="S47" s="38" t="str" cm="1">
        <f t="array" ref="S47">INDEX('Schools dataset'!$B$3:$B$187, MATCH(MIN(SQRT(('Schools dataset'!$J$3:$J$187-'Resale flat dataset (DV)'!O47)^2+('Schools dataset'!$K$3:$K$187-'Resale flat dataset (DV)'!P47)^2)), SQRT(('Schools dataset'!$J$3:$J$187-'Resale flat dataset (DV)'!O47)^2+('Schools dataset'!$K$3:$K$187-'Resale flat dataset (DV)'!P47)^2), 0))</f>
        <v>LIANHUA PRIMARY SCHOOL</v>
      </c>
      <c r="T47" s="39">
        <f>ACOS(COS(RADIANS(90-O47))*COS(RADIANS(90-_xlfn.XLOOKUP(Q47,'MRT station dataset'!$C$3:$C$179,'MRT station dataset'!$E$3:$E$179)))+SIN(RADIANS(90-O47))*SIN(RADIANS(90-_xlfn.XLOOKUP(Q47,'MRT station dataset'!$C$3:$C$179,'MRT station dataset'!$E$3:$E$179)))*COS(RADIANS(P47-_xlfn.XLOOKUP('Resale flat dataset (DV)'!Q47,'MRT station dataset'!$C$3:$C$179,'MRT station dataset'!$F$3:$F$179))))*6371*1000</f>
        <v>626.82817573165255</v>
      </c>
      <c r="U47" s="39">
        <f>ACOS(COS(RADIANS(90-O47))*COS(RADIANS(90-_xlfn.XLOOKUP(R47,'Mall Dataset'!$B$3:$B$157,'Mall Dataset'!$E$3:$E$157,,0)))+SIN(RADIANS(90-O47))*SIN(RADIANS(90-_xlfn.XLOOKUP(R47,'Mall Dataset'!$B$3:$B$157,'Mall Dataset'!$E$3:$E$157,,0)))*COS(RADIANS(P47-_xlfn.XLOOKUP(R47,'Mall Dataset'!$B$3:$B$157,'Mall Dataset'!$F$3:$F$157,,0))))*6371*1000</f>
        <v>664.59560979096705</v>
      </c>
      <c r="V47" s="39">
        <f>ACOS(COS(RADIANS(90-O47))*COS(RADIANS(90-_xlfn.XLOOKUP(S47,'Schools dataset'!$B$3:$B$187,'Schools dataset'!$J$3:$J$187,,0)))+SIN(RADIANS(90-O47))*SIN(RADIANS(90-_xlfn.XLOOKUP(S47,'Schools dataset'!$B$3:$B$187,'Schools dataset'!$J$3:$J$187,,0)))*COS(RADIANS(P47-_xlfn.XLOOKUP(S47,'Schools dataset'!$B$3:$B$187,'Schools dataset'!$K$3:$K$187,,0))))*6371*1000</f>
        <v>449.45238689357535</v>
      </c>
      <c r="W47" s="20">
        <f>_xlfn.XLOOKUP(T47,'HDB Recommender'!$P$10:$P$39,'HDB Recommender'!$Q$10:$Q$39,"&gt;30mins",1)</f>
        <v>9</v>
      </c>
      <c r="X47" s="20">
        <f>_xlfn.XLOOKUP(U47,'HDB Recommender'!$P$10:$P$39,'HDB Recommender'!$Q$10:$Q$39,"&gt;30mins",1)</f>
        <v>9</v>
      </c>
      <c r="Y47" s="20">
        <f>_xlfn.XLOOKUP(V47,'HDB Recommender'!$P$10:$P$39,'HDB Recommender'!$Q$10:$Q$39,"&gt;30mins",1)</f>
        <v>6</v>
      </c>
      <c r="Z47" s="39">
        <f t="shared" si="0"/>
        <v>8</v>
      </c>
      <c r="AA47" s="20" t="str">
        <f t="shared" si="1"/>
        <v>Within 1km</v>
      </c>
    </row>
    <row r="48" spans="2:27">
      <c r="B48" s="35" t="s">
        <v>317</v>
      </c>
      <c r="C48" s="35" t="s">
        <v>394</v>
      </c>
      <c r="D48" s="35" t="s">
        <v>318</v>
      </c>
      <c r="E48" s="35">
        <v>215</v>
      </c>
      <c r="F48" s="35" t="s">
        <v>403</v>
      </c>
      <c r="G48" s="35" t="s">
        <v>191</v>
      </c>
      <c r="H48" s="35">
        <v>67</v>
      </c>
      <c r="I48" s="35" t="s">
        <v>320</v>
      </c>
      <c r="J48" s="36">
        <v>1984</v>
      </c>
      <c r="K48" s="39">
        <v>60.1666666666666</v>
      </c>
      <c r="L48" s="37">
        <v>380000</v>
      </c>
      <c r="M48" s="35" t="s">
        <v>404</v>
      </c>
      <c r="N48" s="27">
        <v>650215</v>
      </c>
      <c r="O48" s="38">
        <v>1.34677496682495</v>
      </c>
      <c r="P48" s="38">
        <v>103.753335942926</v>
      </c>
      <c r="Q48" s="38" t="str" cm="1">
        <f t="array" ref="Q48">INDEX('MRT station dataset'!$C$3:$C$179, MATCH(MIN(SQRT(('MRT station dataset'!$E$3:$E$179-'Resale flat dataset (DV)'!O48)^2+('MRT station dataset'!$F$3:$F$179-'Resale flat dataset (DV)'!P48)^2)), SQRT(('MRT station dataset'!$E$3:$E$179-'Resale flat dataset (DV)'!O48)^2+('MRT station dataset'!$F$3:$F$179-'Resale flat dataset (DV)'!P48)^2), 0))</f>
        <v>BUKIT BATOK MRT STATION</v>
      </c>
      <c r="R48" s="38" t="str" cm="1">
        <f t="array" ref="R48">INDEX('Mall Dataset'!$B$3:$B$157, MATCH(MIN(SQRT(('Mall Dataset'!$E$3:$E$157-'Resale flat dataset (DV)'!O48)^2+('Mall Dataset'!$F$3:$F$157-'Resale flat dataset (DV)'!P48)^2)), SQRT(('Mall Dataset'!$E$3:$E$157-'Resale flat dataset (DV)'!O48)^2+('Mall Dataset'!$F$3:$F$157-'Resale flat dataset (DV)'!P48)^2), 0))</f>
        <v>West Mall</v>
      </c>
      <c r="S48" s="38" t="str" cm="1">
        <f t="array" ref="S48">INDEX('Schools dataset'!$B$3:$B$187, MATCH(MIN(SQRT(('Schools dataset'!$J$3:$J$187-'Resale flat dataset (DV)'!O48)^2+('Schools dataset'!$K$3:$K$187-'Resale flat dataset (DV)'!P48)^2)), SQRT(('Schools dataset'!$J$3:$J$187-'Resale flat dataset (DV)'!O48)^2+('Schools dataset'!$K$3:$K$187-'Resale flat dataset (DV)'!P48)^2), 0))</f>
        <v>BUKIT VIEW PRIMARY SCHOOL</v>
      </c>
      <c r="T48" s="39">
        <f>ACOS(COS(RADIANS(90-O48))*COS(RADIANS(90-_xlfn.XLOOKUP(Q48,'MRT station dataset'!$C$3:$C$179,'MRT station dataset'!$E$3:$E$179)))+SIN(RADIANS(90-O48))*SIN(RADIANS(90-_xlfn.XLOOKUP(Q48,'MRT station dataset'!$C$3:$C$179,'MRT station dataset'!$E$3:$E$179)))*COS(RADIANS(P48-_xlfn.XLOOKUP('Resale flat dataset (DV)'!Q48,'MRT station dataset'!$C$3:$C$179,'MRT station dataset'!$F$3:$F$179))))*6371*1000</f>
        <v>483.41435004395163</v>
      </c>
      <c r="U48" s="39">
        <f>ACOS(COS(RADIANS(90-O48))*COS(RADIANS(90-_xlfn.XLOOKUP(R48,'Mall Dataset'!$B$3:$B$157,'Mall Dataset'!$E$3:$E$157,,0)))+SIN(RADIANS(90-O48))*SIN(RADIANS(90-_xlfn.XLOOKUP(R48,'Mall Dataset'!$B$3:$B$157,'Mall Dataset'!$E$3:$E$157,,0)))*COS(RADIANS(P48-_xlfn.XLOOKUP(R48,'Mall Dataset'!$B$3:$B$157,'Mall Dataset'!$F$3:$F$157,,0))))*6371*1000</f>
        <v>616.05175378233218</v>
      </c>
      <c r="V48" s="39">
        <f>ACOS(COS(RADIANS(90-O48))*COS(RADIANS(90-_xlfn.XLOOKUP(S48,'Schools dataset'!$B$3:$B$187,'Schools dataset'!$J$3:$J$187,,0)))+SIN(RADIANS(90-O48))*SIN(RADIANS(90-_xlfn.XLOOKUP(S48,'Schools dataset'!$B$3:$B$187,'Schools dataset'!$J$3:$J$187,,0)))*COS(RADIANS(P48-_xlfn.XLOOKUP(S48,'Schools dataset'!$B$3:$B$187,'Schools dataset'!$K$3:$K$187,,0))))*6371*1000</f>
        <v>108.1117571150274</v>
      </c>
      <c r="W48" s="20">
        <f>_xlfn.XLOOKUP(T48,'HDB Recommender'!$P$10:$P$39,'HDB Recommender'!$Q$10:$Q$39,"&gt;30mins",1)</f>
        <v>7</v>
      </c>
      <c r="X48" s="20">
        <f>_xlfn.XLOOKUP(U48,'HDB Recommender'!$P$10:$P$39,'HDB Recommender'!$Q$10:$Q$39,"&gt;30mins",1)</f>
        <v>9</v>
      </c>
      <c r="Y48" s="20">
        <f>_xlfn.XLOOKUP(V48,'HDB Recommender'!$P$10:$P$39,'HDB Recommender'!$Q$10:$Q$39,"&gt;30mins",1)</f>
        <v>2</v>
      </c>
      <c r="Z48" s="39">
        <f t="shared" si="0"/>
        <v>6</v>
      </c>
      <c r="AA48" s="20" t="str">
        <f t="shared" si="1"/>
        <v>Within 1km</v>
      </c>
    </row>
    <row r="49" spans="2:27">
      <c r="B49" s="35" t="s">
        <v>317</v>
      </c>
      <c r="C49" s="35" t="s">
        <v>394</v>
      </c>
      <c r="D49" s="35" t="s">
        <v>318</v>
      </c>
      <c r="E49" s="35"/>
      <c r="F49" s="35" t="s">
        <v>405</v>
      </c>
      <c r="G49" s="35" t="s">
        <v>189</v>
      </c>
      <c r="H49" s="35">
        <v>67</v>
      </c>
      <c r="I49" s="35" t="s">
        <v>335</v>
      </c>
      <c r="J49" s="36">
        <v>2019</v>
      </c>
      <c r="K49" s="39">
        <v>94.5</v>
      </c>
      <c r="L49" s="37">
        <v>427000</v>
      </c>
      <c r="M49" s="35" t="s">
        <v>406</v>
      </c>
      <c r="N49" s="27">
        <v>651441</v>
      </c>
      <c r="O49" s="38">
        <v>1.3561054854113199</v>
      </c>
      <c r="P49" s="38">
        <v>103.739002965384</v>
      </c>
      <c r="Q49" s="38" t="str" cm="1">
        <f t="array" ref="Q49">INDEX('MRT station dataset'!$C$3:$C$179, MATCH(MIN(SQRT(('MRT station dataset'!$E$3:$E$179-'Resale flat dataset (DV)'!O49)^2+('MRT station dataset'!$F$3:$F$179-'Resale flat dataset (DV)'!P49)^2)), SQRT(('MRT station dataset'!$E$3:$E$179-'Resale flat dataset (DV)'!O49)^2+('MRT station dataset'!$F$3:$F$179-'Resale flat dataset (DV)'!P49)^2), 0))</f>
        <v>BUKIT BATOK MRT STATION</v>
      </c>
      <c r="R49" s="38" t="str" cm="1">
        <f t="array" ref="R49">INDEX('Mall Dataset'!$B$3:$B$157, MATCH(MIN(SQRT(('Mall Dataset'!$E$3:$E$157-'Resale flat dataset (DV)'!O49)^2+('Mall Dataset'!$F$3:$F$157-'Resale flat dataset (DV)'!P49)^2)), SQRT(('Mall Dataset'!$E$3:$E$157-'Resale flat dataset (DV)'!O49)^2+('Mall Dataset'!$F$3:$F$157-'Resale flat dataset (DV)'!P49)^2), 0))</f>
        <v>West Mall</v>
      </c>
      <c r="S49" s="38" t="str" cm="1">
        <f t="array" ref="S49">INDEX('Schools dataset'!$B$3:$B$187, MATCH(MIN(SQRT(('Schools dataset'!$J$3:$J$187-'Resale flat dataset (DV)'!O49)^2+('Schools dataset'!$K$3:$K$187-'Resale flat dataset (DV)'!P49)^2)), SQRT(('Schools dataset'!$J$3:$J$187-'Resale flat dataset (DV)'!O49)^2+('Schools dataset'!$K$3:$K$187-'Resale flat dataset (DV)'!P49)^2), 0))</f>
        <v>PRINCESS ELIZABETH PRIMARY SCHOOL</v>
      </c>
      <c r="T49" s="39">
        <f>ACOS(COS(RADIANS(90-O49))*COS(RADIANS(90-_xlfn.XLOOKUP(Q49,'MRT station dataset'!$C$3:$C$179,'MRT station dataset'!$E$3:$E$179)))+SIN(RADIANS(90-O49))*SIN(RADIANS(90-_xlfn.XLOOKUP(Q49,'MRT station dataset'!$C$3:$C$179,'MRT station dataset'!$E$3:$E$179)))*COS(RADIANS(P49-_xlfn.XLOOKUP('Resale flat dataset (DV)'!Q49,'MRT station dataset'!$C$3:$C$179,'MRT station dataset'!$F$3:$F$179))))*6371*1000</f>
        <v>1418.4328265973502</v>
      </c>
      <c r="U49" s="39">
        <f>ACOS(COS(RADIANS(90-O49))*COS(RADIANS(90-_xlfn.XLOOKUP(R49,'Mall Dataset'!$B$3:$B$157,'Mall Dataset'!$E$3:$E$157,,0)))+SIN(RADIANS(90-O49))*SIN(RADIANS(90-_xlfn.XLOOKUP(R49,'Mall Dataset'!$B$3:$B$157,'Mall Dataset'!$E$3:$E$157,,0)))*COS(RADIANS(P49-_xlfn.XLOOKUP(R49,'Mall Dataset'!$B$3:$B$157,'Mall Dataset'!$F$3:$F$157,,0))))*6371*1000</f>
        <v>1292.9715080819303</v>
      </c>
      <c r="V49" s="39">
        <f>ACOS(COS(RADIANS(90-O49))*COS(RADIANS(90-_xlfn.XLOOKUP(S49,'Schools dataset'!$B$3:$B$187,'Schools dataset'!$J$3:$J$187,,0)))+SIN(RADIANS(90-O49))*SIN(RADIANS(90-_xlfn.XLOOKUP(S49,'Schools dataset'!$B$3:$B$187,'Schools dataset'!$J$3:$J$187,,0)))*COS(RADIANS(P49-_xlfn.XLOOKUP(S49,'Schools dataset'!$B$3:$B$187,'Schools dataset'!$K$3:$K$187,,0))))*6371*1000</f>
        <v>799.5368117200461</v>
      </c>
      <c r="W49" s="20">
        <f>_xlfn.XLOOKUP(T49,'HDB Recommender'!$P$10:$P$39,'HDB Recommender'!$Q$10:$Q$39,"&gt;30mins",1)</f>
        <v>19</v>
      </c>
      <c r="X49" s="20">
        <f>_xlfn.XLOOKUP(U49,'HDB Recommender'!$P$10:$P$39,'HDB Recommender'!$Q$10:$Q$39,"&gt;30mins",1)</f>
        <v>18</v>
      </c>
      <c r="Y49" s="20">
        <f>_xlfn.XLOOKUP(V49,'HDB Recommender'!$P$10:$P$39,'HDB Recommender'!$Q$10:$Q$39,"&gt;30mins",1)</f>
        <v>11</v>
      </c>
      <c r="Z49" s="39">
        <f t="shared" si="0"/>
        <v>16</v>
      </c>
      <c r="AA49" s="20" t="str">
        <f t="shared" si="1"/>
        <v>Within 1km</v>
      </c>
    </row>
    <row r="50" spans="2:27">
      <c r="B50" s="35" t="s">
        <v>317</v>
      </c>
      <c r="C50" s="35" t="s">
        <v>394</v>
      </c>
      <c r="D50" s="35" t="s">
        <v>318</v>
      </c>
      <c r="E50" s="35">
        <v>182</v>
      </c>
      <c r="F50" s="35" t="s">
        <v>405</v>
      </c>
      <c r="G50" s="35" t="s">
        <v>189</v>
      </c>
      <c r="H50" s="35">
        <v>67</v>
      </c>
      <c r="I50" s="35" t="s">
        <v>320</v>
      </c>
      <c r="J50" s="36">
        <v>1984</v>
      </c>
      <c r="K50" s="39">
        <v>60.3333333333333</v>
      </c>
      <c r="L50" s="37">
        <v>368000</v>
      </c>
      <c r="M50" s="35" t="s">
        <v>407</v>
      </c>
      <c r="N50" s="27">
        <v>650182</v>
      </c>
      <c r="O50" s="38">
        <v>1.3455640215701501</v>
      </c>
      <c r="P50" s="38">
        <v>103.743821531821</v>
      </c>
      <c r="Q50" s="38" t="str" cm="1">
        <f t="array" ref="Q50">INDEX('MRT station dataset'!$C$3:$C$179, MATCH(MIN(SQRT(('MRT station dataset'!$E$3:$E$179-'Resale flat dataset (DV)'!O50)^2+('MRT station dataset'!$F$3:$F$179-'Resale flat dataset (DV)'!P50)^2)), SQRT(('MRT station dataset'!$E$3:$E$179-'Resale flat dataset (DV)'!O50)^2+('MRT station dataset'!$F$3:$F$179-'Resale flat dataset (DV)'!P50)^2), 0))</f>
        <v>BUKIT BATOK MRT STATION</v>
      </c>
      <c r="R50" s="38" t="str" cm="1">
        <f t="array" ref="R50">INDEX('Mall Dataset'!$B$3:$B$157, MATCH(MIN(SQRT(('Mall Dataset'!$E$3:$E$157-'Resale flat dataset (DV)'!O50)^2+('Mall Dataset'!$F$3:$F$157-'Resale flat dataset (DV)'!P50)^2)), SQRT(('Mall Dataset'!$E$3:$E$157-'Resale flat dataset (DV)'!O50)^2+('Mall Dataset'!$F$3:$F$157-'Resale flat dataset (DV)'!P50)^2), 0))</f>
        <v>West Mall</v>
      </c>
      <c r="S50" s="38" t="str" cm="1">
        <f t="array" ref="S50">INDEX('Schools dataset'!$B$3:$B$187, MATCH(MIN(SQRT(('Schools dataset'!$J$3:$J$187-'Resale flat dataset (DV)'!O50)^2+('Schools dataset'!$K$3:$K$187-'Resale flat dataset (DV)'!P50)^2)), SQRT(('Schools dataset'!$J$3:$J$187-'Resale flat dataset (DV)'!O50)^2+('Schools dataset'!$K$3:$K$187-'Resale flat dataset (DV)'!P50)^2), 0))</f>
        <v>YUHUA PRIMARY SCHOOL</v>
      </c>
      <c r="T50" s="39">
        <f>ACOS(COS(RADIANS(90-O50))*COS(RADIANS(90-_xlfn.XLOOKUP(Q50,'MRT station dataset'!$C$3:$C$179,'MRT station dataset'!$E$3:$E$179)))+SIN(RADIANS(90-O50))*SIN(RADIANS(90-_xlfn.XLOOKUP(Q50,'MRT station dataset'!$C$3:$C$179,'MRT station dataset'!$E$3:$E$179)))*COS(RADIANS(P50-_xlfn.XLOOKUP('Resale flat dataset (DV)'!Q50,'MRT station dataset'!$C$3:$C$179,'MRT station dataset'!$F$3:$F$179))))*6371*1000</f>
        <v>747.39355559399326</v>
      </c>
      <c r="U50" s="39">
        <f>ACOS(COS(RADIANS(90-O50))*COS(RADIANS(90-_xlfn.XLOOKUP(R50,'Mall Dataset'!$B$3:$B$157,'Mall Dataset'!$E$3:$E$157,,0)))+SIN(RADIANS(90-O50))*SIN(RADIANS(90-_xlfn.XLOOKUP(R50,'Mall Dataset'!$B$3:$B$157,'Mall Dataset'!$E$3:$E$157,,0)))*COS(RADIANS(P50-_xlfn.XLOOKUP(R50,'Mall Dataset'!$B$3:$B$157,'Mall Dataset'!$F$3:$F$157,,0))))*6371*1000</f>
        <v>796.0267053623686</v>
      </c>
      <c r="V50" s="39">
        <f>ACOS(COS(RADIANS(90-O50))*COS(RADIANS(90-_xlfn.XLOOKUP(S50,'Schools dataset'!$B$3:$B$187,'Schools dataset'!$J$3:$J$187,,0)))+SIN(RADIANS(90-O50))*SIN(RADIANS(90-_xlfn.XLOOKUP(S50,'Schools dataset'!$B$3:$B$187,'Schools dataset'!$J$3:$J$187,,0)))*COS(RADIANS(P50-_xlfn.XLOOKUP(S50,'Schools dataset'!$B$3:$B$187,'Schools dataset'!$K$3:$K$187,,0))))*6371*1000</f>
        <v>441.30330930116867</v>
      </c>
      <c r="W50" s="20">
        <f>_xlfn.XLOOKUP(T50,'HDB Recommender'!$P$10:$P$39,'HDB Recommender'!$Q$10:$Q$39,"&gt;30mins",1)</f>
        <v>10</v>
      </c>
      <c r="X50" s="20">
        <f>_xlfn.XLOOKUP(U50,'HDB Recommender'!$P$10:$P$39,'HDB Recommender'!$Q$10:$Q$39,"&gt;30mins",1)</f>
        <v>11</v>
      </c>
      <c r="Y50" s="20">
        <f>_xlfn.XLOOKUP(V50,'HDB Recommender'!$P$10:$P$39,'HDB Recommender'!$Q$10:$Q$39,"&gt;30mins",1)</f>
        <v>6</v>
      </c>
      <c r="Z50" s="39">
        <f t="shared" si="0"/>
        <v>9</v>
      </c>
      <c r="AA50" s="20" t="str">
        <f t="shared" si="1"/>
        <v>Within 1km</v>
      </c>
    </row>
    <row r="51" spans="2:27">
      <c r="B51" s="35" t="s">
        <v>317</v>
      </c>
      <c r="C51" s="35" t="s">
        <v>394</v>
      </c>
      <c r="D51" s="35" t="s">
        <v>318</v>
      </c>
      <c r="E51" s="35"/>
      <c r="F51" s="35" t="s">
        <v>396</v>
      </c>
      <c r="G51" s="35" t="s">
        <v>349</v>
      </c>
      <c r="H51" s="35">
        <v>68</v>
      </c>
      <c r="I51" s="35" t="s">
        <v>335</v>
      </c>
      <c r="J51" s="36">
        <v>2019</v>
      </c>
      <c r="K51" s="39">
        <v>94.5</v>
      </c>
      <c r="L51" s="37">
        <v>425000</v>
      </c>
      <c r="M51" s="35" t="s">
        <v>408</v>
      </c>
      <c r="N51" s="27">
        <v>651448</v>
      </c>
      <c r="O51" s="38">
        <v>1.3528651177451201</v>
      </c>
      <c r="P51" s="38">
        <v>103.74043858457399</v>
      </c>
      <c r="Q51" s="38" t="str" cm="1">
        <f t="array" ref="Q51">INDEX('MRT station dataset'!$C$3:$C$179, MATCH(MIN(SQRT(('MRT station dataset'!$E$3:$E$179-'Resale flat dataset (DV)'!O51)^2+('MRT station dataset'!$F$3:$F$179-'Resale flat dataset (DV)'!P51)^2)), SQRT(('MRT station dataset'!$E$3:$E$179-'Resale flat dataset (DV)'!O51)^2+('MRT station dataset'!$F$3:$F$179-'Resale flat dataset (DV)'!P51)^2), 0))</f>
        <v>BUKIT BATOK MRT STATION</v>
      </c>
      <c r="R51" s="38" t="str" cm="1">
        <f t="array" ref="R51">INDEX('Mall Dataset'!$B$3:$B$157, MATCH(MIN(SQRT(('Mall Dataset'!$E$3:$E$157-'Resale flat dataset (DV)'!O51)^2+('Mall Dataset'!$F$3:$F$157-'Resale flat dataset (DV)'!P51)^2)), SQRT(('Mall Dataset'!$E$3:$E$157-'Resale flat dataset (DV)'!O51)^2+('Mall Dataset'!$F$3:$F$157-'Resale flat dataset (DV)'!P51)^2), 0))</f>
        <v>West Mall</v>
      </c>
      <c r="S51" s="38" t="str" cm="1">
        <f t="array" ref="S51">INDEX('Schools dataset'!$B$3:$B$187, MATCH(MIN(SQRT(('Schools dataset'!$J$3:$J$187-'Resale flat dataset (DV)'!O51)^2+('Schools dataset'!$K$3:$K$187-'Resale flat dataset (DV)'!P51)^2)), SQRT(('Schools dataset'!$J$3:$J$187-'Resale flat dataset (DV)'!O51)^2+('Schools dataset'!$K$3:$K$187-'Resale flat dataset (DV)'!P51)^2), 0))</f>
        <v>PRINCESS ELIZABETH PRIMARY SCHOOL</v>
      </c>
      <c r="T51" s="39">
        <f>ACOS(COS(RADIANS(90-O51))*COS(RADIANS(90-_xlfn.XLOOKUP(Q51,'MRT station dataset'!$C$3:$C$179,'MRT station dataset'!$E$3:$E$179)))+SIN(RADIANS(90-O51))*SIN(RADIANS(90-_xlfn.XLOOKUP(Q51,'MRT station dataset'!$C$3:$C$179,'MRT station dataset'!$E$3:$E$179)))*COS(RADIANS(P51-_xlfn.XLOOKUP('Resale flat dataset (DV)'!Q51,'MRT station dataset'!$C$3:$C$179,'MRT station dataset'!$F$3:$F$179))))*6371*1000</f>
        <v>1105.3917637831451</v>
      </c>
      <c r="U51" s="39">
        <f>ACOS(COS(RADIANS(90-O51))*COS(RADIANS(90-_xlfn.XLOOKUP(R51,'Mall Dataset'!$B$3:$B$157,'Mall Dataset'!$E$3:$E$157,,0)))+SIN(RADIANS(90-O51))*SIN(RADIANS(90-_xlfn.XLOOKUP(R51,'Mall Dataset'!$B$3:$B$157,'Mall Dataset'!$E$3:$E$157,,0)))*COS(RADIANS(P51-_xlfn.XLOOKUP(R51,'Mall Dataset'!$B$3:$B$157,'Mall Dataset'!$F$3:$F$157,,0))))*6371*1000</f>
        <v>1004.3999748195072</v>
      </c>
      <c r="V51" s="39">
        <f>ACOS(COS(RADIANS(90-O51))*COS(RADIANS(90-_xlfn.XLOOKUP(S51,'Schools dataset'!$B$3:$B$187,'Schools dataset'!$J$3:$J$187,,0)))+SIN(RADIANS(90-O51))*SIN(RADIANS(90-_xlfn.XLOOKUP(S51,'Schools dataset'!$B$3:$B$187,'Schools dataset'!$J$3:$J$187,,0)))*COS(RADIANS(P51-_xlfn.XLOOKUP(S51,'Schools dataset'!$B$3:$B$187,'Schools dataset'!$K$3:$K$187,,0))))*6371*1000</f>
        <v>412.24378307162743</v>
      </c>
      <c r="W51" s="20">
        <f>_xlfn.XLOOKUP(T51,'HDB Recommender'!$P$10:$P$39,'HDB Recommender'!$Q$10:$Q$39,"&gt;30mins",1)</f>
        <v>15</v>
      </c>
      <c r="X51" s="20">
        <f>_xlfn.XLOOKUP(U51,'HDB Recommender'!$P$10:$P$39,'HDB Recommender'!$Q$10:$Q$39,"&gt;30mins",1)</f>
        <v>14</v>
      </c>
      <c r="Y51" s="20">
        <f>_xlfn.XLOOKUP(V51,'HDB Recommender'!$P$10:$P$39,'HDB Recommender'!$Q$10:$Q$39,"&gt;30mins",1)</f>
        <v>6</v>
      </c>
      <c r="Z51" s="39">
        <f t="shared" si="0"/>
        <v>11.666666666666666</v>
      </c>
      <c r="AA51" s="20" t="str">
        <f t="shared" si="1"/>
        <v>Within 1km</v>
      </c>
    </row>
    <row r="52" spans="2:27">
      <c r="B52" s="35" t="s">
        <v>317</v>
      </c>
      <c r="C52" s="35" t="s">
        <v>394</v>
      </c>
      <c r="D52" s="35" t="s">
        <v>20</v>
      </c>
      <c r="E52" s="35">
        <v>626</v>
      </c>
      <c r="F52" s="35" t="s">
        <v>409</v>
      </c>
      <c r="G52" s="35" t="s">
        <v>349</v>
      </c>
      <c r="H52" s="35">
        <v>103</v>
      </c>
      <c r="I52" s="35" t="s">
        <v>335</v>
      </c>
      <c r="J52" s="36">
        <v>1997</v>
      </c>
      <c r="K52" s="39">
        <v>72.9166666666666</v>
      </c>
      <c r="L52" s="37">
        <v>593000</v>
      </c>
      <c r="M52" s="35" t="s">
        <v>410</v>
      </c>
      <c r="N52" s="27">
        <v>650626</v>
      </c>
      <c r="O52" s="38">
        <v>1.3517197490197499</v>
      </c>
      <c r="P52" s="38">
        <v>103.749022783849</v>
      </c>
      <c r="Q52" s="38" t="str" cm="1">
        <f t="array" ref="Q52">INDEX('MRT station dataset'!$C$3:$C$179, MATCH(MIN(SQRT(('MRT station dataset'!$E$3:$E$179-'Resale flat dataset (DV)'!O52)^2+('MRT station dataset'!$F$3:$F$179-'Resale flat dataset (DV)'!P52)^2)), SQRT(('MRT station dataset'!$E$3:$E$179-'Resale flat dataset (DV)'!O52)^2+('MRT station dataset'!$F$3:$F$179-'Resale flat dataset (DV)'!P52)^2), 0))</f>
        <v>BUKIT BATOK MRT STATION</v>
      </c>
      <c r="R52" s="38" t="str" cm="1">
        <f t="array" ref="R52">INDEX('Mall Dataset'!$B$3:$B$157, MATCH(MIN(SQRT(('Mall Dataset'!$E$3:$E$157-'Resale flat dataset (DV)'!O52)^2+('Mall Dataset'!$F$3:$F$157-'Resale flat dataset (DV)'!P52)^2)), SQRT(('Mall Dataset'!$E$3:$E$157-'Resale flat dataset (DV)'!O52)^2+('Mall Dataset'!$F$3:$F$157-'Resale flat dataset (DV)'!P52)^2), 0))</f>
        <v>West Mall</v>
      </c>
      <c r="S52" s="38" t="str" cm="1">
        <f t="array" ref="S52">INDEX('Schools dataset'!$B$3:$B$187, MATCH(MIN(SQRT(('Schools dataset'!$J$3:$J$187-'Resale flat dataset (DV)'!O52)^2+('Schools dataset'!$K$3:$K$187-'Resale flat dataset (DV)'!P52)^2)), SQRT(('Schools dataset'!$J$3:$J$187-'Resale flat dataset (DV)'!O52)^2+('Schools dataset'!$K$3:$K$187-'Resale flat dataset (DV)'!P52)^2), 0))</f>
        <v>LIANHUA PRIMARY SCHOOL</v>
      </c>
      <c r="T52" s="39">
        <f>ACOS(COS(RADIANS(90-O52))*COS(RADIANS(90-_xlfn.XLOOKUP(Q52,'MRT station dataset'!$C$3:$C$179,'MRT station dataset'!$E$3:$E$179)))+SIN(RADIANS(90-O52))*SIN(RADIANS(90-_xlfn.XLOOKUP(Q52,'MRT station dataset'!$C$3:$C$179,'MRT station dataset'!$E$3:$E$179)))*COS(RADIANS(P52-_xlfn.XLOOKUP('Resale flat dataset (DV)'!Q52,'MRT station dataset'!$C$3:$C$179,'MRT station dataset'!$F$3:$F$179))))*6371*1000</f>
        <v>309.15444742278765</v>
      </c>
      <c r="U52" s="39">
        <f>ACOS(COS(RADIANS(90-O52))*COS(RADIANS(90-_xlfn.XLOOKUP(R52,'Mall Dataset'!$B$3:$B$157,'Mall Dataset'!$E$3:$E$157,,0)))+SIN(RADIANS(90-O52))*SIN(RADIANS(90-_xlfn.XLOOKUP(R52,'Mall Dataset'!$B$3:$B$157,'Mall Dataset'!$E$3:$E$157,,0)))*COS(RADIANS(P52-_xlfn.XLOOKUP(R52,'Mall Dataset'!$B$3:$B$157,'Mall Dataset'!$F$3:$F$157,,0))))*6371*1000</f>
        <v>149.90493980563136</v>
      </c>
      <c r="V52" s="39">
        <f>ACOS(COS(RADIANS(90-O52))*COS(RADIANS(90-_xlfn.XLOOKUP(S52,'Schools dataset'!$B$3:$B$187,'Schools dataset'!$J$3:$J$187,,0)))+SIN(RADIANS(90-O52))*SIN(RADIANS(90-_xlfn.XLOOKUP(S52,'Schools dataset'!$B$3:$B$187,'Schools dataset'!$J$3:$J$187,,0)))*COS(RADIANS(P52-_xlfn.XLOOKUP(S52,'Schools dataset'!$B$3:$B$187,'Schools dataset'!$K$3:$K$187,,0))))*6371*1000</f>
        <v>629.40790222396402</v>
      </c>
      <c r="W52" s="20">
        <f>_xlfn.XLOOKUP(T52,'HDB Recommender'!$P$10:$P$39,'HDB Recommender'!$Q$10:$Q$39,"&gt;30mins",1)</f>
        <v>5</v>
      </c>
      <c r="X52" s="20">
        <f>_xlfn.XLOOKUP(U52,'HDB Recommender'!$P$10:$P$39,'HDB Recommender'!$Q$10:$Q$39,"&gt;30mins",1)</f>
        <v>2</v>
      </c>
      <c r="Y52" s="20">
        <f>_xlfn.XLOOKUP(V52,'HDB Recommender'!$P$10:$P$39,'HDB Recommender'!$Q$10:$Q$39,"&gt;30mins",1)</f>
        <v>9</v>
      </c>
      <c r="Z52" s="39">
        <f t="shared" si="0"/>
        <v>5.333333333333333</v>
      </c>
      <c r="AA52" s="20" t="str">
        <f t="shared" si="1"/>
        <v>Within 1km</v>
      </c>
    </row>
    <row r="53" spans="2:27">
      <c r="B53" s="35" t="s">
        <v>317</v>
      </c>
      <c r="C53" s="35" t="s">
        <v>394</v>
      </c>
      <c r="D53" s="35" t="s">
        <v>20</v>
      </c>
      <c r="E53" s="35">
        <v>622</v>
      </c>
      <c r="F53" s="35" t="s">
        <v>409</v>
      </c>
      <c r="G53" s="35" t="s">
        <v>411</v>
      </c>
      <c r="H53" s="35">
        <v>90</v>
      </c>
      <c r="I53" s="35" t="s">
        <v>335</v>
      </c>
      <c r="J53" s="36">
        <v>2003</v>
      </c>
      <c r="K53" s="39">
        <v>79.1666666666666</v>
      </c>
      <c r="L53" s="37">
        <v>755000</v>
      </c>
      <c r="M53" s="35" t="s">
        <v>412</v>
      </c>
      <c r="N53" s="27">
        <v>650622</v>
      </c>
      <c r="O53" s="38">
        <v>1.3507164379973899</v>
      </c>
      <c r="P53" s="38">
        <v>103.74849640619099</v>
      </c>
      <c r="Q53" s="38" t="str" cm="1">
        <f t="array" ref="Q53">INDEX('MRT station dataset'!$C$3:$C$179, MATCH(MIN(SQRT(('MRT station dataset'!$E$3:$E$179-'Resale flat dataset (DV)'!O53)^2+('MRT station dataset'!$F$3:$F$179-'Resale flat dataset (DV)'!P53)^2)), SQRT(('MRT station dataset'!$E$3:$E$179-'Resale flat dataset (DV)'!O53)^2+('MRT station dataset'!$F$3:$F$179-'Resale flat dataset (DV)'!P53)^2), 0))</f>
        <v>BUKIT BATOK MRT STATION</v>
      </c>
      <c r="R53" s="38" t="str" cm="1">
        <f t="array" ref="R53">INDEX('Mall Dataset'!$B$3:$B$157, MATCH(MIN(SQRT(('Mall Dataset'!$E$3:$E$157-'Resale flat dataset (DV)'!O53)^2+('Mall Dataset'!$F$3:$F$157-'Resale flat dataset (DV)'!P53)^2)), SQRT(('Mall Dataset'!$E$3:$E$157-'Resale flat dataset (DV)'!O53)^2+('Mall Dataset'!$F$3:$F$157-'Resale flat dataset (DV)'!P53)^2), 0))</f>
        <v>West Mall</v>
      </c>
      <c r="S53" s="38" t="str" cm="1">
        <f t="array" ref="S53">INDEX('Schools dataset'!$B$3:$B$187, MATCH(MIN(SQRT(('Schools dataset'!$J$3:$J$187-'Resale flat dataset (DV)'!O53)^2+('Schools dataset'!$K$3:$K$187-'Resale flat dataset (DV)'!P53)^2)), SQRT(('Schools dataset'!$J$3:$J$187-'Resale flat dataset (DV)'!O53)^2+('Schools dataset'!$K$3:$K$187-'Resale flat dataset (DV)'!P53)^2), 0))</f>
        <v>LIANHUA PRIMARY SCHOOL</v>
      </c>
      <c r="T53" s="39">
        <f>ACOS(COS(RADIANS(90-O53))*COS(RADIANS(90-_xlfn.XLOOKUP(Q53,'MRT station dataset'!$C$3:$C$179,'MRT station dataset'!$E$3:$E$179)))+SIN(RADIANS(90-O53))*SIN(RADIANS(90-_xlfn.XLOOKUP(Q53,'MRT station dataset'!$C$3:$C$179,'MRT station dataset'!$E$3:$E$179)))*COS(RADIANS(P53-_xlfn.XLOOKUP('Resale flat dataset (DV)'!Q53,'MRT station dataset'!$C$3:$C$179,'MRT station dataset'!$F$3:$F$179))))*6371*1000</f>
        <v>226.88678206211566</v>
      </c>
      <c r="U53" s="39">
        <f>ACOS(COS(RADIANS(90-O53))*COS(RADIANS(90-_xlfn.XLOOKUP(R53,'Mall Dataset'!$B$3:$B$157,'Mall Dataset'!$E$3:$E$157,,0)))+SIN(RADIANS(90-O53))*SIN(RADIANS(90-_xlfn.XLOOKUP(R53,'Mall Dataset'!$B$3:$B$157,'Mall Dataset'!$E$3:$E$157,,0)))*COS(RADIANS(P53-_xlfn.XLOOKUP(R53,'Mall Dataset'!$B$3:$B$157,'Mall Dataset'!$F$3:$F$157,,0))))*6371*1000</f>
        <v>79.394747838902546</v>
      </c>
      <c r="V53" s="39">
        <f>ACOS(COS(RADIANS(90-O53))*COS(RADIANS(90-_xlfn.XLOOKUP(S53,'Schools dataset'!$B$3:$B$187,'Schools dataset'!$J$3:$J$187,,0)))+SIN(RADIANS(90-O53))*SIN(RADIANS(90-_xlfn.XLOOKUP(S53,'Schools dataset'!$B$3:$B$187,'Schools dataset'!$J$3:$J$187,,0)))*COS(RADIANS(P53-_xlfn.XLOOKUP(S53,'Schools dataset'!$B$3:$B$187,'Schools dataset'!$K$3:$K$187,,0))))*6371*1000</f>
        <v>734.22439637007983</v>
      </c>
      <c r="W53" s="20">
        <f>_xlfn.XLOOKUP(T53,'HDB Recommender'!$P$10:$P$39,'HDB Recommender'!$Q$10:$Q$39,"&gt;30mins",1)</f>
        <v>4</v>
      </c>
      <c r="X53" s="20">
        <f>_xlfn.XLOOKUP(U53,'HDB Recommender'!$P$10:$P$39,'HDB Recommender'!$Q$10:$Q$39,"&gt;30mins",1)</f>
        <v>2</v>
      </c>
      <c r="Y53" s="20">
        <f>_xlfn.XLOOKUP(V53,'HDB Recommender'!$P$10:$P$39,'HDB Recommender'!$Q$10:$Q$39,"&gt;30mins",1)</f>
        <v>10</v>
      </c>
      <c r="Z53" s="39">
        <f t="shared" si="0"/>
        <v>5.333333333333333</v>
      </c>
      <c r="AA53" s="20" t="str">
        <f t="shared" si="1"/>
        <v>Within 1km</v>
      </c>
    </row>
    <row r="54" spans="2:27">
      <c r="B54" s="35" t="s">
        <v>317</v>
      </c>
      <c r="C54" s="35" t="s">
        <v>394</v>
      </c>
      <c r="D54" s="35" t="s">
        <v>20</v>
      </c>
      <c r="E54" s="35"/>
      <c r="F54" s="35" t="s">
        <v>413</v>
      </c>
      <c r="G54" s="35" t="s">
        <v>323</v>
      </c>
      <c r="H54" s="35">
        <v>95</v>
      </c>
      <c r="I54" s="35" t="s">
        <v>389</v>
      </c>
      <c r="J54" s="36">
        <v>2018</v>
      </c>
      <c r="K54" s="39">
        <v>93.5</v>
      </c>
      <c r="L54" s="37">
        <v>750000</v>
      </c>
      <c r="M54" s="35" t="s">
        <v>414</v>
      </c>
      <c r="N54" s="27">
        <v>651296</v>
      </c>
      <c r="O54" s="38">
        <v>1.34409358218354</v>
      </c>
      <c r="P54" s="38">
        <v>103.746409176377</v>
      </c>
      <c r="Q54" s="38" t="str" cm="1">
        <f t="array" ref="Q54">INDEX('MRT station dataset'!$C$3:$C$179, MATCH(MIN(SQRT(('MRT station dataset'!$E$3:$E$179-'Resale flat dataset (DV)'!O54)^2+('MRT station dataset'!$F$3:$F$179-'Resale flat dataset (DV)'!P54)^2)), SQRT(('MRT station dataset'!$E$3:$E$179-'Resale flat dataset (DV)'!O54)^2+('MRT station dataset'!$F$3:$F$179-'Resale flat dataset (DV)'!P54)^2), 0))</f>
        <v>BUKIT BATOK MRT STATION</v>
      </c>
      <c r="R54" s="38" t="str" cm="1">
        <f t="array" ref="R54">INDEX('Mall Dataset'!$B$3:$B$157, MATCH(MIN(SQRT(('Mall Dataset'!$E$3:$E$157-'Resale flat dataset (DV)'!O54)^2+('Mall Dataset'!$F$3:$F$157-'Resale flat dataset (DV)'!P54)^2)), SQRT(('Mall Dataset'!$E$3:$E$157-'Resale flat dataset (DV)'!O54)^2+('Mall Dataset'!$F$3:$F$157-'Resale flat dataset (DV)'!P54)^2), 0))</f>
        <v>West Mall</v>
      </c>
      <c r="S54" s="38" t="str" cm="1">
        <f t="array" ref="S54">INDEX('Schools dataset'!$B$3:$B$187, MATCH(MIN(SQRT(('Schools dataset'!$J$3:$J$187-'Resale flat dataset (DV)'!O54)^2+('Schools dataset'!$K$3:$K$187-'Resale flat dataset (DV)'!P54)^2)), SQRT(('Schools dataset'!$J$3:$J$187-'Resale flat dataset (DV)'!O54)^2+('Schools dataset'!$K$3:$K$187-'Resale flat dataset (DV)'!P54)^2), 0))</f>
        <v>YUHUA PRIMARY SCHOOL</v>
      </c>
      <c r="T54" s="39">
        <f>ACOS(COS(RADIANS(90-O54))*COS(RADIANS(90-_xlfn.XLOOKUP(Q54,'MRT station dataset'!$C$3:$C$179,'MRT station dataset'!$E$3:$E$179)))+SIN(RADIANS(90-O54))*SIN(RADIANS(90-_xlfn.XLOOKUP(Q54,'MRT station dataset'!$C$3:$C$179,'MRT station dataset'!$E$3:$E$179)))*COS(RADIANS(P54-_xlfn.XLOOKUP('Resale flat dataset (DV)'!Q54,'MRT station dataset'!$C$3:$C$179,'MRT station dataset'!$F$3:$F$179))))*6371*1000</f>
        <v>650.73897061531966</v>
      </c>
      <c r="U54" s="39">
        <f>ACOS(COS(RADIANS(90-O54))*COS(RADIANS(90-_xlfn.XLOOKUP(R54,'Mall Dataset'!$B$3:$B$157,'Mall Dataset'!$E$3:$E$157,,0)))+SIN(RADIANS(90-O54))*SIN(RADIANS(90-_xlfn.XLOOKUP(R54,'Mall Dataset'!$B$3:$B$157,'Mall Dataset'!$E$3:$E$157,,0)))*COS(RADIANS(P54-_xlfn.XLOOKUP(R54,'Mall Dataset'!$B$3:$B$157,'Mall Dataset'!$F$3:$F$157,,0))))*6371*1000</f>
        <v>760.91015064462169</v>
      </c>
      <c r="V54" s="39">
        <f>ACOS(COS(RADIANS(90-O54))*COS(RADIANS(90-_xlfn.XLOOKUP(S54,'Schools dataset'!$B$3:$B$187,'Schools dataset'!$J$3:$J$187,,0)))+SIN(RADIANS(90-O54))*SIN(RADIANS(90-_xlfn.XLOOKUP(S54,'Schools dataset'!$B$3:$B$187,'Schools dataset'!$J$3:$J$187,,0)))*COS(RADIANS(P54-_xlfn.XLOOKUP(S54,'Schools dataset'!$B$3:$B$187,'Schools dataset'!$K$3:$K$187,,0))))*6371*1000</f>
        <v>630.40183243197509</v>
      </c>
      <c r="W54" s="20">
        <f>_xlfn.XLOOKUP(T54,'HDB Recommender'!$P$10:$P$39,'HDB Recommender'!$Q$10:$Q$39,"&gt;30mins",1)</f>
        <v>9</v>
      </c>
      <c r="X54" s="20">
        <f>_xlfn.XLOOKUP(U54,'HDB Recommender'!$P$10:$P$39,'HDB Recommender'!$Q$10:$Q$39,"&gt;30mins",1)</f>
        <v>11</v>
      </c>
      <c r="Y54" s="20">
        <f>_xlfn.XLOOKUP(V54,'HDB Recommender'!$P$10:$P$39,'HDB Recommender'!$Q$10:$Q$39,"&gt;30mins",1)</f>
        <v>9</v>
      </c>
      <c r="Z54" s="39">
        <f t="shared" si="0"/>
        <v>9.6666666666666661</v>
      </c>
      <c r="AA54" s="20" t="str">
        <f t="shared" si="1"/>
        <v>Within 1km</v>
      </c>
    </row>
    <row r="55" spans="2:27">
      <c r="B55" s="35" t="s">
        <v>317</v>
      </c>
      <c r="C55" s="35" t="s">
        <v>394</v>
      </c>
      <c r="D55" s="35" t="s">
        <v>20</v>
      </c>
      <c r="E55" s="35">
        <v>363</v>
      </c>
      <c r="F55" s="35" t="s">
        <v>415</v>
      </c>
      <c r="G55" s="35" t="s">
        <v>191</v>
      </c>
      <c r="H55" s="35">
        <v>94</v>
      </c>
      <c r="I55" s="35" t="s">
        <v>320</v>
      </c>
      <c r="J55" s="36">
        <v>1987</v>
      </c>
      <c r="K55" s="39">
        <v>63.0833333333333</v>
      </c>
      <c r="L55" s="37">
        <v>510000</v>
      </c>
      <c r="M55" s="35" t="s">
        <v>416</v>
      </c>
      <c r="N55" s="27">
        <v>650363</v>
      </c>
      <c r="O55" s="38">
        <v>1.36101444441179</v>
      </c>
      <c r="P55" s="38">
        <v>103.74944732311999</v>
      </c>
      <c r="Q55" s="38" t="str" cm="1">
        <f t="array" ref="Q55">INDEX('MRT station dataset'!$C$3:$C$179, MATCH(MIN(SQRT(('MRT station dataset'!$E$3:$E$179-'Resale flat dataset (DV)'!O55)^2+('MRT station dataset'!$F$3:$F$179-'Resale flat dataset (DV)'!P55)^2)), SQRT(('MRT station dataset'!$E$3:$E$179-'Resale flat dataset (DV)'!O55)^2+('MRT station dataset'!$F$3:$F$179-'Resale flat dataset (DV)'!P55)^2), 0))</f>
        <v>BUKIT GOMBAK MRT STATION</v>
      </c>
      <c r="R55" s="38" t="str" cm="1">
        <f t="array" ref="R55">INDEX('Mall Dataset'!$B$3:$B$157, MATCH(MIN(SQRT(('Mall Dataset'!$E$3:$E$157-'Resale flat dataset (DV)'!O55)^2+('Mall Dataset'!$F$3:$F$157-'Resale flat dataset (DV)'!P55)^2)), SQRT(('Mall Dataset'!$E$3:$E$157-'Resale flat dataset (DV)'!O55)^2+('Mall Dataset'!$F$3:$F$157-'Resale flat dataset (DV)'!P55)^2), 0))</f>
        <v>West Mall</v>
      </c>
      <c r="S55" s="38" t="str" cm="1">
        <f t="array" ref="S55">INDEX('Schools dataset'!$B$3:$B$187, MATCH(MIN(SQRT(('Schools dataset'!$J$3:$J$187-'Resale flat dataset (DV)'!O55)^2+('Schools dataset'!$K$3:$K$187-'Resale flat dataset (DV)'!P55)^2)), SQRT(('Schools dataset'!$J$3:$J$187-'Resale flat dataset (DV)'!O55)^2+('Schools dataset'!$K$3:$K$187-'Resale flat dataset (DV)'!P55)^2), 0))</f>
        <v>DAZHONG PRIMARY SCHOOL</v>
      </c>
      <c r="T55" s="39">
        <f>ACOS(COS(RADIANS(90-O55))*COS(RADIANS(90-_xlfn.XLOOKUP(Q55,'MRT station dataset'!$C$3:$C$179,'MRT station dataset'!$E$3:$E$179)))+SIN(RADIANS(90-O55))*SIN(RADIANS(90-_xlfn.XLOOKUP(Q55,'MRT station dataset'!$C$3:$C$179,'MRT station dataset'!$E$3:$E$179)))*COS(RADIANS(P55-_xlfn.XLOOKUP('Resale flat dataset (DV)'!Q55,'MRT station dataset'!$C$3:$C$179,'MRT station dataset'!$F$3:$F$179))))*6371*1000</f>
        <v>367.38102041263022</v>
      </c>
      <c r="U55" s="39">
        <f>ACOS(COS(RADIANS(90-O55))*COS(RADIANS(90-_xlfn.XLOOKUP(R55,'Mall Dataset'!$B$3:$B$157,'Mall Dataset'!$E$3:$E$157,,0)))+SIN(RADIANS(90-O55))*SIN(RADIANS(90-_xlfn.XLOOKUP(R55,'Mall Dataset'!$B$3:$B$157,'Mall Dataset'!$E$3:$E$157,,0)))*COS(RADIANS(P55-_xlfn.XLOOKUP(R55,'Mall Dataset'!$B$3:$B$157,'Mall Dataset'!$F$3:$F$157,,0))))*6371*1000</f>
        <v>1183.5521781061748</v>
      </c>
      <c r="V55" s="39">
        <f>ACOS(COS(RADIANS(90-O55))*COS(RADIANS(90-_xlfn.XLOOKUP(S55,'Schools dataset'!$B$3:$B$187,'Schools dataset'!$J$3:$J$187,,0)))+SIN(RADIANS(90-O55))*SIN(RADIANS(90-_xlfn.XLOOKUP(S55,'Schools dataset'!$B$3:$B$187,'Schools dataset'!$J$3:$J$187,,0)))*COS(RADIANS(P55-_xlfn.XLOOKUP(S55,'Schools dataset'!$B$3:$B$187,'Schools dataset'!$K$3:$K$187,,0))))*6371*1000</f>
        <v>262.30265488523651</v>
      </c>
      <c r="W55" s="20">
        <f>_xlfn.XLOOKUP(T55,'HDB Recommender'!$P$10:$P$39,'HDB Recommender'!$Q$10:$Q$39,"&gt;30mins",1)</f>
        <v>5</v>
      </c>
      <c r="X55" s="20">
        <f>_xlfn.XLOOKUP(U55,'HDB Recommender'!$P$10:$P$39,'HDB Recommender'!$Q$10:$Q$39,"&gt;30mins",1)</f>
        <v>16</v>
      </c>
      <c r="Y55" s="20">
        <f>_xlfn.XLOOKUP(V55,'HDB Recommender'!$P$10:$P$39,'HDB Recommender'!$Q$10:$Q$39,"&gt;30mins",1)</f>
        <v>4</v>
      </c>
      <c r="Z55" s="39">
        <f t="shared" si="0"/>
        <v>8.3333333333333339</v>
      </c>
      <c r="AA55" s="20" t="str">
        <f t="shared" si="1"/>
        <v>Within 1km</v>
      </c>
    </row>
    <row r="56" spans="2:27">
      <c r="B56" s="35" t="s">
        <v>317</v>
      </c>
      <c r="C56" s="35" t="s">
        <v>394</v>
      </c>
      <c r="D56" s="35" t="s">
        <v>20</v>
      </c>
      <c r="E56" s="35">
        <v>360</v>
      </c>
      <c r="F56" s="35" t="s">
        <v>415</v>
      </c>
      <c r="G56" s="35" t="s">
        <v>189</v>
      </c>
      <c r="H56" s="35">
        <v>94</v>
      </c>
      <c r="I56" s="35" t="s">
        <v>320</v>
      </c>
      <c r="J56" s="36">
        <v>1987</v>
      </c>
      <c r="K56" s="39">
        <v>63.0833333333333</v>
      </c>
      <c r="L56" s="37">
        <v>505000</v>
      </c>
      <c r="M56" s="35" t="s">
        <v>417</v>
      </c>
      <c r="N56" s="27">
        <v>650360</v>
      </c>
      <c r="O56" s="38">
        <v>1.36106704830424</v>
      </c>
      <c r="P56" s="38">
        <v>103.75062543201101</v>
      </c>
      <c r="Q56" s="38" t="str" cm="1">
        <f t="array" ref="Q56">INDEX('MRT station dataset'!$C$3:$C$179, MATCH(MIN(SQRT(('MRT station dataset'!$E$3:$E$179-'Resale flat dataset (DV)'!O56)^2+('MRT station dataset'!$F$3:$F$179-'Resale flat dataset (DV)'!P56)^2)), SQRT(('MRT station dataset'!$E$3:$E$179-'Resale flat dataset (DV)'!O56)^2+('MRT station dataset'!$F$3:$F$179-'Resale flat dataset (DV)'!P56)^2), 0))</f>
        <v>BUKIT GOMBAK MRT STATION</v>
      </c>
      <c r="R56" s="38" t="str" cm="1">
        <f t="array" ref="R56">INDEX('Mall Dataset'!$B$3:$B$157, MATCH(MIN(SQRT(('Mall Dataset'!$E$3:$E$157-'Resale flat dataset (DV)'!O56)^2+('Mall Dataset'!$F$3:$F$157-'Resale flat dataset (DV)'!P56)^2)), SQRT(('Mall Dataset'!$E$3:$E$157-'Resale flat dataset (DV)'!O56)^2+('Mall Dataset'!$F$3:$F$157-'Resale flat dataset (DV)'!P56)^2), 0))</f>
        <v>West Mall</v>
      </c>
      <c r="S56" s="38" t="str" cm="1">
        <f t="array" ref="S56">INDEX('Schools dataset'!$B$3:$B$187, MATCH(MIN(SQRT(('Schools dataset'!$J$3:$J$187-'Resale flat dataset (DV)'!O56)^2+('Schools dataset'!$K$3:$K$187-'Resale flat dataset (DV)'!P56)^2)), SQRT(('Schools dataset'!$J$3:$J$187-'Resale flat dataset (DV)'!O56)^2+('Schools dataset'!$K$3:$K$187-'Resale flat dataset (DV)'!P56)^2), 0))</f>
        <v>DAZHONG PRIMARY SCHOOL</v>
      </c>
      <c r="T56" s="39">
        <f>ACOS(COS(RADIANS(90-O56))*COS(RADIANS(90-_xlfn.XLOOKUP(Q56,'MRT station dataset'!$C$3:$C$179,'MRT station dataset'!$E$3:$E$179)))+SIN(RADIANS(90-O56))*SIN(RADIANS(90-_xlfn.XLOOKUP(Q56,'MRT station dataset'!$C$3:$C$179,'MRT station dataset'!$E$3:$E$179)))*COS(RADIANS(P56-_xlfn.XLOOKUP('Resale flat dataset (DV)'!Q56,'MRT station dataset'!$C$3:$C$179,'MRT station dataset'!$F$3:$F$179))))*6371*1000</f>
        <v>289.17344747148957</v>
      </c>
      <c r="U56" s="39">
        <f>ACOS(COS(RADIANS(90-O56))*COS(RADIANS(90-_xlfn.XLOOKUP(R56,'Mall Dataset'!$B$3:$B$157,'Mall Dataset'!$E$3:$E$157,,0)))+SIN(RADIANS(90-O56))*SIN(RADIANS(90-_xlfn.XLOOKUP(R56,'Mall Dataset'!$B$3:$B$157,'Mall Dataset'!$E$3:$E$157,,0)))*COS(RADIANS(P56-_xlfn.XLOOKUP(R56,'Mall Dataset'!$B$3:$B$157,'Mall Dataset'!$F$3:$F$157,,0))))*6371*1000</f>
        <v>1200.5157225170346</v>
      </c>
      <c r="V56" s="39">
        <f>ACOS(COS(RADIANS(90-O56))*COS(RADIANS(90-_xlfn.XLOOKUP(S56,'Schools dataset'!$B$3:$B$187,'Schools dataset'!$J$3:$J$187,,0)))+SIN(RADIANS(90-O56))*SIN(RADIANS(90-_xlfn.XLOOKUP(S56,'Schools dataset'!$B$3:$B$187,'Schools dataset'!$J$3:$J$187,,0)))*COS(RADIANS(P56-_xlfn.XLOOKUP(S56,'Schools dataset'!$B$3:$B$187,'Schools dataset'!$K$3:$K$187,,0))))*6371*1000</f>
        <v>356.52321387010556</v>
      </c>
      <c r="W56" s="20">
        <f>_xlfn.XLOOKUP(T56,'HDB Recommender'!$P$10:$P$39,'HDB Recommender'!$Q$10:$Q$39,"&gt;30mins",1)</f>
        <v>4</v>
      </c>
      <c r="X56" s="20">
        <f>_xlfn.XLOOKUP(U56,'HDB Recommender'!$P$10:$P$39,'HDB Recommender'!$Q$10:$Q$39,"&gt;30mins",1)</f>
        <v>17</v>
      </c>
      <c r="Y56" s="20">
        <f>_xlfn.XLOOKUP(V56,'HDB Recommender'!$P$10:$P$39,'HDB Recommender'!$Q$10:$Q$39,"&gt;30mins",1)</f>
        <v>5</v>
      </c>
      <c r="Z56" s="39">
        <f t="shared" si="0"/>
        <v>8.6666666666666661</v>
      </c>
      <c r="AA56" s="20" t="str">
        <f t="shared" si="1"/>
        <v>Within 1km</v>
      </c>
    </row>
    <row r="57" spans="2:27">
      <c r="B57" s="35" t="s">
        <v>317</v>
      </c>
      <c r="C57" s="35" t="s">
        <v>394</v>
      </c>
      <c r="D57" s="35" t="s">
        <v>20</v>
      </c>
      <c r="E57" s="35"/>
      <c r="F57" s="35" t="s">
        <v>418</v>
      </c>
      <c r="G57" s="35" t="s">
        <v>346</v>
      </c>
      <c r="H57" s="35">
        <v>93</v>
      </c>
      <c r="I57" s="35" t="s">
        <v>335</v>
      </c>
      <c r="J57" s="36">
        <v>2019</v>
      </c>
      <c r="K57" s="39">
        <v>94.5</v>
      </c>
      <c r="L57" s="37">
        <v>660000</v>
      </c>
      <c r="M57" s="35" t="s">
        <v>419</v>
      </c>
      <c r="N57" s="27">
        <v>651453</v>
      </c>
      <c r="O57" s="38">
        <v>1.35227488305445</v>
      </c>
      <c r="P57" s="38">
        <v>103.742253260513</v>
      </c>
      <c r="Q57" s="38" t="str" cm="1">
        <f t="array" ref="Q57">INDEX('MRT station dataset'!$C$3:$C$179, MATCH(MIN(SQRT(('MRT station dataset'!$E$3:$E$179-'Resale flat dataset (DV)'!O57)^2+('MRT station dataset'!$F$3:$F$179-'Resale flat dataset (DV)'!P57)^2)), SQRT(('MRT station dataset'!$E$3:$E$179-'Resale flat dataset (DV)'!O57)^2+('MRT station dataset'!$F$3:$F$179-'Resale flat dataset (DV)'!P57)^2), 0))</f>
        <v>BUKIT BATOK MRT STATION</v>
      </c>
      <c r="R57" s="38" t="str" cm="1">
        <f t="array" ref="R57">INDEX('Mall Dataset'!$B$3:$B$157, MATCH(MIN(SQRT(('Mall Dataset'!$E$3:$E$157-'Resale flat dataset (DV)'!O57)^2+('Mall Dataset'!$F$3:$F$157-'Resale flat dataset (DV)'!P57)^2)), SQRT(('Mall Dataset'!$E$3:$E$157-'Resale flat dataset (DV)'!O57)^2+('Mall Dataset'!$F$3:$F$157-'Resale flat dataset (DV)'!P57)^2), 0))</f>
        <v>West Mall</v>
      </c>
      <c r="S57" s="38" t="str" cm="1">
        <f t="array" ref="S57">INDEX('Schools dataset'!$B$3:$B$187, MATCH(MIN(SQRT(('Schools dataset'!$J$3:$J$187-'Resale flat dataset (DV)'!O57)^2+('Schools dataset'!$K$3:$K$187-'Resale flat dataset (DV)'!P57)^2)), SQRT(('Schools dataset'!$J$3:$J$187-'Resale flat dataset (DV)'!O57)^2+('Schools dataset'!$K$3:$K$187-'Resale flat dataset (DV)'!P57)^2), 0))</f>
        <v>PRINCESS ELIZABETH PRIMARY SCHOOL</v>
      </c>
      <c r="T57" s="39">
        <f>ACOS(COS(RADIANS(90-O57))*COS(RADIANS(90-_xlfn.XLOOKUP(Q57,'MRT station dataset'!$C$3:$C$179,'MRT station dataset'!$E$3:$E$179)))+SIN(RADIANS(90-O57))*SIN(RADIANS(90-_xlfn.XLOOKUP(Q57,'MRT station dataset'!$C$3:$C$179,'MRT station dataset'!$E$3:$E$179)))*COS(RADIANS(P57-_xlfn.XLOOKUP('Resale flat dataset (DV)'!Q57,'MRT station dataset'!$C$3:$C$179,'MRT station dataset'!$F$3:$F$179))))*6371*1000</f>
        <v>894.19979038025303</v>
      </c>
      <c r="U57" s="39">
        <f>ACOS(COS(RADIANS(90-O57))*COS(RADIANS(90-_xlfn.XLOOKUP(R57,'Mall Dataset'!$B$3:$B$157,'Mall Dataset'!$E$3:$E$157,,0)))+SIN(RADIANS(90-O57))*SIN(RADIANS(90-_xlfn.XLOOKUP(R57,'Mall Dataset'!$B$3:$B$157,'Mall Dataset'!$E$3:$E$157,,0)))*COS(RADIANS(P57-_xlfn.XLOOKUP(R57,'Mall Dataset'!$B$3:$B$157,'Mall Dataset'!$F$3:$F$157,,0))))*6371*1000</f>
        <v>792.43304195632697</v>
      </c>
      <c r="V57" s="39">
        <f>ACOS(COS(RADIANS(90-O57))*COS(RADIANS(90-_xlfn.XLOOKUP(S57,'Schools dataset'!$B$3:$B$187,'Schools dataset'!$J$3:$J$187,,0)))+SIN(RADIANS(90-O57))*SIN(RADIANS(90-_xlfn.XLOOKUP(S57,'Schools dataset'!$B$3:$B$187,'Schools dataset'!$J$3:$J$187,,0)))*COS(RADIANS(P57-_xlfn.XLOOKUP(S57,'Schools dataset'!$B$3:$B$187,'Schools dataset'!$K$3:$K$187,,0))))*6371*1000</f>
        <v>368.0246019695428</v>
      </c>
      <c r="W57" s="20">
        <f>_xlfn.XLOOKUP(T57,'HDB Recommender'!$P$10:$P$39,'HDB Recommender'!$Q$10:$Q$39,"&gt;30mins",1)</f>
        <v>12</v>
      </c>
      <c r="X57" s="20">
        <f>_xlfn.XLOOKUP(U57,'HDB Recommender'!$P$10:$P$39,'HDB Recommender'!$Q$10:$Q$39,"&gt;30mins",1)</f>
        <v>11</v>
      </c>
      <c r="Y57" s="20">
        <f>_xlfn.XLOOKUP(V57,'HDB Recommender'!$P$10:$P$39,'HDB Recommender'!$Q$10:$Q$39,"&gt;30mins",1)</f>
        <v>5</v>
      </c>
      <c r="Z57" s="39">
        <f t="shared" si="0"/>
        <v>9.3333333333333339</v>
      </c>
      <c r="AA57" s="20" t="str">
        <f t="shared" si="1"/>
        <v>Within 1km</v>
      </c>
    </row>
    <row r="58" spans="2:27">
      <c r="B58" s="35" t="s">
        <v>317</v>
      </c>
      <c r="C58" s="35" t="s">
        <v>394</v>
      </c>
      <c r="D58" s="35" t="s">
        <v>20</v>
      </c>
      <c r="E58" s="35"/>
      <c r="F58" s="35" t="s">
        <v>418</v>
      </c>
      <c r="G58" s="35" t="s">
        <v>184</v>
      </c>
      <c r="H58" s="35">
        <v>93</v>
      </c>
      <c r="I58" s="35" t="s">
        <v>335</v>
      </c>
      <c r="J58" s="36">
        <v>2019</v>
      </c>
      <c r="K58" s="39">
        <v>94.5</v>
      </c>
      <c r="L58" s="37">
        <v>615000</v>
      </c>
      <c r="M58" s="35" t="s">
        <v>420</v>
      </c>
      <c r="N58" s="27">
        <v>651452</v>
      </c>
      <c r="O58" s="38">
        <v>1.3526534321596899</v>
      </c>
      <c r="P58" s="38">
        <v>103.74257309608601</v>
      </c>
      <c r="Q58" s="38" t="str" cm="1">
        <f t="array" ref="Q58">INDEX('MRT station dataset'!$C$3:$C$179, MATCH(MIN(SQRT(('MRT station dataset'!$E$3:$E$179-'Resale flat dataset (DV)'!O58)^2+('MRT station dataset'!$F$3:$F$179-'Resale flat dataset (DV)'!P58)^2)), SQRT(('MRT station dataset'!$E$3:$E$179-'Resale flat dataset (DV)'!O58)^2+('MRT station dataset'!$F$3:$F$179-'Resale flat dataset (DV)'!P58)^2), 0))</f>
        <v>BUKIT BATOK MRT STATION</v>
      </c>
      <c r="R58" s="38" t="str" cm="1">
        <f t="array" ref="R58">INDEX('Mall Dataset'!$B$3:$B$157, MATCH(MIN(SQRT(('Mall Dataset'!$E$3:$E$157-'Resale flat dataset (DV)'!O58)^2+('Mall Dataset'!$F$3:$F$157-'Resale flat dataset (DV)'!P58)^2)), SQRT(('Mall Dataset'!$E$3:$E$157-'Resale flat dataset (DV)'!O58)^2+('Mall Dataset'!$F$3:$F$157-'Resale flat dataset (DV)'!P58)^2), 0))</f>
        <v>West Mall</v>
      </c>
      <c r="S58" s="38" t="str" cm="1">
        <f t="array" ref="S58">INDEX('Schools dataset'!$B$3:$B$187, MATCH(MIN(SQRT(('Schools dataset'!$J$3:$J$187-'Resale flat dataset (DV)'!O58)^2+('Schools dataset'!$K$3:$K$187-'Resale flat dataset (DV)'!P58)^2)), SQRT(('Schools dataset'!$J$3:$J$187-'Resale flat dataset (DV)'!O58)^2+('Schools dataset'!$K$3:$K$187-'Resale flat dataset (DV)'!P58)^2), 0))</f>
        <v>PRINCESS ELIZABETH PRIMARY SCHOOL</v>
      </c>
      <c r="T58" s="39">
        <f>ACOS(COS(RADIANS(90-O58))*COS(RADIANS(90-_xlfn.XLOOKUP(Q58,'MRT station dataset'!$C$3:$C$179,'MRT station dataset'!$E$3:$E$179)))+SIN(RADIANS(90-O58))*SIN(RADIANS(90-_xlfn.XLOOKUP(Q58,'MRT station dataset'!$C$3:$C$179,'MRT station dataset'!$E$3:$E$179)))*COS(RADIANS(P58-_xlfn.XLOOKUP('Resale flat dataset (DV)'!Q58,'MRT station dataset'!$C$3:$C$179,'MRT station dataset'!$F$3:$F$179))))*6371*1000</f>
        <v>880.46094514771721</v>
      </c>
      <c r="U58" s="39">
        <f>ACOS(COS(RADIANS(90-O58))*COS(RADIANS(90-_xlfn.XLOOKUP(R58,'Mall Dataset'!$B$3:$B$157,'Mall Dataset'!$E$3:$E$157,,0)))+SIN(RADIANS(90-O58))*SIN(RADIANS(90-_xlfn.XLOOKUP(R58,'Mall Dataset'!$B$3:$B$157,'Mall Dataset'!$E$3:$E$157,,0)))*COS(RADIANS(P58-_xlfn.XLOOKUP(R58,'Mall Dataset'!$B$3:$B$157,'Mall Dataset'!$F$3:$F$157,,0))))*6371*1000</f>
        <v>771.0101129849121</v>
      </c>
      <c r="V58" s="39">
        <f>ACOS(COS(RADIANS(90-O58))*COS(RADIANS(90-_xlfn.XLOOKUP(S58,'Schools dataset'!$B$3:$B$187,'Schools dataset'!$J$3:$J$187,,0)))+SIN(RADIANS(90-O58))*SIN(RADIANS(90-_xlfn.XLOOKUP(S58,'Schools dataset'!$B$3:$B$187,'Schools dataset'!$J$3:$J$187,,0)))*COS(RADIANS(P58-_xlfn.XLOOKUP(S58,'Schools dataset'!$B$3:$B$187,'Schools dataset'!$K$3:$K$187,,0))))*6371*1000</f>
        <v>420.69046344018489</v>
      </c>
      <c r="W58" s="20">
        <f>_xlfn.XLOOKUP(T58,'HDB Recommender'!$P$10:$P$39,'HDB Recommender'!$Q$10:$Q$39,"&gt;30mins",1)</f>
        <v>12</v>
      </c>
      <c r="X58" s="20">
        <f>_xlfn.XLOOKUP(U58,'HDB Recommender'!$P$10:$P$39,'HDB Recommender'!$Q$10:$Q$39,"&gt;30mins",1)</f>
        <v>11</v>
      </c>
      <c r="Y58" s="20">
        <f>_xlfn.XLOOKUP(V58,'HDB Recommender'!$P$10:$P$39,'HDB Recommender'!$Q$10:$Q$39,"&gt;30mins",1)</f>
        <v>6</v>
      </c>
      <c r="Z58" s="39">
        <f t="shared" si="0"/>
        <v>9.6666666666666661</v>
      </c>
      <c r="AA58" s="20" t="str">
        <f t="shared" si="1"/>
        <v>Within 1km</v>
      </c>
    </row>
    <row r="59" spans="2:27">
      <c r="B59" s="35" t="s">
        <v>317</v>
      </c>
      <c r="C59" s="35" t="s">
        <v>394</v>
      </c>
      <c r="D59" s="35" t="s">
        <v>20</v>
      </c>
      <c r="E59" s="35"/>
      <c r="F59" s="35" t="s">
        <v>418</v>
      </c>
      <c r="G59" s="35" t="s">
        <v>323</v>
      </c>
      <c r="H59" s="35">
        <v>93</v>
      </c>
      <c r="I59" s="35" t="s">
        <v>335</v>
      </c>
      <c r="J59" s="36">
        <v>2019</v>
      </c>
      <c r="K59" s="39">
        <v>94.5</v>
      </c>
      <c r="L59" s="37">
        <v>618000</v>
      </c>
      <c r="M59" s="35" t="s">
        <v>421</v>
      </c>
      <c r="N59" s="27">
        <v>652453</v>
      </c>
      <c r="O59" s="38">
        <v>1.3520219180383299</v>
      </c>
      <c r="P59" s="38">
        <v>103.74268863543099</v>
      </c>
      <c r="Q59" s="38" t="str" cm="1">
        <f t="array" ref="Q59">INDEX('MRT station dataset'!$C$3:$C$179, MATCH(MIN(SQRT(('MRT station dataset'!$E$3:$E$179-'Resale flat dataset (DV)'!O59)^2+('MRT station dataset'!$F$3:$F$179-'Resale flat dataset (DV)'!P59)^2)), SQRT(('MRT station dataset'!$E$3:$E$179-'Resale flat dataset (DV)'!O59)^2+('MRT station dataset'!$F$3:$F$179-'Resale flat dataset (DV)'!P59)^2), 0))</f>
        <v>BUKIT BATOK MRT STATION</v>
      </c>
      <c r="R59" s="38" t="str" cm="1">
        <f t="array" ref="R59">INDEX('Mall Dataset'!$B$3:$B$157, MATCH(MIN(SQRT(('Mall Dataset'!$E$3:$E$157-'Resale flat dataset (DV)'!O59)^2+('Mall Dataset'!$F$3:$F$157-'Resale flat dataset (DV)'!P59)^2)), SQRT(('Mall Dataset'!$E$3:$E$157-'Resale flat dataset (DV)'!O59)^2+('Mall Dataset'!$F$3:$F$157-'Resale flat dataset (DV)'!P59)^2), 0))</f>
        <v>West Mall</v>
      </c>
      <c r="S59" s="38" t="str" cm="1">
        <f t="array" ref="S59">INDEX('Schools dataset'!$B$3:$B$187, MATCH(MIN(SQRT(('Schools dataset'!$J$3:$J$187-'Resale flat dataset (DV)'!O59)^2+('Schools dataset'!$K$3:$K$187-'Resale flat dataset (DV)'!P59)^2)), SQRT(('Schools dataset'!$J$3:$J$187-'Resale flat dataset (DV)'!O59)^2+('Schools dataset'!$K$3:$K$187-'Resale flat dataset (DV)'!P59)^2), 0))</f>
        <v>PRINCESS ELIZABETH PRIMARY SCHOOL</v>
      </c>
      <c r="T59" s="39">
        <f>ACOS(COS(RADIANS(90-O59))*COS(RADIANS(90-_xlfn.XLOOKUP(Q59,'MRT station dataset'!$C$3:$C$179,'MRT station dataset'!$E$3:$E$179)))+SIN(RADIANS(90-O59))*SIN(RADIANS(90-_xlfn.XLOOKUP(Q59,'MRT station dataset'!$C$3:$C$179,'MRT station dataset'!$E$3:$E$179)))*COS(RADIANS(P59-_xlfn.XLOOKUP('Resale flat dataset (DV)'!Q59,'MRT station dataset'!$C$3:$C$179,'MRT station dataset'!$F$3:$F$179))))*6371*1000</f>
        <v>838.56321884411102</v>
      </c>
      <c r="U59" s="39">
        <f>ACOS(COS(RADIANS(90-O59))*COS(RADIANS(90-_xlfn.XLOOKUP(R59,'Mall Dataset'!$B$3:$B$157,'Mall Dataset'!$E$3:$E$157,,0)))+SIN(RADIANS(90-O59))*SIN(RADIANS(90-_xlfn.XLOOKUP(R59,'Mall Dataset'!$B$3:$B$157,'Mall Dataset'!$E$3:$E$157,,0)))*COS(RADIANS(P59-_xlfn.XLOOKUP(R59,'Mall Dataset'!$B$3:$B$157,'Mall Dataset'!$F$3:$F$157,,0))))*6371*1000</f>
        <v>738.42540404371221</v>
      </c>
      <c r="V59" s="39">
        <f>ACOS(COS(RADIANS(90-O59))*COS(RADIANS(90-_xlfn.XLOOKUP(S59,'Schools dataset'!$B$3:$B$187,'Schools dataset'!$J$3:$J$187,,0)))+SIN(RADIANS(90-O59))*SIN(RADIANS(90-_xlfn.XLOOKUP(S59,'Schools dataset'!$B$3:$B$187,'Schools dataset'!$J$3:$J$187,,0)))*COS(RADIANS(P59-_xlfn.XLOOKUP(S59,'Schools dataset'!$B$3:$B$187,'Schools dataset'!$K$3:$K$187,,0))))*6371*1000</f>
        <v>364.19338311098272</v>
      </c>
      <c r="W59" s="20">
        <f>_xlfn.XLOOKUP(T59,'HDB Recommender'!$P$10:$P$39,'HDB Recommender'!$Q$10:$Q$39,"&gt;30mins",1)</f>
        <v>12</v>
      </c>
      <c r="X59" s="20">
        <f>_xlfn.XLOOKUP(U59,'HDB Recommender'!$P$10:$P$39,'HDB Recommender'!$Q$10:$Q$39,"&gt;30mins",1)</f>
        <v>10</v>
      </c>
      <c r="Y59" s="20">
        <f>_xlfn.XLOOKUP(V59,'HDB Recommender'!$P$10:$P$39,'HDB Recommender'!$Q$10:$Q$39,"&gt;30mins",1)</f>
        <v>5</v>
      </c>
      <c r="Z59" s="39">
        <f t="shared" si="0"/>
        <v>9</v>
      </c>
      <c r="AA59" s="20" t="str">
        <f t="shared" si="1"/>
        <v>Within 1km</v>
      </c>
    </row>
    <row r="60" spans="2:27">
      <c r="B60" s="35" t="s">
        <v>317</v>
      </c>
      <c r="C60" s="35" t="s">
        <v>394</v>
      </c>
      <c r="D60" s="35" t="s">
        <v>20</v>
      </c>
      <c r="E60" s="35"/>
      <c r="F60" s="35" t="s">
        <v>405</v>
      </c>
      <c r="G60" s="35" t="s">
        <v>191</v>
      </c>
      <c r="H60" s="35">
        <v>92</v>
      </c>
      <c r="I60" s="35" t="s">
        <v>335</v>
      </c>
      <c r="J60" s="36">
        <v>2019</v>
      </c>
      <c r="K60" s="39">
        <v>94.5833333333333</v>
      </c>
      <c r="L60" s="37">
        <v>600000</v>
      </c>
      <c r="M60" s="35" t="s">
        <v>422</v>
      </c>
      <c r="N60" s="27">
        <v>653442</v>
      </c>
      <c r="O60" s="38">
        <v>1.3571336436742101</v>
      </c>
      <c r="P60" s="38">
        <v>103.737972739621</v>
      </c>
      <c r="Q60" s="38" t="str" cm="1">
        <f t="array" ref="Q60">INDEX('MRT station dataset'!$C$3:$C$179, MATCH(MIN(SQRT(('MRT station dataset'!$E$3:$E$179-'Resale flat dataset (DV)'!O60)^2+('MRT station dataset'!$F$3:$F$179-'Resale flat dataset (DV)'!P60)^2)), SQRT(('MRT station dataset'!$E$3:$E$179-'Resale flat dataset (DV)'!O60)^2+('MRT station dataset'!$F$3:$F$179-'Resale flat dataset (DV)'!P60)^2), 0))</f>
        <v>BUKIT GOMBAK MRT STATION</v>
      </c>
      <c r="R60" s="38" t="str" cm="1">
        <f t="array" ref="R60">INDEX('Mall Dataset'!$B$3:$B$157, MATCH(MIN(SQRT(('Mall Dataset'!$E$3:$E$157-'Resale flat dataset (DV)'!O60)^2+('Mall Dataset'!$F$3:$F$157-'Resale flat dataset (DV)'!P60)^2)), SQRT(('Mall Dataset'!$E$3:$E$157-'Resale flat dataset (DV)'!O60)^2+('Mall Dataset'!$F$3:$F$157-'Resale flat dataset (DV)'!P60)^2), 0))</f>
        <v>West Mall</v>
      </c>
      <c r="S60" s="38" t="str" cm="1">
        <f t="array" ref="S60">INDEX('Schools dataset'!$B$3:$B$187, MATCH(MIN(SQRT(('Schools dataset'!$J$3:$J$187-'Resale flat dataset (DV)'!O60)^2+('Schools dataset'!$K$3:$K$187-'Resale flat dataset (DV)'!P60)^2)), SQRT(('Schools dataset'!$J$3:$J$187-'Resale flat dataset (DV)'!O60)^2+('Schools dataset'!$K$3:$K$187-'Resale flat dataset (DV)'!P60)^2), 0))</f>
        <v>PRINCESS ELIZABETH PRIMARY SCHOOL</v>
      </c>
      <c r="T60" s="39">
        <f>ACOS(COS(RADIANS(90-O60))*COS(RADIANS(90-_xlfn.XLOOKUP(Q60,'MRT station dataset'!$C$3:$C$179,'MRT station dataset'!$E$3:$E$179)))+SIN(RADIANS(90-O60))*SIN(RADIANS(90-_xlfn.XLOOKUP(Q60,'MRT station dataset'!$C$3:$C$179,'MRT station dataset'!$E$3:$E$179)))*COS(RADIANS(P60-_xlfn.XLOOKUP('Resale flat dataset (DV)'!Q60,'MRT station dataset'!$C$3:$C$179,'MRT station dataset'!$F$3:$F$179))))*6371*1000</f>
        <v>1559.2541720755858</v>
      </c>
      <c r="U60" s="39">
        <f>ACOS(COS(RADIANS(90-O60))*COS(RADIANS(90-_xlfn.XLOOKUP(R60,'Mall Dataset'!$B$3:$B$157,'Mall Dataset'!$E$3:$E$157,,0)))+SIN(RADIANS(90-O60))*SIN(RADIANS(90-_xlfn.XLOOKUP(R60,'Mall Dataset'!$B$3:$B$157,'Mall Dataset'!$E$3:$E$157,,0)))*COS(RADIANS(P60-_xlfn.XLOOKUP(R60,'Mall Dataset'!$B$3:$B$157,'Mall Dataset'!$F$3:$F$157,,0))))*6371*1000</f>
        <v>1449.6017020452064</v>
      </c>
      <c r="V60" s="39">
        <f>ACOS(COS(RADIANS(90-O60))*COS(RADIANS(90-_xlfn.XLOOKUP(S60,'Schools dataset'!$B$3:$B$187,'Schools dataset'!$J$3:$J$187,,0)))+SIN(RADIANS(90-O60))*SIN(RADIANS(90-_xlfn.XLOOKUP(S60,'Schools dataset'!$B$3:$B$187,'Schools dataset'!$J$3:$J$187,,0)))*COS(RADIANS(P60-_xlfn.XLOOKUP(S60,'Schools dataset'!$B$3:$B$187,'Schools dataset'!$K$3:$K$187,,0))))*6371*1000</f>
        <v>944.60356315884053</v>
      </c>
      <c r="W60" s="20">
        <f>_xlfn.XLOOKUP(T60,'HDB Recommender'!$P$10:$P$39,'HDB Recommender'!$Q$10:$Q$39,"&gt;30mins",1)</f>
        <v>21</v>
      </c>
      <c r="X60" s="20">
        <f>_xlfn.XLOOKUP(U60,'HDB Recommender'!$P$10:$P$39,'HDB Recommender'!$Q$10:$Q$39,"&gt;30mins",1)</f>
        <v>20</v>
      </c>
      <c r="Y60" s="20">
        <f>_xlfn.XLOOKUP(V60,'HDB Recommender'!$P$10:$P$39,'HDB Recommender'!$Q$10:$Q$39,"&gt;30mins",1)</f>
        <v>13</v>
      </c>
      <c r="Z60" s="39">
        <f t="shared" si="0"/>
        <v>18</v>
      </c>
      <c r="AA60" s="20" t="str">
        <f t="shared" si="1"/>
        <v>Within 1km</v>
      </c>
    </row>
    <row r="61" spans="2:27">
      <c r="B61" s="35" t="s">
        <v>317</v>
      </c>
      <c r="C61" s="35" t="s">
        <v>394</v>
      </c>
      <c r="D61" s="35" t="s">
        <v>341</v>
      </c>
      <c r="E61" s="35"/>
      <c r="F61" s="35" t="s">
        <v>403</v>
      </c>
      <c r="G61" s="35" t="s">
        <v>184</v>
      </c>
      <c r="H61" s="35">
        <v>113</v>
      </c>
      <c r="I61" s="35" t="s">
        <v>326</v>
      </c>
      <c r="J61" s="36">
        <v>2019</v>
      </c>
      <c r="K61" s="39">
        <v>94.3333333333333</v>
      </c>
      <c r="L61" s="37">
        <v>815000</v>
      </c>
      <c r="M61" s="35" t="s">
        <v>423</v>
      </c>
      <c r="N61" s="27">
        <v>651293</v>
      </c>
      <c r="O61" s="38">
        <v>1.3459356558737701</v>
      </c>
      <c r="P61" s="38">
        <v>103.754650908839</v>
      </c>
      <c r="Q61" s="38" t="str" cm="1">
        <f t="array" ref="Q61">INDEX('MRT station dataset'!$C$3:$C$179, MATCH(MIN(SQRT(('MRT station dataset'!$E$3:$E$179-'Resale flat dataset (DV)'!O61)^2+('MRT station dataset'!$F$3:$F$179-'Resale flat dataset (DV)'!P61)^2)), SQRT(('MRT station dataset'!$E$3:$E$179-'Resale flat dataset (DV)'!O61)^2+('MRT station dataset'!$F$3:$F$179-'Resale flat dataset (DV)'!P61)^2), 0))</f>
        <v>BUKIT BATOK MRT STATION</v>
      </c>
      <c r="R61" s="38" t="str" cm="1">
        <f t="array" ref="R61">INDEX('Mall Dataset'!$B$3:$B$157, MATCH(MIN(SQRT(('Mall Dataset'!$E$3:$E$157-'Resale flat dataset (DV)'!O61)^2+('Mall Dataset'!$F$3:$F$157-'Resale flat dataset (DV)'!P61)^2)), SQRT(('Mall Dataset'!$E$3:$E$157-'Resale flat dataset (DV)'!O61)^2+('Mall Dataset'!$F$3:$F$157-'Resale flat dataset (DV)'!P61)^2), 0))</f>
        <v>West Mall</v>
      </c>
      <c r="S61" s="38" t="str" cm="1">
        <f t="array" ref="S61">INDEX('Schools dataset'!$B$3:$B$187, MATCH(MIN(SQRT(('Schools dataset'!$J$3:$J$187-'Resale flat dataset (DV)'!O61)^2+('Schools dataset'!$K$3:$K$187-'Resale flat dataset (DV)'!P61)^2)), SQRT(('Schools dataset'!$J$3:$J$187-'Resale flat dataset (DV)'!O61)^2+('Schools dataset'!$K$3:$K$187-'Resale flat dataset (DV)'!P61)^2), 0))</f>
        <v>BUKIT VIEW PRIMARY SCHOOL</v>
      </c>
      <c r="T61" s="39">
        <f>ACOS(COS(RADIANS(90-O61))*COS(RADIANS(90-_xlfn.XLOOKUP(Q61,'MRT station dataset'!$C$3:$C$179,'MRT station dataset'!$E$3:$E$179)))+SIN(RADIANS(90-O61))*SIN(RADIANS(90-_xlfn.XLOOKUP(Q61,'MRT station dataset'!$C$3:$C$179,'MRT station dataset'!$E$3:$E$179)))*COS(RADIANS(P61-_xlfn.XLOOKUP('Resale flat dataset (DV)'!Q61,'MRT station dataset'!$C$3:$C$179,'MRT station dataset'!$F$3:$F$179))))*6371*1000</f>
        <v>656.78258461504436</v>
      </c>
      <c r="U61" s="39">
        <f>ACOS(COS(RADIANS(90-O61))*COS(RADIANS(90-_xlfn.XLOOKUP(R61,'Mall Dataset'!$B$3:$B$157,'Mall Dataset'!$E$3:$E$157,,0)))+SIN(RADIANS(90-O61))*SIN(RADIANS(90-_xlfn.XLOOKUP(R61,'Mall Dataset'!$B$3:$B$157,'Mall Dataset'!$E$3:$E$157,,0)))*COS(RADIANS(P61-_xlfn.XLOOKUP(R61,'Mall Dataset'!$B$3:$B$157,'Mall Dataset'!$F$3:$F$157,,0))))*6371*1000</f>
        <v>788.1710031561098</v>
      </c>
      <c r="V61" s="39">
        <f>ACOS(COS(RADIANS(90-O61))*COS(RADIANS(90-_xlfn.XLOOKUP(S61,'Schools dataset'!$B$3:$B$187,'Schools dataset'!$J$3:$J$187,,0)))+SIN(RADIANS(90-O61))*SIN(RADIANS(90-_xlfn.XLOOKUP(S61,'Schools dataset'!$B$3:$B$187,'Schools dataset'!$J$3:$J$187,,0)))*COS(RADIANS(P61-_xlfn.XLOOKUP(S61,'Schools dataset'!$B$3:$B$187,'Schools dataset'!$K$3:$K$187,,0))))*6371*1000</f>
        <v>109.7587540670133</v>
      </c>
      <c r="W61" s="20">
        <f>_xlfn.XLOOKUP(T61,'HDB Recommender'!$P$10:$P$39,'HDB Recommender'!$Q$10:$Q$39,"&gt;30mins",1)</f>
        <v>9</v>
      </c>
      <c r="X61" s="20">
        <f>_xlfn.XLOOKUP(U61,'HDB Recommender'!$P$10:$P$39,'HDB Recommender'!$Q$10:$Q$39,"&gt;30mins",1)</f>
        <v>11</v>
      </c>
      <c r="Y61" s="20">
        <f>_xlfn.XLOOKUP(V61,'HDB Recommender'!$P$10:$P$39,'HDB Recommender'!$Q$10:$Q$39,"&gt;30mins",1)</f>
        <v>2</v>
      </c>
      <c r="Z61" s="39">
        <f t="shared" si="0"/>
        <v>7.333333333333333</v>
      </c>
      <c r="AA61" s="20" t="str">
        <f t="shared" si="1"/>
        <v>Within 1km</v>
      </c>
    </row>
    <row r="62" spans="2:27">
      <c r="B62" s="35" t="s">
        <v>317</v>
      </c>
      <c r="C62" s="35" t="s">
        <v>394</v>
      </c>
      <c r="D62" s="35" t="s">
        <v>341</v>
      </c>
      <c r="E62" s="35">
        <v>393</v>
      </c>
      <c r="F62" s="35" t="s">
        <v>424</v>
      </c>
      <c r="G62" s="35" t="s">
        <v>191</v>
      </c>
      <c r="H62" s="35">
        <v>118</v>
      </c>
      <c r="I62" s="35" t="s">
        <v>326</v>
      </c>
      <c r="J62" s="36">
        <v>2004</v>
      </c>
      <c r="K62" s="39">
        <v>80.0833333333333</v>
      </c>
      <c r="L62" s="37">
        <v>693000</v>
      </c>
      <c r="M62" s="35" t="s">
        <v>425</v>
      </c>
      <c r="N62" s="27">
        <v>650393</v>
      </c>
      <c r="O62" s="38">
        <v>1.3664932812041899</v>
      </c>
      <c r="P62" s="38">
        <v>103.753112569115</v>
      </c>
      <c r="Q62" s="38" t="str" cm="1">
        <f t="array" ref="Q62">INDEX('MRT station dataset'!$C$3:$C$179, MATCH(MIN(SQRT(('MRT station dataset'!$E$3:$E$179-'Resale flat dataset (DV)'!O62)^2+('MRT station dataset'!$F$3:$F$179-'Resale flat dataset (DV)'!P62)^2)), SQRT(('MRT station dataset'!$E$3:$E$179-'Resale flat dataset (DV)'!O62)^2+('MRT station dataset'!$F$3:$F$179-'Resale flat dataset (DV)'!P62)^2), 0))</f>
        <v>BUKIT GOMBAK MRT STATION</v>
      </c>
      <c r="R62" s="38" t="str" cm="1">
        <f t="array" ref="R62">INDEX('Mall Dataset'!$B$3:$B$157, MATCH(MIN(SQRT(('Mall Dataset'!$E$3:$E$157-'Resale flat dataset (DV)'!O62)^2+('Mall Dataset'!$F$3:$F$157-'Resale flat dataset (DV)'!P62)^2)), SQRT(('Mall Dataset'!$E$3:$E$157-'Resale flat dataset (DV)'!O62)^2+('Mall Dataset'!$F$3:$F$157-'Resale flat dataset (DV)'!P62)^2), 0))</f>
        <v>HillV2</v>
      </c>
      <c r="S62" s="38" t="str" cm="1">
        <f t="array" ref="S62">INDEX('Schools dataset'!$B$3:$B$187, MATCH(MIN(SQRT(('Schools dataset'!$J$3:$J$187-'Resale flat dataset (DV)'!O62)^2+('Schools dataset'!$K$3:$K$187-'Resale flat dataset (DV)'!P62)^2)), SQRT(('Schools dataset'!$J$3:$J$187-'Resale flat dataset (DV)'!O62)^2+('Schools dataset'!$K$3:$K$187-'Resale flat dataset (DV)'!P62)^2), 0))</f>
        <v>ST. ANTHONY'S PRIMARY SCHOOL</v>
      </c>
      <c r="T62" s="39">
        <f>ACOS(COS(RADIANS(90-O62))*COS(RADIANS(90-_xlfn.XLOOKUP(Q62,'MRT station dataset'!$C$3:$C$179,'MRT station dataset'!$E$3:$E$179)))+SIN(RADIANS(90-O62))*SIN(RADIANS(90-_xlfn.XLOOKUP(Q62,'MRT station dataset'!$C$3:$C$179,'MRT station dataset'!$E$3:$E$179)))*COS(RADIANS(P62-_xlfn.XLOOKUP('Resale flat dataset (DV)'!Q62,'MRT station dataset'!$C$3:$C$179,'MRT station dataset'!$F$3:$F$179))))*6371*1000</f>
        <v>866.00839029426527</v>
      </c>
      <c r="U62" s="39">
        <f>ACOS(COS(RADIANS(90-O62))*COS(RADIANS(90-_xlfn.XLOOKUP(R62,'Mall Dataset'!$B$3:$B$157,'Mall Dataset'!$E$3:$E$157,,0)))+SIN(RADIANS(90-O62))*SIN(RADIANS(90-_xlfn.XLOOKUP(R62,'Mall Dataset'!$B$3:$B$157,'Mall Dataset'!$E$3:$E$157,,0)))*COS(RADIANS(P62-_xlfn.XLOOKUP(R62,'Mall Dataset'!$B$3:$B$157,'Mall Dataset'!$F$3:$F$157,,0))))*6371*1000</f>
        <v>1300.7668542901756</v>
      </c>
      <c r="V62" s="39">
        <f>ACOS(COS(RADIANS(90-O62))*COS(RADIANS(90-_xlfn.XLOOKUP(S62,'Schools dataset'!$B$3:$B$187,'Schools dataset'!$J$3:$J$187,,0)))+SIN(RADIANS(90-O62))*SIN(RADIANS(90-_xlfn.XLOOKUP(S62,'Schools dataset'!$B$3:$B$187,'Schools dataset'!$J$3:$J$187,,0)))*COS(RADIANS(P62-_xlfn.XLOOKUP(S62,'Schools dataset'!$B$3:$B$187,'Schools dataset'!$K$3:$K$187,,0))))*6371*1000</f>
        <v>501.41891958790376</v>
      </c>
      <c r="W62" s="20">
        <f>_xlfn.XLOOKUP(T62,'HDB Recommender'!$P$10:$P$39,'HDB Recommender'!$Q$10:$Q$39,"&gt;30mins",1)</f>
        <v>12</v>
      </c>
      <c r="X62" s="20">
        <f>_xlfn.XLOOKUP(U62,'HDB Recommender'!$P$10:$P$39,'HDB Recommender'!$Q$10:$Q$39,"&gt;30mins",1)</f>
        <v>18</v>
      </c>
      <c r="Y62" s="20">
        <f>_xlfn.XLOOKUP(V62,'HDB Recommender'!$P$10:$P$39,'HDB Recommender'!$Q$10:$Q$39,"&gt;30mins",1)</f>
        <v>7</v>
      </c>
      <c r="Z62" s="39">
        <f t="shared" si="0"/>
        <v>12.333333333333334</v>
      </c>
      <c r="AA62" s="20" t="str">
        <f t="shared" si="1"/>
        <v>Within 1km</v>
      </c>
    </row>
    <row r="63" spans="2:27">
      <c r="B63" s="35" t="s">
        <v>317</v>
      </c>
      <c r="C63" s="35" t="s">
        <v>394</v>
      </c>
      <c r="D63" s="35" t="s">
        <v>341</v>
      </c>
      <c r="E63" s="35">
        <v>392</v>
      </c>
      <c r="F63" s="35" t="s">
        <v>424</v>
      </c>
      <c r="G63" s="35" t="s">
        <v>184</v>
      </c>
      <c r="H63" s="35">
        <v>118</v>
      </c>
      <c r="I63" s="35" t="s">
        <v>326</v>
      </c>
      <c r="J63" s="36">
        <v>2004</v>
      </c>
      <c r="K63" s="39">
        <v>80.0833333333333</v>
      </c>
      <c r="L63" s="37">
        <v>708000</v>
      </c>
      <c r="M63" s="35" t="s">
        <v>426</v>
      </c>
      <c r="N63" s="27">
        <v>650392</v>
      </c>
      <c r="O63" s="38">
        <v>1.3658660837313801</v>
      </c>
      <c r="P63" s="38">
        <v>103.75332328071801</v>
      </c>
      <c r="Q63" s="38" t="str" cm="1">
        <f t="array" ref="Q63">INDEX('MRT station dataset'!$C$3:$C$179, MATCH(MIN(SQRT(('MRT station dataset'!$E$3:$E$179-'Resale flat dataset (DV)'!O63)^2+('MRT station dataset'!$F$3:$F$179-'Resale flat dataset (DV)'!P63)^2)), SQRT(('MRT station dataset'!$E$3:$E$179-'Resale flat dataset (DV)'!O63)^2+('MRT station dataset'!$F$3:$F$179-'Resale flat dataset (DV)'!P63)^2), 0))</f>
        <v>BUKIT GOMBAK MRT STATION</v>
      </c>
      <c r="R63" s="38" t="str" cm="1">
        <f t="array" ref="R63">INDEX('Mall Dataset'!$B$3:$B$157, MATCH(MIN(SQRT(('Mall Dataset'!$E$3:$E$157-'Resale flat dataset (DV)'!O63)^2+('Mall Dataset'!$F$3:$F$157-'Resale flat dataset (DV)'!P63)^2)), SQRT(('Mall Dataset'!$E$3:$E$157-'Resale flat dataset (DV)'!O63)^2+('Mall Dataset'!$F$3:$F$157-'Resale flat dataset (DV)'!P63)^2), 0))</f>
        <v>HillV2</v>
      </c>
      <c r="S63" s="38" t="str" cm="1">
        <f t="array" ref="S63">INDEX('Schools dataset'!$B$3:$B$187, MATCH(MIN(SQRT(('Schools dataset'!$J$3:$J$187-'Resale flat dataset (DV)'!O63)^2+('Schools dataset'!$K$3:$K$187-'Resale flat dataset (DV)'!P63)^2)), SQRT(('Schools dataset'!$J$3:$J$187-'Resale flat dataset (DV)'!O63)^2+('Schools dataset'!$K$3:$K$187-'Resale flat dataset (DV)'!P63)^2), 0))</f>
        <v>ST. ANTHONY'S PRIMARY SCHOOL</v>
      </c>
      <c r="T63" s="39">
        <f>ACOS(COS(RADIANS(90-O63))*COS(RADIANS(90-_xlfn.XLOOKUP(Q63,'MRT station dataset'!$C$3:$C$179,'MRT station dataset'!$E$3:$E$179)))+SIN(RADIANS(90-O63))*SIN(RADIANS(90-_xlfn.XLOOKUP(Q63,'MRT station dataset'!$C$3:$C$179,'MRT station dataset'!$E$3:$E$179)))*COS(RADIANS(P63-_xlfn.XLOOKUP('Resale flat dataset (DV)'!Q63,'MRT station dataset'!$C$3:$C$179,'MRT station dataset'!$F$3:$F$179))))*6371*1000</f>
        <v>801.48422409015313</v>
      </c>
      <c r="U63" s="39">
        <f>ACOS(COS(RADIANS(90-O63))*COS(RADIANS(90-_xlfn.XLOOKUP(R63,'Mall Dataset'!$B$3:$B$157,'Mall Dataset'!$E$3:$E$157,,0)))+SIN(RADIANS(90-O63))*SIN(RADIANS(90-_xlfn.XLOOKUP(R63,'Mall Dataset'!$B$3:$B$157,'Mall Dataset'!$E$3:$E$157,,0)))*COS(RADIANS(P63-_xlfn.XLOOKUP(R63,'Mall Dataset'!$B$3:$B$157,'Mall Dataset'!$F$3:$F$157,,0))))*6371*1000</f>
        <v>1257.2114677075499</v>
      </c>
      <c r="V63" s="39">
        <f>ACOS(COS(RADIANS(90-O63))*COS(RADIANS(90-_xlfn.XLOOKUP(S63,'Schools dataset'!$B$3:$B$187,'Schools dataset'!$J$3:$J$187,,0)))+SIN(RADIANS(90-O63))*SIN(RADIANS(90-_xlfn.XLOOKUP(S63,'Schools dataset'!$B$3:$B$187,'Schools dataset'!$J$3:$J$187,,0)))*COS(RADIANS(P63-_xlfn.XLOOKUP(S63,'Schools dataset'!$B$3:$B$187,'Schools dataset'!$K$3:$K$187,,0))))*6371*1000</f>
        <v>490.68259073986997</v>
      </c>
      <c r="W63" s="20">
        <f>_xlfn.XLOOKUP(T63,'HDB Recommender'!$P$10:$P$39,'HDB Recommender'!$Q$10:$Q$39,"&gt;30mins",1)</f>
        <v>11</v>
      </c>
      <c r="X63" s="20">
        <f>_xlfn.XLOOKUP(U63,'HDB Recommender'!$P$10:$P$39,'HDB Recommender'!$Q$10:$Q$39,"&gt;30mins",1)</f>
        <v>17</v>
      </c>
      <c r="Y63" s="20">
        <f>_xlfn.XLOOKUP(V63,'HDB Recommender'!$P$10:$P$39,'HDB Recommender'!$Q$10:$Q$39,"&gt;30mins",1)</f>
        <v>7</v>
      </c>
      <c r="Z63" s="39">
        <f t="shared" si="0"/>
        <v>11.666666666666666</v>
      </c>
      <c r="AA63" s="20" t="str">
        <f t="shared" si="1"/>
        <v>Within 1km</v>
      </c>
    </row>
    <row r="64" spans="2:27">
      <c r="B64" s="35" t="s">
        <v>317</v>
      </c>
      <c r="C64" s="35" t="s">
        <v>394</v>
      </c>
      <c r="D64" s="35" t="s">
        <v>341</v>
      </c>
      <c r="E64" s="35"/>
      <c r="F64" s="35" t="s">
        <v>418</v>
      </c>
      <c r="G64" s="35" t="s">
        <v>189</v>
      </c>
      <c r="H64" s="35">
        <v>112</v>
      </c>
      <c r="I64" s="35" t="s">
        <v>389</v>
      </c>
      <c r="J64" s="36">
        <v>2017</v>
      </c>
      <c r="K64" s="39">
        <v>92.8333333333333</v>
      </c>
      <c r="L64" s="37">
        <v>770000</v>
      </c>
      <c r="M64" s="35" t="s">
        <v>427</v>
      </c>
      <c r="N64" s="27">
        <v>651194</v>
      </c>
      <c r="O64" s="38">
        <v>1.34468050128788</v>
      </c>
      <c r="P64" s="38">
        <v>103.7455138661</v>
      </c>
      <c r="Q64" s="38" t="str" cm="1">
        <f t="array" ref="Q64">INDEX('MRT station dataset'!$C$3:$C$179, MATCH(MIN(SQRT(('MRT station dataset'!$E$3:$E$179-'Resale flat dataset (DV)'!O64)^2+('MRT station dataset'!$F$3:$F$179-'Resale flat dataset (DV)'!P64)^2)), SQRT(('MRT station dataset'!$E$3:$E$179-'Resale flat dataset (DV)'!O64)^2+('MRT station dataset'!$F$3:$F$179-'Resale flat dataset (DV)'!P64)^2), 0))</f>
        <v>BUKIT BATOK MRT STATION</v>
      </c>
      <c r="R64" s="38" t="str" cm="1">
        <f t="array" ref="R64">INDEX('Mall Dataset'!$B$3:$B$157, MATCH(MIN(SQRT(('Mall Dataset'!$E$3:$E$157-'Resale flat dataset (DV)'!O64)^2+('Mall Dataset'!$F$3:$F$157-'Resale flat dataset (DV)'!P64)^2)), SQRT(('Mall Dataset'!$E$3:$E$157-'Resale flat dataset (DV)'!O64)^2+('Mall Dataset'!$F$3:$F$157-'Resale flat dataset (DV)'!P64)^2), 0))</f>
        <v>West Mall</v>
      </c>
      <c r="S64" s="38" t="str" cm="1">
        <f t="array" ref="S64">INDEX('Schools dataset'!$B$3:$B$187, MATCH(MIN(SQRT(('Schools dataset'!$J$3:$J$187-'Resale flat dataset (DV)'!O64)^2+('Schools dataset'!$K$3:$K$187-'Resale flat dataset (DV)'!P64)^2)), SQRT(('Schools dataset'!$J$3:$J$187-'Resale flat dataset (DV)'!O64)^2+('Schools dataset'!$K$3:$K$187-'Resale flat dataset (DV)'!P64)^2), 0))</f>
        <v>YUHUA PRIMARY SCHOOL</v>
      </c>
      <c r="T64" s="39">
        <f>ACOS(COS(RADIANS(90-O64))*COS(RADIANS(90-_xlfn.XLOOKUP(Q64,'MRT station dataset'!$C$3:$C$179,'MRT station dataset'!$E$3:$E$179)))+SIN(RADIANS(90-O64))*SIN(RADIANS(90-_xlfn.XLOOKUP(Q64,'MRT station dataset'!$C$3:$C$179,'MRT station dataset'!$E$3:$E$179)))*COS(RADIANS(P64-_xlfn.XLOOKUP('Resale flat dataset (DV)'!Q64,'MRT station dataset'!$C$3:$C$179,'MRT station dataset'!$F$3:$F$179))))*6371*1000</f>
        <v>661.07544287426072</v>
      </c>
      <c r="U64" s="39">
        <f>ACOS(COS(RADIANS(90-O64))*COS(RADIANS(90-_xlfn.XLOOKUP(R64,'Mall Dataset'!$B$3:$B$157,'Mall Dataset'!$E$3:$E$157,,0)))+SIN(RADIANS(90-O64))*SIN(RADIANS(90-_xlfn.XLOOKUP(R64,'Mall Dataset'!$B$3:$B$157,'Mall Dataset'!$E$3:$E$157,,0)))*COS(RADIANS(P64-_xlfn.XLOOKUP(R64,'Mall Dataset'!$B$3:$B$157,'Mall Dataset'!$F$3:$F$157,,0))))*6371*1000</f>
        <v>749.69745454286567</v>
      </c>
      <c r="V64" s="39">
        <f>ACOS(COS(RADIANS(90-O64))*COS(RADIANS(90-_xlfn.XLOOKUP(S64,'Schools dataset'!$B$3:$B$187,'Schools dataset'!$J$3:$J$187,,0)))+SIN(RADIANS(90-O64))*SIN(RADIANS(90-_xlfn.XLOOKUP(S64,'Schools dataset'!$B$3:$B$187,'Schools dataset'!$J$3:$J$187,,0)))*COS(RADIANS(P64-_xlfn.XLOOKUP(S64,'Schools dataset'!$B$3:$B$187,'Schools dataset'!$K$3:$K$187,,0))))*6371*1000</f>
        <v>553.03000490537841</v>
      </c>
      <c r="W64" s="20">
        <f>_xlfn.XLOOKUP(T64,'HDB Recommender'!$P$10:$P$39,'HDB Recommender'!$Q$10:$Q$39,"&gt;30mins",1)</f>
        <v>9</v>
      </c>
      <c r="X64" s="20">
        <f>_xlfn.XLOOKUP(U64,'HDB Recommender'!$P$10:$P$39,'HDB Recommender'!$Q$10:$Q$39,"&gt;30mins",1)</f>
        <v>10</v>
      </c>
      <c r="Y64" s="20">
        <f>_xlfn.XLOOKUP(V64,'HDB Recommender'!$P$10:$P$39,'HDB Recommender'!$Q$10:$Q$39,"&gt;30mins",1)</f>
        <v>8</v>
      </c>
      <c r="Z64" s="39">
        <f t="shared" si="0"/>
        <v>9</v>
      </c>
      <c r="AA64" s="20" t="str">
        <f t="shared" si="1"/>
        <v>Within 1km</v>
      </c>
    </row>
    <row r="65" spans="2:27">
      <c r="B65" s="35" t="s">
        <v>317</v>
      </c>
      <c r="C65" s="35" t="s">
        <v>394</v>
      </c>
      <c r="D65" s="35" t="s">
        <v>341</v>
      </c>
      <c r="E65" s="35"/>
      <c r="F65" s="35" t="s">
        <v>405</v>
      </c>
      <c r="G65" s="35" t="s">
        <v>184</v>
      </c>
      <c r="H65" s="35">
        <v>114</v>
      </c>
      <c r="I65" s="35" t="s">
        <v>326</v>
      </c>
      <c r="J65" s="36">
        <v>2019</v>
      </c>
      <c r="K65" s="39">
        <v>95</v>
      </c>
      <c r="L65" s="37">
        <v>775000</v>
      </c>
      <c r="M65" s="35" t="s">
        <v>428</v>
      </c>
      <c r="N65" s="27">
        <v>654461</v>
      </c>
      <c r="O65" s="38">
        <v>1.35445321126227</v>
      </c>
      <c r="P65" s="38">
        <v>103.740357147518</v>
      </c>
      <c r="Q65" s="38" t="str" cm="1">
        <f t="array" ref="Q65">INDEX('MRT station dataset'!$C$3:$C$179, MATCH(MIN(SQRT(('MRT station dataset'!$E$3:$E$179-'Resale flat dataset (DV)'!O65)^2+('MRT station dataset'!$F$3:$F$179-'Resale flat dataset (DV)'!P65)^2)), SQRT(('MRT station dataset'!$E$3:$E$179-'Resale flat dataset (DV)'!O65)^2+('MRT station dataset'!$F$3:$F$179-'Resale flat dataset (DV)'!P65)^2), 0))</f>
        <v>BUKIT BATOK MRT STATION</v>
      </c>
      <c r="R65" s="38" t="str" cm="1">
        <f t="array" ref="R65">INDEX('Mall Dataset'!$B$3:$B$157, MATCH(MIN(SQRT(('Mall Dataset'!$E$3:$E$157-'Resale flat dataset (DV)'!O65)^2+('Mall Dataset'!$F$3:$F$157-'Resale flat dataset (DV)'!P65)^2)), SQRT(('Mall Dataset'!$E$3:$E$157-'Resale flat dataset (DV)'!O65)^2+('Mall Dataset'!$F$3:$F$157-'Resale flat dataset (DV)'!P65)^2), 0))</f>
        <v>West Mall</v>
      </c>
      <c r="S65" s="38" t="str" cm="1">
        <f t="array" ref="S65">INDEX('Schools dataset'!$B$3:$B$187, MATCH(MIN(SQRT(('Schools dataset'!$J$3:$J$187-'Resale flat dataset (DV)'!O65)^2+('Schools dataset'!$K$3:$K$187-'Resale flat dataset (DV)'!P65)^2)), SQRT(('Schools dataset'!$J$3:$J$187-'Resale flat dataset (DV)'!O65)^2+('Schools dataset'!$K$3:$K$187-'Resale flat dataset (DV)'!P65)^2), 0))</f>
        <v>PRINCESS ELIZABETH PRIMARY SCHOOL</v>
      </c>
      <c r="T65" s="39">
        <f>ACOS(COS(RADIANS(90-O65))*COS(RADIANS(90-_xlfn.XLOOKUP(Q65,'MRT station dataset'!$C$3:$C$179,'MRT station dataset'!$E$3:$E$179)))+SIN(RADIANS(90-O65))*SIN(RADIANS(90-_xlfn.XLOOKUP(Q65,'MRT station dataset'!$C$3:$C$179,'MRT station dataset'!$E$3:$E$179)))*COS(RADIANS(P65-_xlfn.XLOOKUP('Resale flat dataset (DV)'!Q65,'MRT station dataset'!$C$3:$C$179,'MRT station dataset'!$F$3:$F$179))))*6371*1000</f>
        <v>1193.0562425691535</v>
      </c>
      <c r="U65" s="39">
        <f>ACOS(COS(RADIANS(90-O65))*COS(RADIANS(90-_xlfn.XLOOKUP(R65,'Mall Dataset'!$B$3:$B$157,'Mall Dataset'!$E$3:$E$157,,0)))+SIN(RADIANS(90-O65))*SIN(RADIANS(90-_xlfn.XLOOKUP(R65,'Mall Dataset'!$B$3:$B$157,'Mall Dataset'!$E$3:$E$157,,0)))*COS(RADIANS(P65-_xlfn.XLOOKUP(R65,'Mall Dataset'!$B$3:$B$157,'Mall Dataset'!$F$3:$F$157,,0))))*6371*1000</f>
        <v>1074.8669240785034</v>
      </c>
      <c r="V65" s="39">
        <f>ACOS(COS(RADIANS(90-O65))*COS(RADIANS(90-_xlfn.XLOOKUP(S65,'Schools dataset'!$B$3:$B$187,'Schools dataset'!$J$3:$J$187,,0)))+SIN(RADIANS(90-O65))*SIN(RADIANS(90-_xlfn.XLOOKUP(S65,'Schools dataset'!$B$3:$B$187,'Schools dataset'!$J$3:$J$187,,0)))*COS(RADIANS(P65-_xlfn.XLOOKUP(S65,'Schools dataset'!$B$3:$B$187,'Schools dataset'!$K$3:$K$187,,0))))*6371*1000</f>
        <v>588.36715987207322</v>
      </c>
      <c r="W65" s="20">
        <f>_xlfn.XLOOKUP(T65,'HDB Recommender'!$P$10:$P$39,'HDB Recommender'!$Q$10:$Q$39,"&gt;30mins",1)</f>
        <v>16</v>
      </c>
      <c r="X65" s="20">
        <f>_xlfn.XLOOKUP(U65,'HDB Recommender'!$P$10:$P$39,'HDB Recommender'!$Q$10:$Q$39,"&gt;30mins",1)</f>
        <v>15</v>
      </c>
      <c r="Y65" s="20">
        <f>_xlfn.XLOOKUP(V65,'HDB Recommender'!$P$10:$P$39,'HDB Recommender'!$Q$10:$Q$39,"&gt;30mins",1)</f>
        <v>8</v>
      </c>
      <c r="Z65" s="39">
        <f t="shared" si="0"/>
        <v>13</v>
      </c>
      <c r="AA65" s="20" t="str">
        <f t="shared" si="1"/>
        <v>Within 1km</v>
      </c>
    </row>
    <row r="66" spans="2:27">
      <c r="B66" s="35" t="s">
        <v>317</v>
      </c>
      <c r="C66" s="35" t="s">
        <v>394</v>
      </c>
      <c r="D66" s="35" t="s">
        <v>341</v>
      </c>
      <c r="E66" s="35"/>
      <c r="F66" s="35" t="s">
        <v>405</v>
      </c>
      <c r="G66" s="35" t="s">
        <v>323</v>
      </c>
      <c r="H66" s="35">
        <v>114</v>
      </c>
      <c r="I66" s="35" t="s">
        <v>326</v>
      </c>
      <c r="J66" s="36">
        <v>2019</v>
      </c>
      <c r="K66" s="39">
        <v>95</v>
      </c>
      <c r="L66" s="37">
        <v>720000</v>
      </c>
      <c r="M66" s="35" t="s">
        <v>428</v>
      </c>
      <c r="N66" s="27">
        <v>654461</v>
      </c>
      <c r="O66" s="38">
        <v>1.35445321126227</v>
      </c>
      <c r="P66" s="38">
        <v>103.740357147518</v>
      </c>
      <c r="Q66" s="38" t="str" cm="1">
        <f t="array" ref="Q66">INDEX('MRT station dataset'!$C$3:$C$179, MATCH(MIN(SQRT(('MRT station dataset'!$E$3:$E$179-'Resale flat dataset (DV)'!O66)^2+('MRT station dataset'!$F$3:$F$179-'Resale flat dataset (DV)'!P66)^2)), SQRT(('MRT station dataset'!$E$3:$E$179-'Resale flat dataset (DV)'!O66)^2+('MRT station dataset'!$F$3:$F$179-'Resale flat dataset (DV)'!P66)^2), 0))</f>
        <v>BUKIT BATOK MRT STATION</v>
      </c>
      <c r="R66" s="38" t="str" cm="1">
        <f t="array" ref="R66">INDEX('Mall Dataset'!$B$3:$B$157, MATCH(MIN(SQRT(('Mall Dataset'!$E$3:$E$157-'Resale flat dataset (DV)'!O66)^2+('Mall Dataset'!$F$3:$F$157-'Resale flat dataset (DV)'!P66)^2)), SQRT(('Mall Dataset'!$E$3:$E$157-'Resale flat dataset (DV)'!O66)^2+('Mall Dataset'!$F$3:$F$157-'Resale flat dataset (DV)'!P66)^2), 0))</f>
        <v>West Mall</v>
      </c>
      <c r="S66" s="38" t="str" cm="1">
        <f t="array" ref="S66">INDEX('Schools dataset'!$B$3:$B$187, MATCH(MIN(SQRT(('Schools dataset'!$J$3:$J$187-'Resale flat dataset (DV)'!O66)^2+('Schools dataset'!$K$3:$K$187-'Resale flat dataset (DV)'!P66)^2)), SQRT(('Schools dataset'!$J$3:$J$187-'Resale flat dataset (DV)'!O66)^2+('Schools dataset'!$K$3:$K$187-'Resale flat dataset (DV)'!P66)^2), 0))</f>
        <v>PRINCESS ELIZABETH PRIMARY SCHOOL</v>
      </c>
      <c r="T66" s="39">
        <f>ACOS(COS(RADIANS(90-O66))*COS(RADIANS(90-_xlfn.XLOOKUP(Q66,'MRT station dataset'!$C$3:$C$179,'MRT station dataset'!$E$3:$E$179)))+SIN(RADIANS(90-O66))*SIN(RADIANS(90-_xlfn.XLOOKUP(Q66,'MRT station dataset'!$C$3:$C$179,'MRT station dataset'!$E$3:$E$179)))*COS(RADIANS(P66-_xlfn.XLOOKUP('Resale flat dataset (DV)'!Q66,'MRT station dataset'!$C$3:$C$179,'MRT station dataset'!$F$3:$F$179))))*6371*1000</f>
        <v>1193.0562425691535</v>
      </c>
      <c r="U66" s="39">
        <f>ACOS(COS(RADIANS(90-O66))*COS(RADIANS(90-_xlfn.XLOOKUP(R66,'Mall Dataset'!$B$3:$B$157,'Mall Dataset'!$E$3:$E$157,,0)))+SIN(RADIANS(90-O66))*SIN(RADIANS(90-_xlfn.XLOOKUP(R66,'Mall Dataset'!$B$3:$B$157,'Mall Dataset'!$E$3:$E$157,,0)))*COS(RADIANS(P66-_xlfn.XLOOKUP(R66,'Mall Dataset'!$B$3:$B$157,'Mall Dataset'!$F$3:$F$157,,0))))*6371*1000</f>
        <v>1074.8669240785034</v>
      </c>
      <c r="V66" s="39">
        <f>ACOS(COS(RADIANS(90-O66))*COS(RADIANS(90-_xlfn.XLOOKUP(S66,'Schools dataset'!$B$3:$B$187,'Schools dataset'!$J$3:$J$187,,0)))+SIN(RADIANS(90-O66))*SIN(RADIANS(90-_xlfn.XLOOKUP(S66,'Schools dataset'!$B$3:$B$187,'Schools dataset'!$J$3:$J$187,,0)))*COS(RADIANS(P66-_xlfn.XLOOKUP(S66,'Schools dataset'!$B$3:$B$187,'Schools dataset'!$K$3:$K$187,,0))))*6371*1000</f>
        <v>588.36715987207322</v>
      </c>
      <c r="W66" s="20">
        <f>_xlfn.XLOOKUP(T66,'HDB Recommender'!$P$10:$P$39,'HDB Recommender'!$Q$10:$Q$39,"&gt;30mins",1)</f>
        <v>16</v>
      </c>
      <c r="X66" s="20">
        <f>_xlfn.XLOOKUP(U66,'HDB Recommender'!$P$10:$P$39,'HDB Recommender'!$Q$10:$Q$39,"&gt;30mins",1)</f>
        <v>15</v>
      </c>
      <c r="Y66" s="20">
        <f>_xlfn.XLOOKUP(V66,'HDB Recommender'!$P$10:$P$39,'HDB Recommender'!$Q$10:$Q$39,"&gt;30mins",1)</f>
        <v>8</v>
      </c>
      <c r="Z66" s="39">
        <f t="shared" si="0"/>
        <v>13</v>
      </c>
      <c r="AA66" s="20" t="str">
        <f t="shared" si="1"/>
        <v>Within 1km</v>
      </c>
    </row>
    <row r="67" spans="2:27">
      <c r="B67" s="35" t="s">
        <v>317</v>
      </c>
      <c r="C67" s="35" t="s">
        <v>394</v>
      </c>
      <c r="D67" s="35" t="s">
        <v>383</v>
      </c>
      <c r="E67" s="35"/>
      <c r="F67" s="35" t="s">
        <v>429</v>
      </c>
      <c r="G67" s="35" t="s">
        <v>191</v>
      </c>
      <c r="H67" s="35">
        <v>144</v>
      </c>
      <c r="I67" s="35" t="s">
        <v>384</v>
      </c>
      <c r="J67" s="36">
        <v>1998</v>
      </c>
      <c r="K67" s="39">
        <v>73.9166666666666</v>
      </c>
      <c r="L67" s="37">
        <v>888888</v>
      </c>
      <c r="M67" s="35" t="s">
        <v>430</v>
      </c>
      <c r="N67" s="27">
        <v>655288</v>
      </c>
      <c r="O67" s="38">
        <v>1.3452509299695901</v>
      </c>
      <c r="P67" s="38">
        <v>103.758361154197</v>
      </c>
      <c r="Q67" s="38" t="str" cm="1">
        <f t="array" ref="Q67">INDEX('MRT station dataset'!$C$3:$C$179, MATCH(MIN(SQRT(('MRT station dataset'!$E$3:$E$179-'Resale flat dataset (DV)'!O67)^2+('MRT station dataset'!$F$3:$F$179-'Resale flat dataset (DV)'!P67)^2)), SQRT(('MRT station dataset'!$E$3:$E$179-'Resale flat dataset (DV)'!O67)^2+('MRT station dataset'!$F$3:$F$179-'Resale flat dataset (DV)'!P67)^2), 0))</f>
        <v>BUKIT BATOK MRT STATION</v>
      </c>
      <c r="R67" s="38" t="str" cm="1">
        <f t="array" ref="R67">INDEX('Mall Dataset'!$B$3:$B$157, MATCH(MIN(SQRT(('Mall Dataset'!$E$3:$E$157-'Resale flat dataset (DV)'!O67)^2+('Mall Dataset'!$F$3:$F$157-'Resale flat dataset (DV)'!P67)^2)), SQRT(('Mall Dataset'!$E$3:$E$157-'Resale flat dataset (DV)'!O67)^2+('Mall Dataset'!$F$3:$F$157-'Resale flat dataset (DV)'!P67)^2), 0))</f>
        <v>West Mall</v>
      </c>
      <c r="S67" s="38" t="str" cm="1">
        <f t="array" ref="S67">INDEX('Schools dataset'!$B$3:$B$187, MATCH(MIN(SQRT(('Schools dataset'!$J$3:$J$187-'Resale flat dataset (DV)'!O67)^2+('Schools dataset'!$K$3:$K$187-'Resale flat dataset (DV)'!P67)^2)), SQRT(('Schools dataset'!$J$3:$J$187-'Resale flat dataset (DV)'!O67)^2+('Schools dataset'!$K$3:$K$187-'Resale flat dataset (DV)'!P67)^2), 0))</f>
        <v>KEMING PRIMARY SCHOOL</v>
      </c>
      <c r="T67" s="39">
        <f>ACOS(COS(RADIANS(90-O67))*COS(RADIANS(90-_xlfn.XLOOKUP(Q67,'MRT station dataset'!$C$3:$C$179,'MRT station dataset'!$E$3:$E$179)))+SIN(RADIANS(90-O67))*SIN(RADIANS(90-_xlfn.XLOOKUP(Q67,'MRT station dataset'!$C$3:$C$179,'MRT station dataset'!$E$3:$E$179)))*COS(RADIANS(P67-_xlfn.XLOOKUP('Resale flat dataset (DV)'!Q67,'MRT station dataset'!$C$3:$C$179,'MRT station dataset'!$F$3:$F$179))))*6371*1000</f>
        <v>1059.39605442277</v>
      </c>
      <c r="U67" s="39">
        <f>ACOS(COS(RADIANS(90-O67))*COS(RADIANS(90-_xlfn.XLOOKUP(R67,'Mall Dataset'!$B$3:$B$157,'Mall Dataset'!$E$3:$E$157,,0)))+SIN(RADIANS(90-O67))*SIN(RADIANS(90-_xlfn.XLOOKUP(R67,'Mall Dataset'!$B$3:$B$157,'Mall Dataset'!$E$3:$E$157,,0)))*COS(RADIANS(P67-_xlfn.XLOOKUP(R67,'Mall Dataset'!$B$3:$B$157,'Mall Dataset'!$F$3:$F$157,,0))))*6371*1000</f>
        <v>1174.3581908570525</v>
      </c>
      <c r="V67" s="39">
        <f>ACOS(COS(RADIANS(90-O67))*COS(RADIANS(90-_xlfn.XLOOKUP(S67,'Schools dataset'!$B$3:$B$187,'Schools dataset'!$J$3:$J$187,,0)))+SIN(RADIANS(90-O67))*SIN(RADIANS(90-_xlfn.XLOOKUP(S67,'Schools dataset'!$B$3:$B$187,'Schools dataset'!$J$3:$J$187,,0)))*COS(RADIANS(P67-_xlfn.XLOOKUP(S67,'Schools dataset'!$B$3:$B$187,'Schools dataset'!$K$3:$K$187,,0))))*6371*1000</f>
        <v>271.81053468149406</v>
      </c>
      <c r="W67" s="20">
        <f>_xlfn.XLOOKUP(T67,'HDB Recommender'!$P$10:$P$39,'HDB Recommender'!$Q$10:$Q$39,"&gt;30mins",1)</f>
        <v>15</v>
      </c>
      <c r="X67" s="20">
        <f>_xlfn.XLOOKUP(U67,'HDB Recommender'!$P$10:$P$39,'HDB Recommender'!$Q$10:$Q$39,"&gt;30mins",1)</f>
        <v>16</v>
      </c>
      <c r="Y67" s="20">
        <f>_xlfn.XLOOKUP(V67,'HDB Recommender'!$P$10:$P$39,'HDB Recommender'!$Q$10:$Q$39,"&gt;30mins",1)</f>
        <v>4</v>
      </c>
      <c r="Z67" s="39">
        <f t="shared" si="0"/>
        <v>11.666666666666666</v>
      </c>
      <c r="AA67" s="20" t="str">
        <f t="shared" si="1"/>
        <v>Within 1km</v>
      </c>
    </row>
    <row r="68" spans="2:27">
      <c r="B68" s="35" t="s">
        <v>317</v>
      </c>
      <c r="C68" s="35" t="s">
        <v>431</v>
      </c>
      <c r="D68" s="35" t="s">
        <v>318</v>
      </c>
      <c r="E68" s="35">
        <v>24</v>
      </c>
      <c r="F68" s="35" t="s">
        <v>432</v>
      </c>
      <c r="G68" s="35" t="s">
        <v>189</v>
      </c>
      <c r="H68" s="35">
        <v>59</v>
      </c>
      <c r="I68" s="35" t="s">
        <v>342</v>
      </c>
      <c r="J68" s="36">
        <v>1971</v>
      </c>
      <c r="K68" s="39">
        <v>46.8333333333333</v>
      </c>
      <c r="L68" s="37">
        <v>348000</v>
      </c>
      <c r="M68" s="35" t="s">
        <v>433</v>
      </c>
      <c r="N68" s="27">
        <v>160024</v>
      </c>
      <c r="O68" s="38">
        <v>1.2885253517116599</v>
      </c>
      <c r="P68" s="38">
        <v>103.828458597142</v>
      </c>
      <c r="Q68" s="38" t="str" cm="1">
        <f t="array" ref="Q68">INDEX('MRT station dataset'!$C$3:$C$179, MATCH(MIN(SQRT(('MRT station dataset'!$E$3:$E$179-'Resale flat dataset (DV)'!O68)^2+('MRT station dataset'!$F$3:$F$179-'Resale flat dataset (DV)'!P68)^2)), SQRT(('MRT station dataset'!$E$3:$E$179-'Resale flat dataset (DV)'!O68)^2+('MRT station dataset'!$F$3:$F$179-'Resale flat dataset (DV)'!P68)^2), 0))</f>
        <v>TIONG BAHRU MRT STATION</v>
      </c>
      <c r="R68" s="38" t="str" cm="1">
        <f t="array" ref="R68">INDEX('Mall Dataset'!$B$3:$B$157, MATCH(MIN(SQRT(('Mall Dataset'!$E$3:$E$157-'Resale flat dataset (DV)'!O68)^2+('Mall Dataset'!$F$3:$F$157-'Resale flat dataset (DV)'!P68)^2)), SQRT(('Mall Dataset'!$E$3:$E$157-'Resale flat dataset (DV)'!O68)^2+('Mall Dataset'!$F$3:$F$157-'Resale flat dataset (DV)'!P68)^2), 0))</f>
        <v>Tiong Bahru Plaza</v>
      </c>
      <c r="S68" s="38" t="str" cm="1">
        <f t="array" ref="S68">INDEX('Schools dataset'!$B$3:$B$187, MATCH(MIN(SQRT(('Schools dataset'!$J$3:$J$187-'Resale flat dataset (DV)'!O68)^2+('Schools dataset'!$K$3:$K$187-'Resale flat dataset (DV)'!P68)^2)), SQRT(('Schools dataset'!$J$3:$J$187-'Resale flat dataset (DV)'!O68)^2+('Schools dataset'!$K$3:$K$187-'Resale flat dataset (DV)'!P68)^2), 0))</f>
        <v>ALEXANDRA PRIMARY SCHOOL</v>
      </c>
      <c r="T68" s="39">
        <f>ACOS(COS(RADIANS(90-O68))*COS(RADIANS(90-_xlfn.XLOOKUP(Q68,'MRT station dataset'!$C$3:$C$179,'MRT station dataset'!$E$3:$E$179)))+SIN(RADIANS(90-O68))*SIN(RADIANS(90-_xlfn.XLOOKUP(Q68,'MRT station dataset'!$C$3:$C$179,'MRT station dataset'!$E$3:$E$179)))*COS(RADIANS(P68-_xlfn.XLOOKUP('Resale flat dataset (DV)'!Q68,'MRT station dataset'!$C$3:$C$179,'MRT station dataset'!$F$3:$F$179))))*6371*1000</f>
        <v>305.20308934287652</v>
      </c>
      <c r="U68" s="39">
        <f>ACOS(COS(RADIANS(90-O68))*COS(RADIANS(90-_xlfn.XLOOKUP(R68,'Mall Dataset'!$B$3:$B$157,'Mall Dataset'!$E$3:$E$157,,0)))+SIN(RADIANS(90-O68))*SIN(RADIANS(90-_xlfn.XLOOKUP(R68,'Mall Dataset'!$B$3:$B$157,'Mall Dataset'!$E$3:$E$157,,0)))*COS(RADIANS(P68-_xlfn.XLOOKUP(R68,'Mall Dataset'!$B$3:$B$157,'Mall Dataset'!$F$3:$F$157,,0))))*6371*1000</f>
        <v>280.25589777821392</v>
      </c>
      <c r="V68" s="39">
        <f>ACOS(COS(RADIANS(90-O68))*COS(RADIANS(90-_xlfn.XLOOKUP(S68,'Schools dataset'!$B$3:$B$187,'Schools dataset'!$J$3:$J$187,,0)))+SIN(RADIANS(90-O68))*SIN(RADIANS(90-_xlfn.XLOOKUP(S68,'Schools dataset'!$B$3:$B$187,'Schools dataset'!$J$3:$J$187,,0)))*COS(RADIANS(P68-_xlfn.XLOOKUP(S68,'Schools dataset'!$B$3:$B$187,'Schools dataset'!$K$3:$K$187,,0))))*6371*1000</f>
        <v>546.49724250337363</v>
      </c>
      <c r="W68" s="20">
        <f>_xlfn.XLOOKUP(T68,'HDB Recommender'!$P$10:$P$39,'HDB Recommender'!$Q$10:$Q$39,"&gt;30mins",1)</f>
        <v>5</v>
      </c>
      <c r="X68" s="20">
        <f>_xlfn.XLOOKUP(U68,'HDB Recommender'!$P$10:$P$39,'HDB Recommender'!$Q$10:$Q$39,"&gt;30mins",1)</f>
        <v>4</v>
      </c>
      <c r="Y68" s="20">
        <f>_xlfn.XLOOKUP(V68,'HDB Recommender'!$P$10:$P$39,'HDB Recommender'!$Q$10:$Q$39,"&gt;30mins",1)</f>
        <v>8</v>
      </c>
      <c r="Z68" s="39">
        <f t="shared" ref="Z68:Z131" si="2">AVERAGE(W68:Y68)</f>
        <v>5.666666666666667</v>
      </c>
      <c r="AA68" s="20" t="str">
        <f t="shared" ref="AA68:AA131" si="3">IF(V68&lt;1000, "Within 1km", IF(V68&lt;=2000, "between 1km and 2km", "more than 2km"))</f>
        <v>Within 1km</v>
      </c>
    </row>
    <row r="69" spans="2:27">
      <c r="B69" s="35" t="s">
        <v>317</v>
      </c>
      <c r="C69" s="35" t="s">
        <v>431</v>
      </c>
      <c r="D69" s="35" t="s">
        <v>318</v>
      </c>
      <c r="E69" s="35">
        <v>36</v>
      </c>
      <c r="F69" s="35" t="s">
        <v>432</v>
      </c>
      <c r="G69" s="35" t="s">
        <v>184</v>
      </c>
      <c r="H69" s="35">
        <v>59</v>
      </c>
      <c r="I69" s="35" t="s">
        <v>342</v>
      </c>
      <c r="J69" s="36">
        <v>1971</v>
      </c>
      <c r="K69" s="39">
        <v>46.8333333333333</v>
      </c>
      <c r="L69" s="37">
        <v>349888</v>
      </c>
      <c r="M69" s="35" t="s">
        <v>434</v>
      </c>
      <c r="N69" s="27">
        <v>160036</v>
      </c>
      <c r="O69" s="38">
        <v>1.28835977080873</v>
      </c>
      <c r="P69" s="38">
        <v>103.82705691109599</v>
      </c>
      <c r="Q69" s="38" t="str" cm="1">
        <f t="array" ref="Q69">INDEX('MRT station dataset'!$C$3:$C$179, MATCH(MIN(SQRT(('MRT station dataset'!$E$3:$E$179-'Resale flat dataset (DV)'!O69)^2+('MRT station dataset'!$F$3:$F$179-'Resale flat dataset (DV)'!P69)^2)), SQRT(('MRT station dataset'!$E$3:$E$179-'Resale flat dataset (DV)'!O69)^2+('MRT station dataset'!$F$3:$F$179-'Resale flat dataset (DV)'!P69)^2), 0))</f>
        <v>TIONG BAHRU MRT STATION</v>
      </c>
      <c r="R69" s="38" t="str" cm="1">
        <f t="array" ref="R69">INDEX('Mall Dataset'!$B$3:$B$157, MATCH(MIN(SQRT(('Mall Dataset'!$E$3:$E$157-'Resale flat dataset (DV)'!O69)^2+('Mall Dataset'!$F$3:$F$157-'Resale flat dataset (DV)'!P69)^2)), SQRT(('Mall Dataset'!$E$3:$E$157-'Resale flat dataset (DV)'!O69)^2+('Mall Dataset'!$F$3:$F$157-'Resale flat dataset (DV)'!P69)^2), 0))</f>
        <v>Tiong Bahru Plaza</v>
      </c>
      <c r="S69" s="38" t="str" cm="1">
        <f t="array" ref="S69">INDEX('Schools dataset'!$B$3:$B$187, MATCH(MIN(SQRT(('Schools dataset'!$J$3:$J$187-'Resale flat dataset (DV)'!O69)^2+('Schools dataset'!$K$3:$K$187-'Resale flat dataset (DV)'!P69)^2)), SQRT(('Schools dataset'!$J$3:$J$187-'Resale flat dataset (DV)'!O69)^2+('Schools dataset'!$K$3:$K$187-'Resale flat dataset (DV)'!P69)^2), 0))</f>
        <v>ALEXANDRA PRIMARY SCHOOL</v>
      </c>
      <c r="T69" s="39">
        <f>ACOS(COS(RADIANS(90-O69))*COS(RADIANS(90-_xlfn.XLOOKUP(Q69,'MRT station dataset'!$C$3:$C$179,'MRT station dataset'!$E$3:$E$179)))+SIN(RADIANS(90-O69))*SIN(RADIANS(90-_xlfn.XLOOKUP(Q69,'MRT station dataset'!$C$3:$C$179,'MRT station dataset'!$E$3:$E$179)))*COS(RADIANS(P69-_xlfn.XLOOKUP('Resale flat dataset (DV)'!Q69,'MRT station dataset'!$C$3:$C$179,'MRT station dataset'!$F$3:$F$179))))*6371*1000</f>
        <v>240.23888776326618</v>
      </c>
      <c r="U69" s="39">
        <f>ACOS(COS(RADIANS(90-O69))*COS(RADIANS(90-_xlfn.XLOOKUP(R69,'Mall Dataset'!$B$3:$B$157,'Mall Dataset'!$E$3:$E$157,,0)))+SIN(RADIANS(90-O69))*SIN(RADIANS(90-_xlfn.XLOOKUP(R69,'Mall Dataset'!$B$3:$B$157,'Mall Dataset'!$E$3:$E$157,,0)))*COS(RADIANS(P69-_xlfn.XLOOKUP(R69,'Mall Dataset'!$B$3:$B$157,'Mall Dataset'!$F$3:$F$157,,0))))*6371*1000</f>
        <v>211.41847869903808</v>
      </c>
      <c r="V69" s="39">
        <f>ACOS(COS(RADIANS(90-O69))*COS(RADIANS(90-_xlfn.XLOOKUP(S69,'Schools dataset'!$B$3:$B$187,'Schools dataset'!$J$3:$J$187,,0)))+SIN(RADIANS(90-O69))*SIN(RADIANS(90-_xlfn.XLOOKUP(S69,'Schools dataset'!$B$3:$B$187,'Schools dataset'!$J$3:$J$187,,0)))*COS(RADIANS(P69-_xlfn.XLOOKUP(S69,'Schools dataset'!$B$3:$B$187,'Schools dataset'!$K$3:$K$187,,0))))*6371*1000</f>
        <v>441.62023100470105</v>
      </c>
      <c r="W69" s="20">
        <f>_xlfn.XLOOKUP(T69,'HDB Recommender'!$P$10:$P$39,'HDB Recommender'!$Q$10:$Q$39,"&gt;30mins",1)</f>
        <v>4</v>
      </c>
      <c r="X69" s="20">
        <f>_xlfn.XLOOKUP(U69,'HDB Recommender'!$P$10:$P$39,'HDB Recommender'!$Q$10:$Q$39,"&gt;30mins",1)</f>
        <v>3</v>
      </c>
      <c r="Y69" s="20">
        <f>_xlfn.XLOOKUP(V69,'HDB Recommender'!$P$10:$P$39,'HDB Recommender'!$Q$10:$Q$39,"&gt;30mins",1)</f>
        <v>6</v>
      </c>
      <c r="Z69" s="39">
        <f t="shared" si="2"/>
        <v>4.333333333333333</v>
      </c>
      <c r="AA69" s="20" t="str">
        <f t="shared" si="3"/>
        <v>Within 1km</v>
      </c>
    </row>
    <row r="70" spans="2:27">
      <c r="B70" s="35" t="s">
        <v>317</v>
      </c>
      <c r="C70" s="35" t="s">
        <v>431</v>
      </c>
      <c r="D70" s="35" t="s">
        <v>318</v>
      </c>
      <c r="E70" s="35">
        <v>2</v>
      </c>
      <c r="F70" s="35" t="s">
        <v>435</v>
      </c>
      <c r="G70" s="35" t="s">
        <v>191</v>
      </c>
      <c r="H70" s="35">
        <v>72</v>
      </c>
      <c r="I70" s="35" t="s">
        <v>320</v>
      </c>
      <c r="J70" s="36">
        <v>1980</v>
      </c>
      <c r="K70" s="39">
        <v>56.1666666666666</v>
      </c>
      <c r="L70" s="37">
        <v>508000</v>
      </c>
      <c r="M70" s="35" t="s">
        <v>436</v>
      </c>
      <c r="N70" s="27" t="s">
        <v>437</v>
      </c>
      <c r="O70" s="38">
        <v>1.2774163033752199</v>
      </c>
      <c r="P70" s="38">
        <v>103.839330846341</v>
      </c>
      <c r="Q70" s="38" t="str" cm="1">
        <f t="array" ref="Q70">INDEX('MRT station dataset'!$C$3:$C$179, MATCH(MIN(SQRT(('MRT station dataset'!$E$3:$E$179-'Resale flat dataset (DV)'!O70)^2+('MRT station dataset'!$F$3:$F$179-'Resale flat dataset (DV)'!P70)^2)), SQRT(('MRT station dataset'!$E$3:$E$179-'Resale flat dataset (DV)'!O70)^2+('MRT station dataset'!$F$3:$F$179-'Resale flat dataset (DV)'!P70)^2), 0))</f>
        <v>OUTRAM PARK MRT STATION</v>
      </c>
      <c r="R70" s="38" t="str" cm="1">
        <f t="array" ref="R70">INDEX('Mall Dataset'!$B$3:$B$157, MATCH(MIN(SQRT(('Mall Dataset'!$E$3:$E$157-'Resale flat dataset (DV)'!O70)^2+('Mall Dataset'!$F$3:$F$157-'Resale flat dataset (DV)'!P70)^2)), SQRT(('Mall Dataset'!$E$3:$E$157-'Resale flat dataset (DV)'!O70)^2+('Mall Dataset'!$F$3:$F$157-'Resale flat dataset (DV)'!P70)^2), 0))</f>
        <v>100 AM</v>
      </c>
      <c r="S70" s="38" t="str" cm="1">
        <f t="array" ref="S70">INDEX('Schools dataset'!$B$3:$B$187, MATCH(MIN(SQRT(('Schools dataset'!$J$3:$J$187-'Resale flat dataset (DV)'!O70)^2+('Schools dataset'!$K$3:$K$187-'Resale flat dataset (DV)'!P70)^2)), SQRT(('Schools dataset'!$J$3:$J$187-'Resale flat dataset (DV)'!O70)^2+('Schools dataset'!$K$3:$K$187-'Resale flat dataset (DV)'!P70)^2), 0))</f>
        <v>ZHANGDE PRIMARY SCHOOL</v>
      </c>
      <c r="T70" s="39">
        <f>ACOS(COS(RADIANS(90-O70))*COS(RADIANS(90-_xlfn.XLOOKUP(Q70,'MRT station dataset'!$C$3:$C$179,'MRT station dataset'!$E$3:$E$179)))+SIN(RADIANS(90-O70))*SIN(RADIANS(90-_xlfn.XLOOKUP(Q70,'MRT station dataset'!$C$3:$C$179,'MRT station dataset'!$E$3:$E$179)))*COS(RADIANS(P70-_xlfn.XLOOKUP('Resale flat dataset (DV)'!Q70,'MRT station dataset'!$C$3:$C$179,'MRT station dataset'!$F$3:$F$179))))*6371*1000</f>
        <v>443.70958655184677</v>
      </c>
      <c r="U70" s="39">
        <f>ACOS(COS(RADIANS(90-O70))*COS(RADIANS(90-_xlfn.XLOOKUP(R70,'Mall Dataset'!$B$3:$B$157,'Mall Dataset'!$E$3:$E$157,,0)))+SIN(RADIANS(90-O70))*SIN(RADIANS(90-_xlfn.XLOOKUP(R70,'Mall Dataset'!$B$3:$B$157,'Mall Dataset'!$E$3:$E$157,,0)))*COS(RADIANS(P70-_xlfn.XLOOKUP(R70,'Mall Dataset'!$B$3:$B$157,'Mall Dataset'!$F$3:$F$157,,0))))*6371*1000</f>
        <v>325.36370971473326</v>
      </c>
      <c r="V70" s="39">
        <f>ACOS(COS(RADIANS(90-O70))*COS(RADIANS(90-_xlfn.XLOOKUP(S70,'Schools dataset'!$B$3:$B$187,'Schools dataset'!$J$3:$J$187,,0)))+SIN(RADIANS(90-O70))*SIN(RADIANS(90-_xlfn.XLOOKUP(S70,'Schools dataset'!$B$3:$B$187,'Schools dataset'!$J$3:$J$187,,0)))*COS(RADIANS(P70-_xlfn.XLOOKUP(S70,'Schools dataset'!$B$3:$B$187,'Schools dataset'!$K$3:$K$187,,0))))*6371*1000</f>
        <v>1668.2293010705118</v>
      </c>
      <c r="W70" s="20">
        <f>_xlfn.XLOOKUP(T70,'HDB Recommender'!$P$10:$P$39,'HDB Recommender'!$Q$10:$Q$39,"&gt;30mins",1)</f>
        <v>6</v>
      </c>
      <c r="X70" s="20">
        <f>_xlfn.XLOOKUP(U70,'HDB Recommender'!$P$10:$P$39,'HDB Recommender'!$Q$10:$Q$39,"&gt;30mins",1)</f>
        <v>5</v>
      </c>
      <c r="Y70" s="20">
        <f>_xlfn.XLOOKUP(V70,'HDB Recommender'!$P$10:$P$39,'HDB Recommender'!$Q$10:$Q$39,"&gt;30mins",1)</f>
        <v>23</v>
      </c>
      <c r="Z70" s="39">
        <f t="shared" si="2"/>
        <v>11.333333333333334</v>
      </c>
      <c r="AA70" s="20" t="str">
        <f t="shared" si="3"/>
        <v>between 1km and 2km</v>
      </c>
    </row>
    <row r="71" spans="2:27">
      <c r="B71" s="35" t="s">
        <v>317</v>
      </c>
      <c r="C71" s="35" t="s">
        <v>431</v>
      </c>
      <c r="D71" s="35" t="s">
        <v>318</v>
      </c>
      <c r="E71" s="35">
        <v>49</v>
      </c>
      <c r="F71" s="35" t="s">
        <v>438</v>
      </c>
      <c r="G71" s="35" t="s">
        <v>349</v>
      </c>
      <c r="H71" s="35">
        <v>88</v>
      </c>
      <c r="I71" s="35" t="s">
        <v>342</v>
      </c>
      <c r="J71" s="36">
        <v>1973</v>
      </c>
      <c r="K71" s="39">
        <v>48.4166666666666</v>
      </c>
      <c r="L71" s="37">
        <v>720000</v>
      </c>
      <c r="M71" s="35" t="s">
        <v>439</v>
      </c>
      <c r="N71" s="27">
        <v>160049</v>
      </c>
      <c r="O71" s="38">
        <v>1.28429935662089</v>
      </c>
      <c r="P71" s="38">
        <v>103.830518003368</v>
      </c>
      <c r="Q71" s="38" t="str" cm="1">
        <f t="array" ref="Q71">INDEX('MRT station dataset'!$C$3:$C$179, MATCH(MIN(SQRT(('MRT station dataset'!$E$3:$E$179-'Resale flat dataset (DV)'!O71)^2+('MRT station dataset'!$F$3:$F$179-'Resale flat dataset (DV)'!P71)^2)), SQRT(('MRT station dataset'!$E$3:$E$179-'Resale flat dataset (DV)'!O71)^2+('MRT station dataset'!$F$3:$F$179-'Resale flat dataset (DV)'!P71)^2), 0))</f>
        <v>TIONG BAHRU MRT STATION</v>
      </c>
      <c r="R71" s="38" t="str" cm="1">
        <f t="array" ref="R71">INDEX('Mall Dataset'!$B$3:$B$157, MATCH(MIN(SQRT(('Mall Dataset'!$E$3:$E$157-'Resale flat dataset (DV)'!O71)^2+('Mall Dataset'!$F$3:$F$157-'Resale flat dataset (DV)'!P71)^2)), SQRT(('Mall Dataset'!$E$3:$E$157-'Resale flat dataset (DV)'!O71)^2+('Mall Dataset'!$F$3:$F$157-'Resale flat dataset (DV)'!P71)^2), 0))</f>
        <v>Tiong Bahru Plaza</v>
      </c>
      <c r="S71" s="38" t="str" cm="1">
        <f t="array" ref="S71">INDEX('Schools dataset'!$B$3:$B$187, MATCH(MIN(SQRT(('Schools dataset'!$J$3:$J$187-'Resale flat dataset (DV)'!O71)^2+('Schools dataset'!$K$3:$K$187-'Resale flat dataset (DV)'!P71)^2)), SQRT(('Schools dataset'!$J$3:$J$187-'Resale flat dataset (DV)'!O71)^2+('Schools dataset'!$K$3:$K$187-'Resale flat dataset (DV)'!P71)^2), 0))</f>
        <v>ZHANGDE PRIMARY SCHOOL</v>
      </c>
      <c r="T71" s="39">
        <f>ACOS(COS(RADIANS(90-O71))*COS(RADIANS(90-_xlfn.XLOOKUP(Q71,'MRT station dataset'!$C$3:$C$179,'MRT station dataset'!$E$3:$E$179)))+SIN(RADIANS(90-O71))*SIN(RADIANS(90-_xlfn.XLOOKUP(Q71,'MRT station dataset'!$C$3:$C$179,'MRT station dataset'!$E$3:$E$179)))*COS(RADIANS(P71-_xlfn.XLOOKUP('Resale flat dataset (DV)'!Q71,'MRT station dataset'!$C$3:$C$179,'MRT station dataset'!$F$3:$F$179))))*6371*1000</f>
        <v>444.53733828889199</v>
      </c>
      <c r="U71" s="39">
        <f>ACOS(COS(RADIANS(90-O71))*COS(RADIANS(90-_xlfn.XLOOKUP(R71,'Mall Dataset'!$B$3:$B$157,'Mall Dataset'!$E$3:$E$157,,0)))+SIN(RADIANS(90-O71))*SIN(RADIANS(90-_xlfn.XLOOKUP(R71,'Mall Dataset'!$B$3:$B$157,'Mall Dataset'!$E$3:$E$157,,0)))*COS(RADIANS(P71-_xlfn.XLOOKUP(R71,'Mall Dataset'!$B$3:$B$157,'Mall Dataset'!$F$3:$F$157,,0))))*6371*1000</f>
        <v>457.4785339569396</v>
      </c>
      <c r="V71" s="39">
        <f>ACOS(COS(RADIANS(90-O71))*COS(RADIANS(90-_xlfn.XLOOKUP(S71,'Schools dataset'!$B$3:$B$187,'Schools dataset'!$J$3:$J$187,,0)))+SIN(RADIANS(90-O71))*SIN(RADIANS(90-_xlfn.XLOOKUP(S71,'Schools dataset'!$B$3:$B$187,'Schools dataset'!$J$3:$J$187,,0)))*COS(RADIANS(P71-_xlfn.XLOOKUP(S71,'Schools dataset'!$B$3:$B$187,'Schools dataset'!$K$3:$K$187,,0))))*6371*1000</f>
        <v>507.69560934375414</v>
      </c>
      <c r="W71" s="20">
        <f>_xlfn.XLOOKUP(T71,'HDB Recommender'!$P$10:$P$39,'HDB Recommender'!$Q$10:$Q$39,"&gt;30mins",1)</f>
        <v>6</v>
      </c>
      <c r="X71" s="20">
        <f>_xlfn.XLOOKUP(U71,'HDB Recommender'!$P$10:$P$39,'HDB Recommender'!$Q$10:$Q$39,"&gt;30mins",1)</f>
        <v>7</v>
      </c>
      <c r="Y71" s="20">
        <f>_xlfn.XLOOKUP(V71,'HDB Recommender'!$P$10:$P$39,'HDB Recommender'!$Q$10:$Q$39,"&gt;30mins",1)</f>
        <v>7</v>
      </c>
      <c r="Z71" s="39">
        <f t="shared" si="2"/>
        <v>6.666666666666667</v>
      </c>
      <c r="AA71" s="20" t="str">
        <f t="shared" si="3"/>
        <v>Within 1km</v>
      </c>
    </row>
    <row r="72" spans="2:27">
      <c r="B72" s="35" t="s">
        <v>317</v>
      </c>
      <c r="C72" s="35" t="s">
        <v>431</v>
      </c>
      <c r="D72" s="35" t="s">
        <v>318</v>
      </c>
      <c r="E72" s="35">
        <v>1</v>
      </c>
      <c r="F72" s="35" t="s">
        <v>440</v>
      </c>
      <c r="G72" s="35" t="s">
        <v>323</v>
      </c>
      <c r="H72" s="35">
        <v>74</v>
      </c>
      <c r="I72" s="35" t="s">
        <v>326</v>
      </c>
      <c r="J72" s="36">
        <v>1983</v>
      </c>
      <c r="K72" s="39">
        <v>58.5833333333333</v>
      </c>
      <c r="L72" s="37">
        <v>418888</v>
      </c>
      <c r="M72" s="35" t="s">
        <v>441</v>
      </c>
      <c r="N72" s="27" t="s">
        <v>442</v>
      </c>
      <c r="O72" s="38">
        <v>1.2794566007732899</v>
      </c>
      <c r="P72" s="38">
        <v>103.817897561986</v>
      </c>
      <c r="Q72" s="38" t="str" cm="1">
        <f t="array" ref="Q72">INDEX('MRT station dataset'!$C$3:$C$179, MATCH(MIN(SQRT(('MRT station dataset'!$E$3:$E$179-'Resale flat dataset (DV)'!O72)^2+('MRT station dataset'!$F$3:$F$179-'Resale flat dataset (DV)'!P72)^2)), SQRT(('MRT station dataset'!$E$3:$E$179-'Resale flat dataset (DV)'!O72)^2+('MRT station dataset'!$F$3:$F$179-'Resale flat dataset (DV)'!P72)^2), 0))</f>
        <v>REDHILL MRT STATION</v>
      </c>
      <c r="R72" s="38" t="str" cm="1">
        <f t="array" ref="R72">INDEX('Mall Dataset'!$B$3:$B$157, MATCH(MIN(SQRT(('Mall Dataset'!$E$3:$E$157-'Resale flat dataset (DV)'!O72)^2+('Mall Dataset'!$F$3:$F$157-'Resale flat dataset (DV)'!P72)^2)), SQRT(('Mall Dataset'!$E$3:$E$157-'Resale flat dataset (DV)'!O72)^2+('Mall Dataset'!$F$3:$F$157-'Resale flat dataset (DV)'!P72)^2), 0))</f>
        <v>Tiong Bahru Plaza</v>
      </c>
      <c r="S72" s="38" t="str" cm="1">
        <f t="array" ref="S72">INDEX('Schools dataset'!$B$3:$B$187, MATCH(MIN(SQRT(('Schools dataset'!$J$3:$J$187-'Resale flat dataset (DV)'!O72)^2+('Schools dataset'!$K$3:$K$187-'Resale flat dataset (DV)'!P72)^2)), SQRT(('Schools dataset'!$J$3:$J$187-'Resale flat dataset (DV)'!O72)^2+('Schools dataset'!$K$3:$K$187-'Resale flat dataset (DV)'!P72)^2), 0))</f>
        <v>GAN ENG SENG PRIMARY SCHOOL</v>
      </c>
      <c r="T72" s="39">
        <f>ACOS(COS(RADIANS(90-O72))*COS(RADIANS(90-_xlfn.XLOOKUP(Q72,'MRT station dataset'!$C$3:$C$179,'MRT station dataset'!$E$3:$E$179)))+SIN(RADIANS(90-O72))*SIN(RADIANS(90-_xlfn.XLOOKUP(Q72,'MRT station dataset'!$C$3:$C$179,'MRT station dataset'!$E$3:$E$179)))*COS(RADIANS(P72-_xlfn.XLOOKUP('Resale flat dataset (DV)'!Q72,'MRT station dataset'!$C$3:$C$179,'MRT station dataset'!$F$3:$F$179))))*6371*1000</f>
        <v>1134.4748419858261</v>
      </c>
      <c r="U72" s="39">
        <f>ACOS(COS(RADIANS(90-O72))*COS(RADIANS(90-_xlfn.XLOOKUP(R72,'Mall Dataset'!$B$3:$B$157,'Mall Dataset'!$E$3:$E$157,,0)))+SIN(RADIANS(90-O72))*SIN(RADIANS(90-_xlfn.XLOOKUP(R72,'Mall Dataset'!$B$3:$B$157,'Mall Dataset'!$E$3:$E$157,,0)))*COS(RADIANS(P72-_xlfn.XLOOKUP(R72,'Mall Dataset'!$B$3:$B$157,'Mall Dataset'!$F$3:$F$157,,0))))*6371*1000</f>
        <v>1278.1265197547148</v>
      </c>
      <c r="V72" s="39">
        <f>ACOS(COS(RADIANS(90-O72))*COS(RADIANS(90-_xlfn.XLOOKUP(S72,'Schools dataset'!$B$3:$B$187,'Schools dataset'!$J$3:$J$187,,0)))+SIN(RADIANS(90-O72))*SIN(RADIANS(90-_xlfn.XLOOKUP(S72,'Schools dataset'!$B$3:$B$187,'Schools dataset'!$J$3:$J$187,,0)))*COS(RADIANS(P72-_xlfn.XLOOKUP(S72,'Schools dataset'!$B$3:$B$187,'Schools dataset'!$K$3:$K$187,,0))))*6371*1000</f>
        <v>781.18928920326186</v>
      </c>
      <c r="W72" s="20">
        <f>_xlfn.XLOOKUP(T72,'HDB Recommender'!$P$10:$P$39,'HDB Recommender'!$Q$10:$Q$39,"&gt;30mins",1)</f>
        <v>16</v>
      </c>
      <c r="X72" s="20">
        <f>_xlfn.XLOOKUP(U72,'HDB Recommender'!$P$10:$P$39,'HDB Recommender'!$Q$10:$Q$39,"&gt;30mins",1)</f>
        <v>18</v>
      </c>
      <c r="Y72" s="20">
        <f>_xlfn.XLOOKUP(V72,'HDB Recommender'!$P$10:$P$39,'HDB Recommender'!$Q$10:$Q$39,"&gt;30mins",1)</f>
        <v>11</v>
      </c>
      <c r="Z72" s="39">
        <f t="shared" si="2"/>
        <v>15</v>
      </c>
      <c r="AA72" s="20" t="str">
        <f t="shared" si="3"/>
        <v>Within 1km</v>
      </c>
    </row>
    <row r="73" spans="2:27">
      <c r="B73" s="35" t="s">
        <v>317</v>
      </c>
      <c r="C73" s="35" t="s">
        <v>431</v>
      </c>
      <c r="D73" s="35" t="s">
        <v>318</v>
      </c>
      <c r="E73" s="35">
        <v>16</v>
      </c>
      <c r="F73" s="35" t="s">
        <v>440</v>
      </c>
      <c r="G73" s="35" t="s">
        <v>189</v>
      </c>
      <c r="H73" s="35">
        <v>65</v>
      </c>
      <c r="I73" s="35" t="s">
        <v>326</v>
      </c>
      <c r="J73" s="36">
        <v>1975</v>
      </c>
      <c r="K73" s="39">
        <v>50.5833333333333</v>
      </c>
      <c r="L73" s="37">
        <v>320000</v>
      </c>
      <c r="M73" s="35" t="s">
        <v>443</v>
      </c>
      <c r="N73" s="27" t="s">
        <v>444</v>
      </c>
      <c r="O73" s="38">
        <v>1.2780536523233299</v>
      </c>
      <c r="P73" s="38">
        <v>103.821504615515</v>
      </c>
      <c r="Q73" s="38" t="str" cm="1">
        <f t="array" ref="Q73">INDEX('MRT station dataset'!$C$3:$C$179, MATCH(MIN(SQRT(('MRT station dataset'!$E$3:$E$179-'Resale flat dataset (DV)'!O73)^2+('MRT station dataset'!$F$3:$F$179-'Resale flat dataset (DV)'!P73)^2)), SQRT(('MRT station dataset'!$E$3:$E$179-'Resale flat dataset (DV)'!O73)^2+('MRT station dataset'!$F$3:$F$179-'Resale flat dataset (DV)'!P73)^2), 0))</f>
        <v>TIONG BAHRU MRT STATION</v>
      </c>
      <c r="R73" s="38" t="str" cm="1">
        <f t="array" ref="R73">INDEX('Mall Dataset'!$B$3:$B$157, MATCH(MIN(SQRT(('Mall Dataset'!$E$3:$E$157-'Resale flat dataset (DV)'!O73)^2+('Mall Dataset'!$F$3:$F$157-'Resale flat dataset (DV)'!P73)^2)), SQRT(('Mall Dataset'!$E$3:$E$157-'Resale flat dataset (DV)'!O73)^2+('Mall Dataset'!$F$3:$F$157-'Resale flat dataset (DV)'!P73)^2), 0))</f>
        <v>Tiong Bahru Plaza</v>
      </c>
      <c r="S73" s="38" t="str" cm="1">
        <f t="array" ref="S73">INDEX('Schools dataset'!$B$3:$B$187, MATCH(MIN(SQRT(('Schools dataset'!$J$3:$J$187-'Resale flat dataset (DV)'!O73)^2+('Schools dataset'!$K$3:$K$187-'Resale flat dataset (DV)'!P73)^2)), SQRT(('Schools dataset'!$J$3:$J$187-'Resale flat dataset (DV)'!O73)^2+('Schools dataset'!$K$3:$K$187-'Resale flat dataset (DV)'!P73)^2), 0))</f>
        <v>ZHANGDE PRIMARY SCHOOL</v>
      </c>
      <c r="T73" s="39">
        <f>ACOS(COS(RADIANS(90-O73))*COS(RADIANS(90-_xlfn.XLOOKUP(Q73,'MRT station dataset'!$C$3:$C$179,'MRT station dataset'!$E$3:$E$179)))+SIN(RADIANS(90-O73))*SIN(RADIANS(90-_xlfn.XLOOKUP(Q73,'MRT station dataset'!$C$3:$C$179,'MRT station dataset'!$E$3:$E$179)))*COS(RADIANS(P73-_xlfn.XLOOKUP('Resale flat dataset (DV)'!Q73,'MRT station dataset'!$C$3:$C$179,'MRT station dataset'!$F$3:$F$179))))*6371*1000</f>
        <v>1092.583446001767</v>
      </c>
      <c r="U73" s="39">
        <f>ACOS(COS(RADIANS(90-O73))*COS(RADIANS(90-_xlfn.XLOOKUP(R73,'Mall Dataset'!$B$3:$B$157,'Mall Dataset'!$E$3:$E$157,,0)))+SIN(RADIANS(90-O73))*SIN(RADIANS(90-_xlfn.XLOOKUP(R73,'Mall Dataset'!$B$3:$B$157,'Mall Dataset'!$E$3:$E$157,,0)))*COS(RADIANS(P73-_xlfn.XLOOKUP(R73,'Mall Dataset'!$B$3:$B$157,'Mall Dataset'!$F$3:$F$157,,0))))*6371*1000</f>
        <v>1117.4954753728368</v>
      </c>
      <c r="V73" s="39">
        <f>ACOS(COS(RADIANS(90-O73))*COS(RADIANS(90-_xlfn.XLOOKUP(S73,'Schools dataset'!$B$3:$B$187,'Schools dataset'!$J$3:$J$187,,0)))+SIN(RADIANS(90-O73))*SIN(RADIANS(90-_xlfn.XLOOKUP(S73,'Schools dataset'!$B$3:$B$187,'Schools dataset'!$J$3:$J$187,,0)))*COS(RADIANS(P73-_xlfn.XLOOKUP(S73,'Schools dataset'!$B$3:$B$187,'Schools dataset'!$K$3:$K$187,,0))))*6371*1000</f>
        <v>844.55366895791803</v>
      </c>
      <c r="W73" s="20">
        <f>_xlfn.XLOOKUP(T73,'HDB Recommender'!$P$10:$P$39,'HDB Recommender'!$Q$10:$Q$39,"&gt;30mins",1)</f>
        <v>15</v>
      </c>
      <c r="X73" s="20">
        <f>_xlfn.XLOOKUP(U73,'HDB Recommender'!$P$10:$P$39,'HDB Recommender'!$Q$10:$Q$39,"&gt;30mins",1)</f>
        <v>15</v>
      </c>
      <c r="Y73" s="20">
        <f>_xlfn.XLOOKUP(V73,'HDB Recommender'!$P$10:$P$39,'HDB Recommender'!$Q$10:$Q$39,"&gt;30mins",1)</f>
        <v>12</v>
      </c>
      <c r="Z73" s="39">
        <f t="shared" si="2"/>
        <v>14</v>
      </c>
      <c r="AA73" s="20" t="str">
        <f t="shared" si="3"/>
        <v>Within 1km</v>
      </c>
    </row>
    <row r="74" spans="2:27">
      <c r="B74" s="35" t="s">
        <v>317</v>
      </c>
      <c r="C74" s="35" t="s">
        <v>431</v>
      </c>
      <c r="D74" s="35" t="s">
        <v>20</v>
      </c>
      <c r="E74" s="35">
        <v>19</v>
      </c>
      <c r="F74" s="35" t="s">
        <v>445</v>
      </c>
      <c r="G74" s="35" t="s">
        <v>189</v>
      </c>
      <c r="H74" s="35">
        <v>90</v>
      </c>
      <c r="I74" s="35" t="s">
        <v>335</v>
      </c>
      <c r="J74" s="36">
        <v>2002</v>
      </c>
      <c r="K74" s="39">
        <v>78.25</v>
      </c>
      <c r="L74" s="37">
        <v>878000</v>
      </c>
      <c r="M74" s="35" t="s">
        <v>446</v>
      </c>
      <c r="N74" s="27" t="s">
        <v>447</v>
      </c>
      <c r="O74" s="38">
        <v>1.2738835418848</v>
      </c>
      <c r="P74" s="38">
        <v>103.83900332856901</v>
      </c>
      <c r="Q74" s="38" t="str" cm="1">
        <f t="array" ref="Q74">INDEX('MRT station dataset'!$C$3:$C$179, MATCH(MIN(SQRT(('MRT station dataset'!$E$3:$E$179-'Resale flat dataset (DV)'!O74)^2+('MRT station dataset'!$F$3:$F$179-'Resale flat dataset (DV)'!P74)^2)), SQRT(('MRT station dataset'!$E$3:$E$179-'Resale flat dataset (DV)'!O74)^2+('MRT station dataset'!$F$3:$F$179-'Resale flat dataset (DV)'!P74)^2), 0))</f>
        <v>TANJONG PAGAR MRT STATION</v>
      </c>
      <c r="R74" s="38" t="str" cm="1">
        <f t="array" ref="R74">INDEX('Mall Dataset'!$B$3:$B$157, MATCH(MIN(SQRT(('Mall Dataset'!$E$3:$E$157-'Resale flat dataset (DV)'!O74)^2+('Mall Dataset'!$F$3:$F$157-'Resale flat dataset (DV)'!P74)^2)), SQRT(('Mall Dataset'!$E$3:$E$157-'Resale flat dataset (DV)'!O74)^2+('Mall Dataset'!$F$3:$F$157-'Resale flat dataset (DV)'!P74)^2), 0))</f>
        <v>100 AM</v>
      </c>
      <c r="S74" s="38" t="str" cm="1">
        <f t="array" ref="S74">INDEX('Schools dataset'!$B$3:$B$187, MATCH(MIN(SQRT(('Schools dataset'!$J$3:$J$187-'Resale flat dataset (DV)'!O74)^2+('Schools dataset'!$K$3:$K$187-'Resale flat dataset (DV)'!P74)^2)), SQRT(('Schools dataset'!$J$3:$J$187-'Resale flat dataset (DV)'!O74)^2+('Schools dataset'!$K$3:$K$187-'Resale flat dataset (DV)'!P74)^2), 0))</f>
        <v>ZHANGDE PRIMARY SCHOOL</v>
      </c>
      <c r="T74" s="39">
        <f>ACOS(COS(RADIANS(90-O74))*COS(RADIANS(90-_xlfn.XLOOKUP(Q74,'MRT station dataset'!$C$3:$C$179,'MRT station dataset'!$E$3:$E$179)))+SIN(RADIANS(90-O74))*SIN(RADIANS(90-_xlfn.XLOOKUP(Q74,'MRT station dataset'!$C$3:$C$179,'MRT station dataset'!$E$3:$E$179)))*COS(RADIANS(P74-_xlfn.XLOOKUP('Resale flat dataset (DV)'!Q74,'MRT station dataset'!$C$3:$C$179,'MRT station dataset'!$F$3:$F$179))))*6371*1000</f>
        <v>820.03052456496835</v>
      </c>
      <c r="U74" s="39">
        <f>ACOS(COS(RADIANS(90-O74))*COS(RADIANS(90-_xlfn.XLOOKUP(R74,'Mall Dataset'!$B$3:$B$157,'Mall Dataset'!$E$3:$E$157,,0)))+SIN(RADIANS(90-O74))*SIN(RADIANS(90-_xlfn.XLOOKUP(R74,'Mall Dataset'!$B$3:$B$157,'Mall Dataset'!$E$3:$E$157,,0)))*COS(RADIANS(P74-_xlfn.XLOOKUP(R74,'Mall Dataset'!$B$3:$B$157,'Mall Dataset'!$F$3:$F$157,,0))))*6371*1000</f>
        <v>253.76515914370447</v>
      </c>
      <c r="V74" s="39">
        <f>ACOS(COS(RADIANS(90-O74))*COS(RADIANS(90-_xlfn.XLOOKUP(S74,'Schools dataset'!$B$3:$B$187,'Schools dataset'!$J$3:$J$187,,0)))+SIN(RADIANS(90-O74))*SIN(RADIANS(90-_xlfn.XLOOKUP(S74,'Schools dataset'!$B$3:$B$187,'Schools dataset'!$J$3:$J$187,,0)))*COS(RADIANS(P74-_xlfn.XLOOKUP(S74,'Schools dataset'!$B$3:$B$187,'Schools dataset'!$K$3:$K$187,,0))))*6371*1000</f>
        <v>1850.3946001108791</v>
      </c>
      <c r="W74" s="20">
        <f>_xlfn.XLOOKUP(T74,'HDB Recommender'!$P$10:$P$39,'HDB Recommender'!$Q$10:$Q$39,"&gt;30mins",1)</f>
        <v>11</v>
      </c>
      <c r="X74" s="20">
        <f>_xlfn.XLOOKUP(U74,'HDB Recommender'!$P$10:$P$39,'HDB Recommender'!$Q$10:$Q$39,"&gt;30mins",1)</f>
        <v>4</v>
      </c>
      <c r="Y74" s="20">
        <f>_xlfn.XLOOKUP(V74,'HDB Recommender'!$P$10:$P$39,'HDB Recommender'!$Q$10:$Q$39,"&gt;30mins",1)</f>
        <v>25</v>
      </c>
      <c r="Z74" s="39">
        <f t="shared" si="2"/>
        <v>13.333333333333334</v>
      </c>
      <c r="AA74" s="20" t="str">
        <f t="shared" si="3"/>
        <v>between 1km and 2km</v>
      </c>
    </row>
    <row r="75" spans="2:27">
      <c r="B75" s="35" t="s">
        <v>317</v>
      </c>
      <c r="C75" s="35" t="s">
        <v>431</v>
      </c>
      <c r="D75" s="35" t="s">
        <v>20</v>
      </c>
      <c r="E75" s="35"/>
      <c r="F75" s="35" t="s">
        <v>448</v>
      </c>
      <c r="G75" s="35" t="s">
        <v>189</v>
      </c>
      <c r="H75" s="35">
        <v>92</v>
      </c>
      <c r="I75" s="35" t="s">
        <v>335</v>
      </c>
      <c r="J75" s="36">
        <v>2002</v>
      </c>
      <c r="K75" s="39">
        <v>78.3333333333333</v>
      </c>
      <c r="L75" s="37">
        <v>756000</v>
      </c>
      <c r="M75" s="35" t="s">
        <v>449</v>
      </c>
      <c r="N75" s="27">
        <v>162119</v>
      </c>
      <c r="O75" s="38">
        <v>1.2811555848776299</v>
      </c>
      <c r="P75" s="38">
        <v>103.82726655974101</v>
      </c>
      <c r="Q75" s="38" t="str" cm="1">
        <f t="array" ref="Q75">INDEX('MRT station dataset'!$C$3:$C$179, MATCH(MIN(SQRT(('MRT station dataset'!$E$3:$E$179-'Resale flat dataset (DV)'!O75)^2+('MRT station dataset'!$F$3:$F$179-'Resale flat dataset (DV)'!P75)^2)), SQRT(('MRT station dataset'!$E$3:$E$179-'Resale flat dataset (DV)'!O75)^2+('MRT station dataset'!$F$3:$F$179-'Resale flat dataset (DV)'!P75)^2), 0))</f>
        <v>TIONG BAHRU MRT STATION</v>
      </c>
      <c r="R75" s="38" t="str" cm="1">
        <f t="array" ref="R75">INDEX('Mall Dataset'!$B$3:$B$157, MATCH(MIN(SQRT(('Mall Dataset'!$E$3:$E$157-'Resale flat dataset (DV)'!O75)^2+('Mall Dataset'!$F$3:$F$157-'Resale flat dataset (DV)'!P75)^2)), SQRT(('Mall Dataset'!$E$3:$E$157-'Resale flat dataset (DV)'!O75)^2+('Mall Dataset'!$F$3:$F$157-'Resale flat dataset (DV)'!P75)^2), 0))</f>
        <v>Tiong Bahru Plaza</v>
      </c>
      <c r="S75" s="38" t="str" cm="1">
        <f t="array" ref="S75">INDEX('Schools dataset'!$B$3:$B$187, MATCH(MIN(SQRT(('Schools dataset'!$J$3:$J$187-'Resale flat dataset (DV)'!O75)^2+('Schools dataset'!$K$3:$K$187-'Resale flat dataset (DV)'!P75)^2)), SQRT(('Schools dataset'!$J$3:$J$187-'Resale flat dataset (DV)'!O75)^2+('Schools dataset'!$K$3:$K$187-'Resale flat dataset (DV)'!P75)^2), 0))</f>
        <v>ZHANGDE PRIMARY SCHOOL</v>
      </c>
      <c r="T75" s="39">
        <f>ACOS(COS(RADIANS(90-O75))*COS(RADIANS(90-_xlfn.XLOOKUP(Q75,'MRT station dataset'!$C$3:$C$179,'MRT station dataset'!$E$3:$E$179)))+SIN(RADIANS(90-O75))*SIN(RADIANS(90-_xlfn.XLOOKUP(Q75,'MRT station dataset'!$C$3:$C$179,'MRT station dataset'!$E$3:$E$179)))*COS(RADIANS(P75-_xlfn.XLOOKUP('Resale flat dataset (DV)'!Q75,'MRT station dataset'!$C$3:$C$179,'MRT station dataset'!$F$3:$F$179))))*6371*1000</f>
        <v>561.69555955269198</v>
      </c>
      <c r="U75" s="39">
        <f>ACOS(COS(RADIANS(90-O75))*COS(RADIANS(90-_xlfn.XLOOKUP(R75,'Mall Dataset'!$B$3:$B$157,'Mall Dataset'!$E$3:$E$157,,0)))+SIN(RADIANS(90-O75))*SIN(RADIANS(90-_xlfn.XLOOKUP(R75,'Mall Dataset'!$B$3:$B$157,'Mall Dataset'!$E$3:$E$157,,0)))*COS(RADIANS(P75-_xlfn.XLOOKUP(R75,'Mall Dataset'!$B$3:$B$157,'Mall Dataset'!$F$3:$F$157,,0))))*6371*1000</f>
        <v>590.36251478788529</v>
      </c>
      <c r="V75" s="39">
        <f>ACOS(COS(RADIANS(90-O75))*COS(RADIANS(90-_xlfn.XLOOKUP(S75,'Schools dataset'!$B$3:$B$187,'Schools dataset'!$J$3:$J$187,,0)))+SIN(RADIANS(90-O75))*SIN(RADIANS(90-_xlfn.XLOOKUP(S75,'Schools dataset'!$B$3:$B$187,'Schools dataset'!$J$3:$J$187,,0)))*COS(RADIANS(P75-_xlfn.XLOOKUP(S75,'Schools dataset'!$B$3:$B$187,'Schools dataset'!$K$3:$K$187,,0))))*6371*1000</f>
        <v>369.9025331650505</v>
      </c>
      <c r="W75" s="20">
        <f>_xlfn.XLOOKUP(T75,'HDB Recommender'!$P$10:$P$39,'HDB Recommender'!$Q$10:$Q$39,"&gt;30mins",1)</f>
        <v>8</v>
      </c>
      <c r="X75" s="20">
        <f>_xlfn.XLOOKUP(U75,'HDB Recommender'!$P$10:$P$39,'HDB Recommender'!$Q$10:$Q$39,"&gt;30mins",1)</f>
        <v>8</v>
      </c>
      <c r="Y75" s="20">
        <f>_xlfn.XLOOKUP(V75,'HDB Recommender'!$P$10:$P$39,'HDB Recommender'!$Q$10:$Q$39,"&gt;30mins",1)</f>
        <v>5</v>
      </c>
      <c r="Z75" s="39">
        <f t="shared" si="2"/>
        <v>7</v>
      </c>
      <c r="AA75" s="20" t="str">
        <f t="shared" si="3"/>
        <v>Within 1km</v>
      </c>
    </row>
    <row r="76" spans="2:27">
      <c r="B76" s="35" t="s">
        <v>317</v>
      </c>
      <c r="C76" s="35" t="s">
        <v>431</v>
      </c>
      <c r="D76" s="35" t="s">
        <v>20</v>
      </c>
      <c r="E76" s="35"/>
      <c r="F76" s="35" t="s">
        <v>450</v>
      </c>
      <c r="G76" s="35" t="s">
        <v>189</v>
      </c>
      <c r="H76" s="35">
        <v>93</v>
      </c>
      <c r="I76" s="35" t="s">
        <v>335</v>
      </c>
      <c r="J76" s="36">
        <v>2017</v>
      </c>
      <c r="K76" s="39">
        <v>92.6666666666666</v>
      </c>
      <c r="L76" s="37">
        <v>856000</v>
      </c>
      <c r="M76" s="35" t="s">
        <v>451</v>
      </c>
      <c r="N76" s="27">
        <v>101070</v>
      </c>
      <c r="O76" s="38">
        <v>1.2763753097614701</v>
      </c>
      <c r="P76" s="38">
        <v>103.81137191061001</v>
      </c>
      <c r="Q76" s="38" t="str" cm="1">
        <f t="array" ref="Q76">INDEX('MRT station dataset'!$C$3:$C$179, MATCH(MIN(SQRT(('MRT station dataset'!$E$3:$E$179-'Resale flat dataset (DV)'!O76)^2+('MRT station dataset'!$F$3:$F$179-'Resale flat dataset (DV)'!P76)^2)), SQRT(('MRT station dataset'!$E$3:$E$179-'Resale flat dataset (DV)'!O76)^2+('MRT station dataset'!$F$3:$F$179-'Resale flat dataset (DV)'!P76)^2), 0))</f>
        <v>TELOK BLANGAH MRT STATION</v>
      </c>
      <c r="R76" s="38" t="str" cm="1">
        <f t="array" ref="R76">INDEX('Mall Dataset'!$B$3:$B$157, MATCH(MIN(SQRT(('Mall Dataset'!$E$3:$E$157-'Resale flat dataset (DV)'!O76)^2+('Mall Dataset'!$F$3:$F$157-'Resale flat dataset (DV)'!P76)^2)), SQRT(('Mall Dataset'!$E$3:$E$157-'Resale flat dataset (DV)'!O76)^2+('Mall Dataset'!$F$3:$F$157-'Resale flat dataset (DV)'!P76)^2), 0))</f>
        <v>Alexandra Central</v>
      </c>
      <c r="S76" s="38" t="str" cm="1">
        <f t="array" ref="S76">INDEX('Schools dataset'!$B$3:$B$187, MATCH(MIN(SQRT(('Schools dataset'!$J$3:$J$187-'Resale flat dataset (DV)'!O76)^2+('Schools dataset'!$K$3:$K$187-'Resale flat dataset (DV)'!P76)^2)), SQRT(('Schools dataset'!$J$3:$J$187-'Resale flat dataset (DV)'!O76)^2+('Schools dataset'!$K$3:$K$187-'Resale flat dataset (DV)'!P76)^2), 0))</f>
        <v>BLANGAH RISE PRIMARY SCHOOL</v>
      </c>
      <c r="T76" s="39">
        <f>ACOS(COS(RADIANS(90-O76))*COS(RADIANS(90-_xlfn.XLOOKUP(Q76,'MRT station dataset'!$C$3:$C$179,'MRT station dataset'!$E$3:$E$179)))+SIN(RADIANS(90-O76))*SIN(RADIANS(90-_xlfn.XLOOKUP(Q76,'MRT station dataset'!$C$3:$C$179,'MRT station dataset'!$E$3:$E$179)))*COS(RADIANS(P76-_xlfn.XLOOKUP('Resale flat dataset (DV)'!Q76,'MRT station dataset'!$C$3:$C$179,'MRT station dataset'!$F$3:$F$179))))*6371*1000</f>
        <v>647.20780820982782</v>
      </c>
      <c r="U76" s="39">
        <f>ACOS(COS(RADIANS(90-O76))*COS(RADIANS(90-_xlfn.XLOOKUP(R76,'Mall Dataset'!$B$3:$B$157,'Mall Dataset'!$E$3:$E$157,,0)))+SIN(RADIANS(90-O76))*SIN(RADIANS(90-_xlfn.XLOOKUP(R76,'Mall Dataset'!$B$3:$B$157,'Mall Dataset'!$E$3:$E$157,,0)))*COS(RADIANS(P76-_xlfn.XLOOKUP(R76,'Mall Dataset'!$B$3:$B$157,'Mall Dataset'!$F$3:$F$157,,0))))*6371*1000</f>
        <v>1388.9758509929945</v>
      </c>
      <c r="V76" s="39">
        <f>ACOS(COS(RADIANS(90-O76))*COS(RADIANS(90-_xlfn.XLOOKUP(S76,'Schools dataset'!$B$3:$B$187,'Schools dataset'!$J$3:$J$187,,0)))+SIN(RADIANS(90-O76))*SIN(RADIANS(90-_xlfn.XLOOKUP(S76,'Schools dataset'!$B$3:$B$187,'Schools dataset'!$J$3:$J$187,,0)))*COS(RADIANS(P76-_xlfn.XLOOKUP(S76,'Schools dataset'!$B$3:$B$187,'Schools dataset'!$K$3:$K$187,,0))))*6371*1000</f>
        <v>243.4402246145022</v>
      </c>
      <c r="W76" s="20">
        <f>_xlfn.XLOOKUP(T76,'HDB Recommender'!$P$10:$P$39,'HDB Recommender'!$Q$10:$Q$39,"&gt;30mins",1)</f>
        <v>9</v>
      </c>
      <c r="X76" s="20">
        <f>_xlfn.XLOOKUP(U76,'HDB Recommender'!$P$10:$P$39,'HDB Recommender'!$Q$10:$Q$39,"&gt;30mins",1)</f>
        <v>19</v>
      </c>
      <c r="Y76" s="20">
        <f>_xlfn.XLOOKUP(V76,'HDB Recommender'!$P$10:$P$39,'HDB Recommender'!$Q$10:$Q$39,"&gt;30mins",1)</f>
        <v>4</v>
      </c>
      <c r="Z76" s="39">
        <f t="shared" si="2"/>
        <v>10.666666666666666</v>
      </c>
      <c r="AA76" s="20" t="str">
        <f t="shared" si="3"/>
        <v>Within 1km</v>
      </c>
    </row>
    <row r="77" spans="2:27">
      <c r="B77" s="35" t="s">
        <v>317</v>
      </c>
      <c r="C77" s="35" t="s">
        <v>431</v>
      </c>
      <c r="D77" s="35" t="s">
        <v>20</v>
      </c>
      <c r="E77" s="35"/>
      <c r="F77" s="35" t="s">
        <v>452</v>
      </c>
      <c r="G77" s="35" t="s">
        <v>453</v>
      </c>
      <c r="H77" s="35">
        <v>93</v>
      </c>
      <c r="I77" s="35" t="s">
        <v>335</v>
      </c>
      <c r="J77" s="36">
        <v>2018</v>
      </c>
      <c r="K77" s="39">
        <v>94.25</v>
      </c>
      <c r="L77" s="37">
        <v>935000</v>
      </c>
      <c r="M77" s="35" t="s">
        <v>454</v>
      </c>
      <c r="N77" s="27">
        <v>102093</v>
      </c>
      <c r="O77" s="38">
        <v>1.2753572200815899</v>
      </c>
      <c r="P77" s="38">
        <v>103.807977257969</v>
      </c>
      <c r="Q77" s="38" t="str" cm="1">
        <f t="array" ref="Q77">INDEX('MRT station dataset'!$C$3:$C$179, MATCH(MIN(SQRT(('MRT station dataset'!$E$3:$E$179-'Resale flat dataset (DV)'!O77)^2+('MRT station dataset'!$F$3:$F$179-'Resale flat dataset (DV)'!P77)^2)), SQRT(('MRT station dataset'!$E$3:$E$179-'Resale flat dataset (DV)'!O77)^2+('MRT station dataset'!$F$3:$F$179-'Resale flat dataset (DV)'!P77)^2), 0))</f>
        <v>TELOK BLANGAH MRT STATION</v>
      </c>
      <c r="R77" s="38" t="str" cm="1">
        <f t="array" ref="R77">INDEX('Mall Dataset'!$B$3:$B$157, MATCH(MIN(SQRT(('Mall Dataset'!$E$3:$E$157-'Resale flat dataset (DV)'!O77)^2+('Mall Dataset'!$F$3:$F$157-'Resale flat dataset (DV)'!P77)^2)), SQRT(('Mall Dataset'!$E$3:$E$157-'Resale flat dataset (DV)'!O77)^2+('Mall Dataset'!$F$3:$F$157-'Resale flat dataset (DV)'!P77)^2), 0))</f>
        <v>Alexandra Central</v>
      </c>
      <c r="S77" s="38" t="str" cm="1">
        <f t="array" ref="S77">INDEX('Schools dataset'!$B$3:$B$187, MATCH(MIN(SQRT(('Schools dataset'!$J$3:$J$187-'Resale flat dataset (DV)'!O77)^2+('Schools dataset'!$K$3:$K$187-'Resale flat dataset (DV)'!P77)^2)), SQRT(('Schools dataset'!$J$3:$J$187-'Resale flat dataset (DV)'!O77)^2+('Schools dataset'!$K$3:$K$187-'Resale flat dataset (DV)'!P77)^2), 0))</f>
        <v>BLANGAH RISE PRIMARY SCHOOL</v>
      </c>
      <c r="T77" s="39">
        <f>ACOS(COS(RADIANS(90-O77))*COS(RADIANS(90-_xlfn.XLOOKUP(Q77,'MRT station dataset'!$C$3:$C$179,'MRT station dataset'!$E$3:$E$179)))+SIN(RADIANS(90-O77))*SIN(RADIANS(90-_xlfn.XLOOKUP(Q77,'MRT station dataset'!$C$3:$C$179,'MRT station dataset'!$E$3:$E$179)))*COS(RADIANS(P77-_xlfn.XLOOKUP('Resale flat dataset (DV)'!Q77,'MRT station dataset'!$C$3:$C$179,'MRT station dataset'!$F$3:$F$179))))*6371*1000</f>
        <v>541.72165712175865</v>
      </c>
      <c r="U77" s="39">
        <f>ACOS(COS(RADIANS(90-O77))*COS(RADIANS(90-_xlfn.XLOOKUP(R77,'Mall Dataset'!$B$3:$B$157,'Mall Dataset'!$E$3:$E$157,,0)))+SIN(RADIANS(90-O77))*SIN(RADIANS(90-_xlfn.XLOOKUP(R77,'Mall Dataset'!$B$3:$B$157,'Mall Dataset'!$E$3:$E$157,,0)))*COS(RADIANS(P77-_xlfn.XLOOKUP(R77,'Mall Dataset'!$B$3:$B$157,'Mall Dataset'!$F$3:$F$157,,0))))*6371*1000</f>
        <v>1359.5035408037297</v>
      </c>
      <c r="V77" s="39">
        <f>ACOS(COS(RADIANS(90-O77))*COS(RADIANS(90-_xlfn.XLOOKUP(S77,'Schools dataset'!$B$3:$B$187,'Schools dataset'!$J$3:$J$187,,0)))+SIN(RADIANS(90-O77))*SIN(RADIANS(90-_xlfn.XLOOKUP(S77,'Schools dataset'!$B$3:$B$187,'Schools dataset'!$J$3:$J$187,,0)))*COS(RADIANS(P77-_xlfn.XLOOKUP(S77,'Schools dataset'!$B$3:$B$187,'Schools dataset'!$K$3:$K$187,,0))))*6371*1000</f>
        <v>203.82542147614879</v>
      </c>
      <c r="W77" s="20">
        <f>_xlfn.XLOOKUP(T77,'HDB Recommender'!$P$10:$P$39,'HDB Recommender'!$Q$10:$Q$39,"&gt;30mins",1)</f>
        <v>8</v>
      </c>
      <c r="X77" s="20">
        <f>_xlfn.XLOOKUP(U77,'HDB Recommender'!$P$10:$P$39,'HDB Recommender'!$Q$10:$Q$39,"&gt;30mins",1)</f>
        <v>19</v>
      </c>
      <c r="Y77" s="20">
        <f>_xlfn.XLOOKUP(V77,'HDB Recommender'!$P$10:$P$39,'HDB Recommender'!$Q$10:$Q$39,"&gt;30mins",1)</f>
        <v>3</v>
      </c>
      <c r="Z77" s="39">
        <f t="shared" si="2"/>
        <v>10</v>
      </c>
      <c r="AA77" s="20" t="str">
        <f t="shared" si="3"/>
        <v>Within 1km</v>
      </c>
    </row>
    <row r="78" spans="2:27">
      <c r="B78" s="35" t="s">
        <v>317</v>
      </c>
      <c r="C78" s="35" t="s">
        <v>431</v>
      </c>
      <c r="D78" s="35" t="s">
        <v>20</v>
      </c>
      <c r="E78" s="35"/>
      <c r="F78" s="35" t="s">
        <v>452</v>
      </c>
      <c r="G78" s="35" t="s">
        <v>184</v>
      </c>
      <c r="H78" s="35">
        <v>93</v>
      </c>
      <c r="I78" s="35" t="s">
        <v>335</v>
      </c>
      <c r="J78" s="36">
        <v>2018</v>
      </c>
      <c r="K78" s="39">
        <v>94.25</v>
      </c>
      <c r="L78" s="37">
        <v>820000</v>
      </c>
      <c r="M78" s="35" t="s">
        <v>455</v>
      </c>
      <c r="N78" s="27">
        <v>101090</v>
      </c>
      <c r="O78" s="38">
        <v>1.2777345780028799</v>
      </c>
      <c r="P78" s="38">
        <v>103.807093263136</v>
      </c>
      <c r="Q78" s="38" t="str" cm="1">
        <f t="array" ref="Q78">INDEX('MRT station dataset'!$C$3:$C$179, MATCH(MIN(SQRT(('MRT station dataset'!$E$3:$E$179-'Resale flat dataset (DV)'!O78)^2+('MRT station dataset'!$F$3:$F$179-'Resale flat dataset (DV)'!P78)^2)), SQRT(('MRT station dataset'!$E$3:$E$179-'Resale flat dataset (DV)'!O78)^2+('MRT station dataset'!$F$3:$F$179-'Resale flat dataset (DV)'!P78)^2), 0))</f>
        <v>LABRADOR PARK MRT STATION</v>
      </c>
      <c r="R78" s="38" t="str" cm="1">
        <f t="array" ref="R78">INDEX('Mall Dataset'!$B$3:$B$157, MATCH(MIN(SQRT(('Mall Dataset'!$E$3:$E$157-'Resale flat dataset (DV)'!O78)^2+('Mall Dataset'!$F$3:$F$157-'Resale flat dataset (DV)'!P78)^2)), SQRT(('Mall Dataset'!$E$3:$E$157-'Resale flat dataset (DV)'!O78)^2+('Mall Dataset'!$F$3:$F$157-'Resale flat dataset (DV)'!P78)^2), 0))</f>
        <v>Alexandra Central</v>
      </c>
      <c r="S78" s="38" t="str" cm="1">
        <f t="array" ref="S78">INDEX('Schools dataset'!$B$3:$B$187, MATCH(MIN(SQRT(('Schools dataset'!$J$3:$J$187-'Resale flat dataset (DV)'!O78)^2+('Schools dataset'!$K$3:$K$187-'Resale flat dataset (DV)'!P78)^2)), SQRT(('Schools dataset'!$J$3:$J$187-'Resale flat dataset (DV)'!O78)^2+('Schools dataset'!$K$3:$K$187-'Resale flat dataset (DV)'!P78)^2), 0))</f>
        <v>BLANGAH RISE PRIMARY SCHOOL</v>
      </c>
      <c r="T78" s="39">
        <f>ACOS(COS(RADIANS(90-O78))*COS(RADIANS(90-_xlfn.XLOOKUP(Q78,'MRT station dataset'!$C$3:$C$179,'MRT station dataset'!$E$3:$E$179)))+SIN(RADIANS(90-O78))*SIN(RADIANS(90-_xlfn.XLOOKUP(Q78,'MRT station dataset'!$C$3:$C$179,'MRT station dataset'!$E$3:$E$179)))*COS(RADIANS(P78-_xlfn.XLOOKUP('Resale flat dataset (DV)'!Q78,'MRT station dataset'!$C$3:$C$179,'MRT station dataset'!$F$3:$F$179))))*6371*1000</f>
        <v>763.2005965898561</v>
      </c>
      <c r="U78" s="39">
        <f>ACOS(COS(RADIANS(90-O78))*COS(RADIANS(90-_xlfn.XLOOKUP(R78,'Mall Dataset'!$B$3:$B$157,'Mall Dataset'!$E$3:$E$157,,0)))+SIN(RADIANS(90-O78))*SIN(RADIANS(90-_xlfn.XLOOKUP(R78,'Mall Dataset'!$B$3:$B$157,'Mall Dataset'!$E$3:$E$157,,0)))*COS(RADIANS(P78-_xlfn.XLOOKUP(R78,'Mall Dataset'!$B$3:$B$157,'Mall Dataset'!$F$3:$F$157,,0))))*6371*1000</f>
        <v>1080.6547405849992</v>
      </c>
      <c r="V78" s="39">
        <f>ACOS(COS(RADIANS(90-O78))*COS(RADIANS(90-_xlfn.XLOOKUP(S78,'Schools dataset'!$B$3:$B$187,'Schools dataset'!$J$3:$J$187,,0)))+SIN(RADIANS(90-O78))*SIN(RADIANS(90-_xlfn.XLOOKUP(S78,'Schools dataset'!$B$3:$B$187,'Schools dataset'!$J$3:$J$187,,0)))*COS(RADIANS(P78-_xlfn.XLOOKUP(S78,'Schools dataset'!$B$3:$B$187,'Schools dataset'!$K$3:$K$187,,0))))*6371*1000</f>
        <v>261.04489925508443</v>
      </c>
      <c r="W78" s="20">
        <f>_xlfn.XLOOKUP(T78,'HDB Recommender'!$P$10:$P$39,'HDB Recommender'!$Q$10:$Q$39,"&gt;30mins",1)</f>
        <v>11</v>
      </c>
      <c r="X78" s="20">
        <f>_xlfn.XLOOKUP(U78,'HDB Recommender'!$P$10:$P$39,'HDB Recommender'!$Q$10:$Q$39,"&gt;30mins",1)</f>
        <v>15</v>
      </c>
      <c r="Y78" s="20">
        <f>_xlfn.XLOOKUP(V78,'HDB Recommender'!$P$10:$P$39,'HDB Recommender'!$Q$10:$Q$39,"&gt;30mins",1)</f>
        <v>4</v>
      </c>
      <c r="Z78" s="39">
        <f t="shared" si="2"/>
        <v>10</v>
      </c>
      <c r="AA78" s="20" t="str">
        <f t="shared" si="3"/>
        <v>Within 1km</v>
      </c>
    </row>
    <row r="79" spans="2:27">
      <c r="B79" s="35" t="s">
        <v>317</v>
      </c>
      <c r="C79" s="35" t="s">
        <v>431</v>
      </c>
      <c r="D79" s="35" t="s">
        <v>341</v>
      </c>
      <c r="E79" s="35">
        <v>4</v>
      </c>
      <c r="F79" s="35" t="s">
        <v>435</v>
      </c>
      <c r="G79" s="35" t="s">
        <v>191</v>
      </c>
      <c r="H79" s="35">
        <v>137</v>
      </c>
      <c r="I79" s="35" t="s">
        <v>326</v>
      </c>
      <c r="J79" s="36">
        <v>1980</v>
      </c>
      <c r="K79" s="39">
        <v>56.25</v>
      </c>
      <c r="L79" s="37">
        <v>850000</v>
      </c>
      <c r="M79" s="35" t="s">
        <v>456</v>
      </c>
      <c r="N79" s="27" t="s">
        <v>457</v>
      </c>
      <c r="O79" s="38">
        <v>1.2768830736376799</v>
      </c>
      <c r="P79" s="38">
        <v>103.84008562790299</v>
      </c>
      <c r="Q79" s="38" t="str" cm="1">
        <f t="array" ref="Q79">INDEX('MRT station dataset'!$C$3:$C$179, MATCH(MIN(SQRT(('MRT station dataset'!$E$3:$E$179-'Resale flat dataset (DV)'!O79)^2+('MRT station dataset'!$F$3:$F$179-'Resale flat dataset (DV)'!P79)^2)), SQRT(('MRT station dataset'!$E$3:$E$179-'Resale flat dataset (DV)'!O79)^2+('MRT station dataset'!$F$3:$F$179-'Resale flat dataset (DV)'!P79)^2), 0))</f>
        <v>OUTRAM PARK MRT STATION</v>
      </c>
      <c r="R79" s="38" t="str" cm="1">
        <f t="array" ref="R79">INDEX('Mall Dataset'!$B$3:$B$157, MATCH(MIN(SQRT(('Mall Dataset'!$E$3:$E$157-'Resale flat dataset (DV)'!O79)^2+('Mall Dataset'!$F$3:$F$157-'Resale flat dataset (DV)'!P79)^2)), SQRT(('Mall Dataset'!$E$3:$E$157-'Resale flat dataset (DV)'!O79)^2+('Mall Dataset'!$F$3:$F$157-'Resale flat dataset (DV)'!P79)^2), 0))</f>
        <v>100 AM</v>
      </c>
      <c r="S79" s="38" t="str" cm="1">
        <f t="array" ref="S79">INDEX('Schools dataset'!$B$3:$B$187, MATCH(MIN(SQRT(('Schools dataset'!$J$3:$J$187-'Resale flat dataset (DV)'!O79)^2+('Schools dataset'!$K$3:$K$187-'Resale flat dataset (DV)'!P79)^2)), SQRT(('Schools dataset'!$J$3:$J$187-'Resale flat dataset (DV)'!O79)^2+('Schools dataset'!$K$3:$K$187-'Resale flat dataset (DV)'!P79)^2), 0))</f>
        <v>ZHANGDE PRIMARY SCHOOL</v>
      </c>
      <c r="T79" s="39">
        <f>ACOS(COS(RADIANS(90-O79))*COS(RADIANS(90-_xlfn.XLOOKUP(Q79,'MRT station dataset'!$C$3:$C$179,'MRT station dataset'!$E$3:$E$179)))+SIN(RADIANS(90-O79))*SIN(RADIANS(90-_xlfn.XLOOKUP(Q79,'MRT station dataset'!$C$3:$C$179,'MRT station dataset'!$E$3:$E$179)))*COS(RADIANS(P79-_xlfn.XLOOKUP('Resale flat dataset (DV)'!Q79,'MRT station dataset'!$C$3:$C$179,'MRT station dataset'!$F$3:$F$179))))*6371*1000</f>
        <v>514.07185980959275</v>
      </c>
      <c r="U79" s="39">
        <f>ACOS(COS(RADIANS(90-O79))*COS(RADIANS(90-_xlfn.XLOOKUP(R79,'Mall Dataset'!$B$3:$B$157,'Mall Dataset'!$E$3:$E$157,,0)))+SIN(RADIANS(90-O79))*SIN(RADIANS(90-_xlfn.XLOOKUP(R79,'Mall Dataset'!$B$3:$B$157,'Mall Dataset'!$E$3:$E$157,,0)))*COS(RADIANS(P79-_xlfn.XLOOKUP(R79,'Mall Dataset'!$B$3:$B$157,'Mall Dataset'!$F$3:$F$157,,0))))*6371*1000</f>
        <v>231.67613006673361</v>
      </c>
      <c r="V79" s="39">
        <f>ACOS(COS(RADIANS(90-O79))*COS(RADIANS(90-_xlfn.XLOOKUP(S79,'Schools dataset'!$B$3:$B$187,'Schools dataset'!$J$3:$J$187,,0)))+SIN(RADIANS(90-O79))*SIN(RADIANS(90-_xlfn.XLOOKUP(S79,'Schools dataset'!$B$3:$B$187,'Schools dataset'!$J$3:$J$187,,0)))*COS(RADIANS(P79-_xlfn.XLOOKUP(S79,'Schools dataset'!$B$3:$B$187,'Schools dataset'!$K$3:$K$187,,0))))*6371*1000</f>
        <v>1769.9540584599849</v>
      </c>
      <c r="W79" s="20">
        <f>_xlfn.XLOOKUP(T79,'HDB Recommender'!$P$10:$P$39,'HDB Recommender'!$Q$10:$Q$39,"&gt;30mins",1)</f>
        <v>7</v>
      </c>
      <c r="X79" s="20">
        <f>_xlfn.XLOOKUP(U79,'HDB Recommender'!$P$10:$P$39,'HDB Recommender'!$Q$10:$Q$39,"&gt;30mins",1)</f>
        <v>4</v>
      </c>
      <c r="Y79" s="20">
        <f>_xlfn.XLOOKUP(V79,'HDB Recommender'!$P$10:$P$39,'HDB Recommender'!$Q$10:$Q$39,"&gt;30mins",1)</f>
        <v>24</v>
      </c>
      <c r="Z79" s="39">
        <f t="shared" si="2"/>
        <v>11.666666666666666</v>
      </c>
      <c r="AA79" s="20" t="str">
        <f t="shared" si="3"/>
        <v>between 1km and 2km</v>
      </c>
    </row>
    <row r="80" spans="2:27">
      <c r="B80" s="35" t="s">
        <v>317</v>
      </c>
      <c r="C80" s="35" t="s">
        <v>431</v>
      </c>
      <c r="D80" s="35" t="s">
        <v>341</v>
      </c>
      <c r="E80" s="35"/>
      <c r="F80" s="35" t="s">
        <v>458</v>
      </c>
      <c r="G80" s="35" t="s">
        <v>411</v>
      </c>
      <c r="H80" s="35">
        <v>113</v>
      </c>
      <c r="I80" s="35" t="s">
        <v>326</v>
      </c>
      <c r="J80" s="36">
        <v>2019</v>
      </c>
      <c r="K80" s="39">
        <v>94.75</v>
      </c>
      <c r="L80" s="37">
        <v>1450000</v>
      </c>
      <c r="M80" s="35" t="s">
        <v>459</v>
      </c>
      <c r="N80" s="27">
        <v>151096</v>
      </c>
      <c r="O80" s="38">
        <v>1.28798878836651</v>
      </c>
      <c r="P80" s="38">
        <v>103.821947260359</v>
      </c>
      <c r="Q80" s="38" t="str" cm="1">
        <f t="array" ref="Q80">INDEX('MRT station dataset'!$C$3:$C$179, MATCH(MIN(SQRT(('MRT station dataset'!$E$3:$E$179-'Resale flat dataset (DV)'!O80)^2+('MRT station dataset'!$F$3:$F$179-'Resale flat dataset (DV)'!P80)^2)), SQRT(('MRT station dataset'!$E$3:$E$179-'Resale flat dataset (DV)'!O80)^2+('MRT station dataset'!$F$3:$F$179-'Resale flat dataset (DV)'!P80)^2), 0))</f>
        <v>TIONG BAHRU MRT STATION</v>
      </c>
      <c r="R80" s="38" t="str" cm="1">
        <f t="array" ref="R80">INDEX('Mall Dataset'!$B$3:$B$157, MATCH(MIN(SQRT(('Mall Dataset'!$E$3:$E$157-'Resale flat dataset (DV)'!O80)^2+('Mall Dataset'!$F$3:$F$157-'Resale flat dataset (DV)'!P80)^2)), SQRT(('Mall Dataset'!$E$3:$E$157-'Resale flat dataset (DV)'!O80)^2+('Mall Dataset'!$F$3:$F$157-'Resale flat dataset (DV)'!P80)^2), 0))</f>
        <v>Tiong Bahru Plaza</v>
      </c>
      <c r="S80" s="38" t="str" cm="1">
        <f t="array" ref="S80">INDEX('Schools dataset'!$B$3:$B$187, MATCH(MIN(SQRT(('Schools dataset'!$J$3:$J$187-'Resale flat dataset (DV)'!O80)^2+('Schools dataset'!$K$3:$K$187-'Resale flat dataset (DV)'!P80)^2)), SQRT(('Schools dataset'!$J$3:$J$187-'Resale flat dataset (DV)'!O80)^2+('Schools dataset'!$K$3:$K$187-'Resale flat dataset (DV)'!P80)^2), 0))</f>
        <v>ALEXANDRA PRIMARY SCHOOL</v>
      </c>
      <c r="T80" s="39">
        <f>ACOS(COS(RADIANS(90-O80))*COS(RADIANS(90-_xlfn.XLOOKUP(Q80,'MRT station dataset'!$C$3:$C$179,'MRT station dataset'!$E$3:$E$179)))+SIN(RADIANS(90-O80))*SIN(RADIANS(90-_xlfn.XLOOKUP(Q80,'MRT station dataset'!$C$3:$C$179,'MRT station dataset'!$E$3:$E$179)))*COS(RADIANS(P80-_xlfn.XLOOKUP('Resale flat dataset (DV)'!Q80,'MRT station dataset'!$C$3:$C$179,'MRT station dataset'!$F$3:$F$179))))*6371*1000</f>
        <v>595.87472900222349</v>
      </c>
      <c r="U80" s="39">
        <f>ACOS(COS(RADIANS(90-O80))*COS(RADIANS(90-_xlfn.XLOOKUP(R80,'Mall Dataset'!$B$3:$B$157,'Mall Dataset'!$E$3:$E$157,,0)))+SIN(RADIANS(90-O80))*SIN(RADIANS(90-_xlfn.XLOOKUP(R80,'Mall Dataset'!$B$3:$B$157,'Mall Dataset'!$E$3:$E$157,,0)))*COS(RADIANS(P80-_xlfn.XLOOKUP(R80,'Mall Dataset'!$B$3:$B$157,'Mall Dataset'!$F$3:$F$157,,0))))*6371*1000</f>
        <v>588.51635529357304</v>
      </c>
      <c r="V80" s="39">
        <f>ACOS(COS(RADIANS(90-O80))*COS(RADIANS(90-_xlfn.XLOOKUP(S80,'Schools dataset'!$B$3:$B$187,'Schools dataset'!$J$3:$J$187,,0)))+SIN(RADIANS(90-O80))*SIN(RADIANS(90-_xlfn.XLOOKUP(S80,'Schools dataset'!$B$3:$B$187,'Schools dataset'!$J$3:$J$187,,0)))*COS(RADIANS(P80-_xlfn.XLOOKUP(S80,'Schools dataset'!$B$3:$B$187,'Schools dataset'!$K$3:$K$187,,0))))*6371*1000</f>
        <v>462.86433507334766</v>
      </c>
      <c r="W80" s="20">
        <f>_xlfn.XLOOKUP(T80,'HDB Recommender'!$P$10:$P$39,'HDB Recommender'!$Q$10:$Q$39,"&gt;30mins",1)</f>
        <v>8</v>
      </c>
      <c r="X80" s="20">
        <f>_xlfn.XLOOKUP(U80,'HDB Recommender'!$P$10:$P$39,'HDB Recommender'!$Q$10:$Q$39,"&gt;30mins",1)</f>
        <v>8</v>
      </c>
      <c r="Y80" s="20">
        <f>_xlfn.XLOOKUP(V80,'HDB Recommender'!$P$10:$P$39,'HDB Recommender'!$Q$10:$Q$39,"&gt;30mins",1)</f>
        <v>7</v>
      </c>
      <c r="Z80" s="39">
        <f t="shared" si="2"/>
        <v>7.666666666666667</v>
      </c>
      <c r="AA80" s="20" t="str">
        <f t="shared" si="3"/>
        <v>Within 1km</v>
      </c>
    </row>
    <row r="81" spans="2:27">
      <c r="B81" s="35" t="s">
        <v>317</v>
      </c>
      <c r="C81" s="35" t="s">
        <v>460</v>
      </c>
      <c r="D81" s="35" t="s">
        <v>318</v>
      </c>
      <c r="E81" s="35">
        <v>250</v>
      </c>
      <c r="F81" s="35" t="s">
        <v>461</v>
      </c>
      <c r="G81" s="35" t="s">
        <v>189</v>
      </c>
      <c r="H81" s="35">
        <v>73</v>
      </c>
      <c r="I81" s="35" t="s">
        <v>335</v>
      </c>
      <c r="J81" s="36">
        <v>1988</v>
      </c>
      <c r="K81" s="39">
        <v>64.1666666666666</v>
      </c>
      <c r="L81" s="37">
        <v>370000</v>
      </c>
      <c r="M81" s="35" t="s">
        <v>462</v>
      </c>
      <c r="N81" s="27">
        <v>670250</v>
      </c>
      <c r="O81" s="38">
        <v>1.38065502521671</v>
      </c>
      <c r="P81" s="38">
        <v>103.773698672408</v>
      </c>
      <c r="Q81" s="38" t="str" cm="1">
        <f t="array" ref="Q81">INDEX('MRT station dataset'!$C$3:$C$179, MATCH(MIN(SQRT(('MRT station dataset'!$E$3:$E$179-'Resale flat dataset (DV)'!O81)^2+('MRT station dataset'!$F$3:$F$179-'Resale flat dataset (DV)'!P81)^2)), SQRT(('MRT station dataset'!$E$3:$E$179-'Resale flat dataset (DV)'!O81)^2+('MRT station dataset'!$F$3:$F$179-'Resale flat dataset (DV)'!P81)^2), 0))</f>
        <v>BANGKIT LRT STATION</v>
      </c>
      <c r="R81" s="38" t="str" cm="1">
        <f t="array" ref="R81">INDEX('Mall Dataset'!$B$3:$B$157, MATCH(MIN(SQRT(('Mall Dataset'!$E$3:$E$157-'Resale flat dataset (DV)'!O81)^2+('Mall Dataset'!$F$3:$F$157-'Resale flat dataset (DV)'!P81)^2)), SQRT(('Mall Dataset'!$E$3:$E$157-'Resale flat dataset (DV)'!O81)^2+('Mall Dataset'!$F$3:$F$157-'Resale flat dataset (DV)'!P81)^2), 0))</f>
        <v>Fajar Shopping Centre</v>
      </c>
      <c r="S81" s="38" t="str" cm="1">
        <f t="array" ref="S81">INDEX('Schools dataset'!$B$3:$B$187, MATCH(MIN(SQRT(('Schools dataset'!$J$3:$J$187-'Resale flat dataset (DV)'!O81)^2+('Schools dataset'!$K$3:$K$187-'Resale flat dataset (DV)'!P81)^2)), SQRT(('Schools dataset'!$J$3:$J$187-'Resale flat dataset (DV)'!O81)^2+('Schools dataset'!$K$3:$K$187-'Resale flat dataset (DV)'!P81)^2), 0))</f>
        <v>BEACON PRIMARY SCHOOL</v>
      </c>
      <c r="T81" s="39">
        <f>ACOS(COS(RADIANS(90-O81))*COS(RADIANS(90-_xlfn.XLOOKUP(Q81,'MRT station dataset'!$C$3:$C$179,'MRT station dataset'!$E$3:$E$179)))+SIN(RADIANS(90-O81))*SIN(RADIANS(90-_xlfn.XLOOKUP(Q81,'MRT station dataset'!$C$3:$C$179,'MRT station dataset'!$E$3:$E$179)))*COS(RADIANS(P81-_xlfn.XLOOKUP('Resale flat dataset (DV)'!Q81,'MRT station dataset'!$C$3:$C$179,'MRT station dataset'!$F$3:$F$179))))*6371*1000</f>
        <v>142.20084451304072</v>
      </c>
      <c r="U81" s="39">
        <f>ACOS(COS(RADIANS(90-O81))*COS(RADIANS(90-_xlfn.XLOOKUP(R81,'Mall Dataset'!$B$3:$B$157,'Mall Dataset'!$E$3:$E$157,,0)))+SIN(RADIANS(90-O81))*SIN(RADIANS(90-_xlfn.XLOOKUP(R81,'Mall Dataset'!$B$3:$B$157,'Mall Dataset'!$E$3:$E$157,,0)))*COS(RADIANS(P81-_xlfn.XLOOKUP(R81,'Mall Dataset'!$B$3:$B$157,'Mall Dataset'!$F$3:$F$157,,0))))*6371*1000</f>
        <v>452.08555722038057</v>
      </c>
      <c r="V81" s="39">
        <f>ACOS(COS(RADIANS(90-O81))*COS(RADIANS(90-_xlfn.XLOOKUP(S81,'Schools dataset'!$B$3:$B$187,'Schools dataset'!$J$3:$J$187,,0)))+SIN(RADIANS(90-O81))*SIN(RADIANS(90-_xlfn.XLOOKUP(S81,'Schools dataset'!$B$3:$B$187,'Schools dataset'!$J$3:$J$187,,0)))*COS(RADIANS(P81-_xlfn.XLOOKUP(S81,'Schools dataset'!$B$3:$B$187,'Schools dataset'!$K$3:$K$187,,0))))*6371*1000</f>
        <v>366.38846326302877</v>
      </c>
      <c r="W81" s="20">
        <f>_xlfn.XLOOKUP(T81,'HDB Recommender'!$P$10:$P$39,'HDB Recommender'!$Q$10:$Q$39,"&gt;30mins",1)</f>
        <v>2</v>
      </c>
      <c r="X81" s="20">
        <f>_xlfn.XLOOKUP(U81,'HDB Recommender'!$P$10:$P$39,'HDB Recommender'!$Q$10:$Q$39,"&gt;30mins",1)</f>
        <v>7</v>
      </c>
      <c r="Y81" s="20">
        <f>_xlfn.XLOOKUP(V81,'HDB Recommender'!$P$10:$P$39,'HDB Recommender'!$Q$10:$Q$39,"&gt;30mins",1)</f>
        <v>5</v>
      </c>
      <c r="Z81" s="39">
        <f t="shared" si="2"/>
        <v>4.666666666666667</v>
      </c>
      <c r="AA81" s="20" t="str">
        <f t="shared" si="3"/>
        <v>Within 1km</v>
      </c>
    </row>
    <row r="82" spans="2:27">
      <c r="B82" s="35" t="s">
        <v>317</v>
      </c>
      <c r="C82" s="35" t="s">
        <v>460</v>
      </c>
      <c r="D82" s="35" t="s">
        <v>20</v>
      </c>
      <c r="E82" s="35">
        <v>435</v>
      </c>
      <c r="F82" s="35" t="s">
        <v>463</v>
      </c>
      <c r="G82" s="35" t="s">
        <v>184</v>
      </c>
      <c r="H82" s="35">
        <v>104</v>
      </c>
      <c r="I82" s="35" t="s">
        <v>335</v>
      </c>
      <c r="J82" s="36">
        <v>1988</v>
      </c>
      <c r="K82" s="39">
        <v>64.25</v>
      </c>
      <c r="L82" s="37">
        <v>492000</v>
      </c>
      <c r="M82" s="35" t="s">
        <v>464</v>
      </c>
      <c r="N82" s="27">
        <v>670435</v>
      </c>
      <c r="O82" s="38">
        <v>1.3860397462673999</v>
      </c>
      <c r="P82" s="38">
        <v>103.770196336514</v>
      </c>
      <c r="Q82" s="38" t="str" cm="1">
        <f t="array" ref="Q82">INDEX('MRT station dataset'!$C$3:$C$179, MATCH(MIN(SQRT(('MRT station dataset'!$E$3:$E$179-'Resale flat dataset (DV)'!O82)^2+('MRT station dataset'!$F$3:$F$179-'Resale flat dataset (DV)'!P82)^2)), SQRT(('MRT station dataset'!$E$3:$E$179-'Resale flat dataset (DV)'!O82)^2+('MRT station dataset'!$F$3:$F$179-'Resale flat dataset (DV)'!P82)^2), 0))</f>
        <v>FAJAR LRT STATION</v>
      </c>
      <c r="R82" s="38" t="str" cm="1">
        <f t="array" ref="R82">INDEX('Mall Dataset'!$B$3:$B$157, MATCH(MIN(SQRT(('Mall Dataset'!$E$3:$E$157-'Resale flat dataset (DV)'!O82)^2+('Mall Dataset'!$F$3:$F$157-'Resale flat dataset (DV)'!P82)^2)), SQRT(('Mall Dataset'!$E$3:$E$157-'Resale flat dataset (DV)'!O82)^2+('Mall Dataset'!$F$3:$F$157-'Resale flat dataset (DV)'!P82)^2), 0))</f>
        <v>Fajar Shopping Centre</v>
      </c>
      <c r="S82" s="38" t="str" cm="1">
        <f t="array" ref="S82">INDEX('Schools dataset'!$B$3:$B$187, MATCH(MIN(SQRT(('Schools dataset'!$J$3:$J$187-'Resale flat dataset (DV)'!O82)^2+('Schools dataset'!$K$3:$K$187-'Resale flat dataset (DV)'!P82)^2)), SQRT(('Schools dataset'!$J$3:$J$187-'Resale flat dataset (DV)'!O82)^2+('Schools dataset'!$K$3:$K$187-'Resale flat dataset (DV)'!P82)^2), 0))</f>
        <v>GREENRIDGE PRIMARY SCHOOL</v>
      </c>
      <c r="T82" s="39">
        <f>ACOS(COS(RADIANS(90-O82))*COS(RADIANS(90-_xlfn.XLOOKUP(Q82,'MRT station dataset'!$C$3:$C$179,'MRT station dataset'!$E$3:$E$179)))+SIN(RADIANS(90-O82))*SIN(RADIANS(90-_xlfn.XLOOKUP(Q82,'MRT station dataset'!$C$3:$C$179,'MRT station dataset'!$E$3:$E$179)))*COS(RADIANS(P82-_xlfn.XLOOKUP('Resale flat dataset (DV)'!Q82,'MRT station dataset'!$C$3:$C$179,'MRT station dataset'!$F$3:$F$179))))*6371*1000</f>
        <v>183.89283338083985</v>
      </c>
      <c r="U82" s="39">
        <f>ACOS(COS(RADIANS(90-O82))*COS(RADIANS(90-_xlfn.XLOOKUP(R82,'Mall Dataset'!$B$3:$B$157,'Mall Dataset'!$E$3:$E$157,,0)))+SIN(RADIANS(90-O82))*SIN(RADIANS(90-_xlfn.XLOOKUP(R82,'Mall Dataset'!$B$3:$B$157,'Mall Dataset'!$E$3:$E$157,,0)))*COS(RADIANS(P82-_xlfn.XLOOKUP(R82,'Mall Dataset'!$B$3:$B$157,'Mall Dataset'!$F$3:$F$157,,0))))*6371*1000</f>
        <v>284.10121932657171</v>
      </c>
      <c r="V82" s="39">
        <f>ACOS(COS(RADIANS(90-O82))*COS(RADIANS(90-_xlfn.XLOOKUP(S82,'Schools dataset'!$B$3:$B$187,'Schools dataset'!$J$3:$J$187,,0)))+SIN(RADIANS(90-O82))*SIN(RADIANS(90-_xlfn.XLOOKUP(S82,'Schools dataset'!$B$3:$B$187,'Schools dataset'!$J$3:$J$187,,0)))*COS(RADIANS(P82-_xlfn.XLOOKUP(S82,'Schools dataset'!$B$3:$B$187,'Schools dataset'!$K$3:$K$187,,0))))*6371*1000</f>
        <v>266.28014169225179</v>
      </c>
      <c r="W82" s="20">
        <f>_xlfn.XLOOKUP(T82,'HDB Recommender'!$P$10:$P$39,'HDB Recommender'!$Q$10:$Q$39,"&gt;30mins",1)</f>
        <v>3</v>
      </c>
      <c r="X82" s="20">
        <f>_xlfn.XLOOKUP(U82,'HDB Recommender'!$P$10:$P$39,'HDB Recommender'!$Q$10:$Q$39,"&gt;30mins",1)</f>
        <v>4</v>
      </c>
      <c r="Y82" s="20">
        <f>_xlfn.XLOOKUP(V82,'HDB Recommender'!$P$10:$P$39,'HDB Recommender'!$Q$10:$Q$39,"&gt;30mins",1)</f>
        <v>4</v>
      </c>
      <c r="Z82" s="39">
        <f t="shared" si="2"/>
        <v>3.6666666666666665</v>
      </c>
      <c r="AA82" s="20" t="str">
        <f t="shared" si="3"/>
        <v>Within 1km</v>
      </c>
    </row>
    <row r="83" spans="2:27">
      <c r="B83" s="35" t="s">
        <v>317</v>
      </c>
      <c r="C83" s="35" t="s">
        <v>460</v>
      </c>
      <c r="D83" s="35" t="s">
        <v>20</v>
      </c>
      <c r="E83" s="35">
        <v>128</v>
      </c>
      <c r="F83" s="35" t="s">
        <v>465</v>
      </c>
      <c r="G83" s="35" t="s">
        <v>189</v>
      </c>
      <c r="H83" s="35">
        <v>103</v>
      </c>
      <c r="I83" s="35" t="s">
        <v>335</v>
      </c>
      <c r="J83" s="36">
        <v>1988</v>
      </c>
      <c r="K83" s="39">
        <v>63.8333333333333</v>
      </c>
      <c r="L83" s="37">
        <v>500000</v>
      </c>
      <c r="M83" s="35" t="s">
        <v>466</v>
      </c>
      <c r="N83" s="27">
        <v>670128</v>
      </c>
      <c r="O83" s="38">
        <v>1.37599511163058</v>
      </c>
      <c r="P83" s="38">
        <v>103.769766187776</v>
      </c>
      <c r="Q83" s="38" t="str" cm="1">
        <f t="array" ref="Q83">INDEX('MRT station dataset'!$C$3:$C$179, MATCH(MIN(SQRT(('MRT station dataset'!$E$3:$E$179-'Resale flat dataset (DV)'!O83)^2+('MRT station dataset'!$F$3:$F$179-'Resale flat dataset (DV)'!P83)^2)), SQRT(('MRT station dataset'!$E$3:$E$179-'Resale flat dataset (DV)'!O83)^2+('MRT station dataset'!$F$3:$F$179-'Resale flat dataset (DV)'!P83)^2), 0))</f>
        <v>PENDING LRT STATION</v>
      </c>
      <c r="R83" s="38" t="str" cm="1">
        <f t="array" ref="R83">INDEX('Mall Dataset'!$B$3:$B$157, MATCH(MIN(SQRT(('Mall Dataset'!$E$3:$E$157-'Resale flat dataset (DV)'!O83)^2+('Mall Dataset'!$F$3:$F$157-'Resale flat dataset (DV)'!P83)^2)), SQRT(('Mall Dataset'!$E$3:$E$157-'Resale flat dataset (DV)'!O83)^2+('Mall Dataset'!$F$3:$F$157-'Resale flat dataset (DV)'!P83)^2), 0))</f>
        <v>Hillion Mall</v>
      </c>
      <c r="S83" s="38" t="str" cm="1">
        <f t="array" ref="S83">INDEX('Schools dataset'!$B$3:$B$187, MATCH(MIN(SQRT(('Schools dataset'!$J$3:$J$187-'Resale flat dataset (DV)'!O83)^2+('Schools dataset'!$K$3:$K$187-'Resale flat dataset (DV)'!P83)^2)), SQRT(('Schools dataset'!$J$3:$J$187-'Resale flat dataset (DV)'!O83)^2+('Schools dataset'!$K$3:$K$187-'Resale flat dataset (DV)'!P83)^2), 0))</f>
        <v>BUKIT PANJANG PRIMARY SCHOOL</v>
      </c>
      <c r="T83" s="39">
        <f>ACOS(COS(RADIANS(90-O83))*COS(RADIANS(90-_xlfn.XLOOKUP(Q83,'MRT station dataset'!$C$3:$C$179,'MRT station dataset'!$E$3:$E$179)))+SIN(RADIANS(90-O83))*SIN(RADIANS(90-_xlfn.XLOOKUP(Q83,'MRT station dataset'!$C$3:$C$179,'MRT station dataset'!$E$3:$E$179)))*COS(RADIANS(P83-_xlfn.XLOOKUP('Resale flat dataset (DV)'!Q83,'MRT station dataset'!$C$3:$C$179,'MRT station dataset'!$F$3:$F$179))))*6371*1000</f>
        <v>170.90138852142033</v>
      </c>
      <c r="U83" s="39">
        <f>ACOS(COS(RADIANS(90-O83))*COS(RADIANS(90-_xlfn.XLOOKUP(R83,'Mall Dataset'!$B$3:$B$157,'Mall Dataset'!$E$3:$E$157,,0)))+SIN(RADIANS(90-O83))*SIN(RADIANS(90-_xlfn.XLOOKUP(R83,'Mall Dataset'!$B$3:$B$157,'Mall Dataset'!$E$3:$E$157,,0)))*COS(RADIANS(P83-_xlfn.XLOOKUP(R83,'Mall Dataset'!$B$3:$B$157,'Mall Dataset'!$F$3:$F$157,,0))))*6371*1000</f>
        <v>712.55091133928295</v>
      </c>
      <c r="V83" s="39">
        <f>ACOS(COS(RADIANS(90-O83))*COS(RADIANS(90-_xlfn.XLOOKUP(S83,'Schools dataset'!$B$3:$B$187,'Schools dataset'!$J$3:$J$187,,0)))+SIN(RADIANS(90-O83))*SIN(RADIANS(90-_xlfn.XLOOKUP(S83,'Schools dataset'!$B$3:$B$187,'Schools dataset'!$J$3:$J$187,,0)))*COS(RADIANS(P83-_xlfn.XLOOKUP(S83,'Schools dataset'!$B$3:$B$187,'Schools dataset'!$K$3:$K$187,,0))))*6371*1000</f>
        <v>280.0416861294064</v>
      </c>
      <c r="W83" s="20">
        <f>_xlfn.XLOOKUP(T83,'HDB Recommender'!$P$10:$P$39,'HDB Recommender'!$Q$10:$Q$39,"&gt;30mins",1)</f>
        <v>3</v>
      </c>
      <c r="X83" s="20">
        <f>_xlfn.XLOOKUP(U83,'HDB Recommender'!$P$10:$P$39,'HDB Recommender'!$Q$10:$Q$39,"&gt;30mins",1)</f>
        <v>10</v>
      </c>
      <c r="Y83" s="20">
        <f>_xlfn.XLOOKUP(V83,'HDB Recommender'!$P$10:$P$39,'HDB Recommender'!$Q$10:$Q$39,"&gt;30mins",1)</f>
        <v>4</v>
      </c>
      <c r="Z83" s="39">
        <f t="shared" si="2"/>
        <v>5.666666666666667</v>
      </c>
      <c r="AA83" s="20" t="str">
        <f t="shared" si="3"/>
        <v>Within 1km</v>
      </c>
    </row>
    <row r="84" spans="2:27">
      <c r="B84" s="35" t="s">
        <v>317</v>
      </c>
      <c r="C84" s="35" t="s">
        <v>460</v>
      </c>
      <c r="D84" s="35" t="s">
        <v>20</v>
      </c>
      <c r="E84" s="35">
        <v>458</v>
      </c>
      <c r="F84" s="35" t="s">
        <v>467</v>
      </c>
      <c r="G84" s="35" t="s">
        <v>189</v>
      </c>
      <c r="H84" s="35">
        <v>93</v>
      </c>
      <c r="I84" s="35" t="s">
        <v>389</v>
      </c>
      <c r="J84" s="36">
        <v>2012</v>
      </c>
      <c r="K84" s="39">
        <v>88.1666666666666</v>
      </c>
      <c r="L84" s="37">
        <v>520000</v>
      </c>
      <c r="M84" s="35" t="s">
        <v>468</v>
      </c>
      <c r="N84" s="27">
        <v>670458</v>
      </c>
      <c r="O84" s="38">
        <v>1.3880439418206101</v>
      </c>
      <c r="P84" s="38">
        <v>103.771067583616</v>
      </c>
      <c r="Q84" s="38" t="str" cm="1">
        <f t="array" ref="Q84">INDEX('MRT station dataset'!$C$3:$C$179, MATCH(MIN(SQRT(('MRT station dataset'!$E$3:$E$179-'Resale flat dataset (DV)'!O84)^2+('MRT station dataset'!$F$3:$F$179-'Resale flat dataset (DV)'!P84)^2)), SQRT(('MRT station dataset'!$E$3:$E$179-'Resale flat dataset (DV)'!O84)^2+('MRT station dataset'!$F$3:$F$179-'Resale flat dataset (DV)'!P84)^2), 0))</f>
        <v>SEGAR LRT STATION</v>
      </c>
      <c r="R84" s="38" t="str" cm="1">
        <f t="array" ref="R84">INDEX('Mall Dataset'!$B$3:$B$157, MATCH(MIN(SQRT(('Mall Dataset'!$E$3:$E$157-'Resale flat dataset (DV)'!O84)^2+('Mall Dataset'!$F$3:$F$157-'Resale flat dataset (DV)'!P84)^2)), SQRT(('Mall Dataset'!$E$3:$E$157-'Resale flat dataset (DV)'!O84)^2+('Mall Dataset'!$F$3:$F$157-'Resale flat dataset (DV)'!P84)^2), 0))</f>
        <v>Fajar Shopping Centre</v>
      </c>
      <c r="S84" s="38" t="str" cm="1">
        <f t="array" ref="S84">INDEX('Schools dataset'!$B$3:$B$187, MATCH(MIN(SQRT(('Schools dataset'!$J$3:$J$187-'Resale flat dataset (DV)'!O84)^2+('Schools dataset'!$K$3:$K$187-'Resale flat dataset (DV)'!P84)^2)), SQRT(('Schools dataset'!$J$3:$J$187-'Resale flat dataset (DV)'!O84)^2+('Schools dataset'!$K$3:$K$187-'Resale flat dataset (DV)'!P84)^2), 0))</f>
        <v>GREENRIDGE PRIMARY SCHOOL</v>
      </c>
      <c r="T84" s="39">
        <f>ACOS(COS(RADIANS(90-O84))*COS(RADIANS(90-_xlfn.XLOOKUP(Q84,'MRT station dataset'!$C$3:$C$179,'MRT station dataset'!$E$3:$E$179)))+SIN(RADIANS(90-O84))*SIN(RADIANS(90-_xlfn.XLOOKUP(Q84,'MRT station dataset'!$C$3:$C$179,'MRT station dataset'!$E$3:$E$179)))*COS(RADIANS(P84-_xlfn.XLOOKUP('Resale flat dataset (DV)'!Q84,'MRT station dataset'!$C$3:$C$179,'MRT station dataset'!$F$3:$F$179))))*6371*1000</f>
        <v>165.37963245353794</v>
      </c>
      <c r="U84" s="39">
        <f>ACOS(COS(RADIANS(90-O84))*COS(RADIANS(90-_xlfn.XLOOKUP(R84,'Mall Dataset'!$B$3:$B$157,'Mall Dataset'!$E$3:$E$157,,0)))+SIN(RADIANS(90-O84))*SIN(RADIANS(90-_xlfn.XLOOKUP(R84,'Mall Dataset'!$B$3:$B$157,'Mall Dataset'!$E$3:$E$157,,0)))*COS(RADIANS(P84-_xlfn.XLOOKUP(R84,'Mall Dataset'!$B$3:$B$157,'Mall Dataset'!$F$3:$F$157,,0))))*6371*1000</f>
        <v>497.44979195061779</v>
      </c>
      <c r="V84" s="39">
        <f>ACOS(COS(RADIANS(90-O84))*COS(RADIANS(90-_xlfn.XLOOKUP(S84,'Schools dataset'!$B$3:$B$187,'Schools dataset'!$J$3:$J$187,,0)))+SIN(RADIANS(90-O84))*SIN(RADIANS(90-_xlfn.XLOOKUP(S84,'Schools dataset'!$B$3:$B$187,'Schools dataset'!$J$3:$J$187,,0)))*COS(RADIANS(P84-_xlfn.XLOOKUP(S84,'Schools dataset'!$B$3:$B$187,'Schools dataset'!$K$3:$K$187,,0))))*6371*1000</f>
        <v>432.27340741111254</v>
      </c>
      <c r="W84" s="20">
        <f>_xlfn.XLOOKUP(T84,'HDB Recommender'!$P$10:$P$39,'HDB Recommender'!$Q$10:$Q$39,"&gt;30mins",1)</f>
        <v>3</v>
      </c>
      <c r="X84" s="20">
        <f>_xlfn.XLOOKUP(U84,'HDB Recommender'!$P$10:$P$39,'HDB Recommender'!$Q$10:$Q$39,"&gt;30mins",1)</f>
        <v>7</v>
      </c>
      <c r="Y84" s="20">
        <f>_xlfn.XLOOKUP(V84,'HDB Recommender'!$P$10:$P$39,'HDB Recommender'!$Q$10:$Q$39,"&gt;30mins",1)</f>
        <v>6</v>
      </c>
      <c r="Z84" s="39">
        <f t="shared" si="2"/>
        <v>5.333333333333333</v>
      </c>
      <c r="AA84" s="20" t="str">
        <f t="shared" si="3"/>
        <v>Within 1km</v>
      </c>
    </row>
    <row r="85" spans="2:27">
      <c r="B85" s="35" t="s">
        <v>317</v>
      </c>
      <c r="C85" s="35" t="s">
        <v>460</v>
      </c>
      <c r="D85" s="35" t="s">
        <v>20</v>
      </c>
      <c r="E85" s="35"/>
      <c r="F85" s="35" t="s">
        <v>467</v>
      </c>
      <c r="G85" s="35" t="s">
        <v>189</v>
      </c>
      <c r="H85" s="35">
        <v>92</v>
      </c>
      <c r="I85" s="35" t="s">
        <v>335</v>
      </c>
      <c r="J85" s="36">
        <v>2015</v>
      </c>
      <c r="K85" s="39">
        <v>90.8333333333333</v>
      </c>
      <c r="L85" s="37">
        <v>520000</v>
      </c>
      <c r="M85" s="35" t="s">
        <v>469</v>
      </c>
      <c r="N85" s="27">
        <v>671546</v>
      </c>
      <c r="O85" s="38">
        <v>1.3885262872950801</v>
      </c>
      <c r="P85" s="38">
        <v>103.77035294286</v>
      </c>
      <c r="Q85" s="38" t="str" cm="1">
        <f t="array" ref="Q85">INDEX('MRT station dataset'!$C$3:$C$179, MATCH(MIN(SQRT(('MRT station dataset'!$E$3:$E$179-'Resale flat dataset (DV)'!O85)^2+('MRT station dataset'!$F$3:$F$179-'Resale flat dataset (DV)'!P85)^2)), SQRT(('MRT station dataset'!$E$3:$E$179-'Resale flat dataset (DV)'!O85)^2+('MRT station dataset'!$F$3:$F$179-'Resale flat dataset (DV)'!P85)^2), 0))</f>
        <v>SEGAR LRT STATION</v>
      </c>
      <c r="R85" s="38" t="str" cm="1">
        <f t="array" ref="R85">INDEX('Mall Dataset'!$B$3:$B$157, MATCH(MIN(SQRT(('Mall Dataset'!$E$3:$E$157-'Resale flat dataset (DV)'!O85)^2+('Mall Dataset'!$F$3:$F$157-'Resale flat dataset (DV)'!P85)^2)), SQRT(('Mall Dataset'!$E$3:$E$157-'Resale flat dataset (DV)'!O85)^2+('Mall Dataset'!$F$3:$F$157-'Resale flat dataset (DV)'!P85)^2), 0))</f>
        <v>Fajar Shopping Centre</v>
      </c>
      <c r="S85" s="38" t="str" cm="1">
        <f t="array" ref="S85">INDEX('Schools dataset'!$B$3:$B$187, MATCH(MIN(SQRT(('Schools dataset'!$J$3:$J$187-'Resale flat dataset (DV)'!O85)^2+('Schools dataset'!$K$3:$K$187-'Resale flat dataset (DV)'!P85)^2)), SQRT(('Schools dataset'!$J$3:$J$187-'Resale flat dataset (DV)'!O85)^2+('Schools dataset'!$K$3:$K$187-'Resale flat dataset (DV)'!P85)^2), 0))</f>
        <v>GREENRIDGE PRIMARY SCHOOL</v>
      </c>
      <c r="T85" s="39">
        <f>ACOS(COS(RADIANS(90-O85))*COS(RADIANS(90-_xlfn.XLOOKUP(Q85,'MRT station dataset'!$C$3:$C$179,'MRT station dataset'!$E$3:$E$179)))+SIN(RADIANS(90-O85))*SIN(RADIANS(90-_xlfn.XLOOKUP(Q85,'MRT station dataset'!$C$3:$C$179,'MRT station dataset'!$E$3:$E$179)))*COS(RADIANS(P85-_xlfn.XLOOKUP('Resale flat dataset (DV)'!Q85,'MRT station dataset'!$C$3:$C$179,'MRT station dataset'!$F$3:$F$179))))*6371*1000</f>
        <v>116.308177805309</v>
      </c>
      <c r="U85" s="39">
        <f>ACOS(COS(RADIANS(90-O85))*COS(RADIANS(90-_xlfn.XLOOKUP(R85,'Mall Dataset'!$B$3:$B$157,'Mall Dataset'!$E$3:$E$157,,0)))+SIN(RADIANS(90-O85))*SIN(RADIANS(90-_xlfn.XLOOKUP(R85,'Mall Dataset'!$B$3:$B$157,'Mall Dataset'!$E$3:$E$157,,0)))*COS(RADIANS(P85-_xlfn.XLOOKUP(R85,'Mall Dataset'!$B$3:$B$157,'Mall Dataset'!$F$3:$F$157,,0))))*6371*1000</f>
        <v>553.56565490608386</v>
      </c>
      <c r="V85" s="39">
        <f>ACOS(COS(RADIANS(90-O85))*COS(RADIANS(90-_xlfn.XLOOKUP(S85,'Schools dataset'!$B$3:$B$187,'Schools dataset'!$J$3:$J$187,,0)))+SIN(RADIANS(90-O85))*SIN(RADIANS(90-_xlfn.XLOOKUP(S85,'Schools dataset'!$B$3:$B$187,'Schools dataset'!$J$3:$J$187,,0)))*COS(RADIANS(P85-_xlfn.XLOOKUP(S85,'Schools dataset'!$B$3:$B$187,'Schools dataset'!$K$3:$K$187,,0))))*6371*1000</f>
        <v>404.4725584522937</v>
      </c>
      <c r="W85" s="20">
        <f>_xlfn.XLOOKUP(T85,'HDB Recommender'!$P$10:$P$39,'HDB Recommender'!$Q$10:$Q$39,"&gt;30mins",1)</f>
        <v>2</v>
      </c>
      <c r="X85" s="20">
        <f>_xlfn.XLOOKUP(U85,'HDB Recommender'!$P$10:$P$39,'HDB Recommender'!$Q$10:$Q$39,"&gt;30mins",1)</f>
        <v>8</v>
      </c>
      <c r="Y85" s="20">
        <f>_xlfn.XLOOKUP(V85,'HDB Recommender'!$P$10:$P$39,'HDB Recommender'!$Q$10:$Q$39,"&gt;30mins",1)</f>
        <v>6</v>
      </c>
      <c r="Z85" s="39">
        <f t="shared" si="2"/>
        <v>5.333333333333333</v>
      </c>
      <c r="AA85" s="20" t="str">
        <f t="shared" si="3"/>
        <v>Within 1km</v>
      </c>
    </row>
    <row r="86" spans="2:27">
      <c r="B86" s="35" t="s">
        <v>317</v>
      </c>
      <c r="C86" s="35" t="s">
        <v>460</v>
      </c>
      <c r="D86" s="35" t="s">
        <v>20</v>
      </c>
      <c r="E86" s="35"/>
      <c r="F86" s="35" t="s">
        <v>470</v>
      </c>
      <c r="G86" s="35" t="s">
        <v>184</v>
      </c>
      <c r="H86" s="35">
        <v>92</v>
      </c>
      <c r="I86" s="35" t="s">
        <v>335</v>
      </c>
      <c r="J86" s="36">
        <v>2015</v>
      </c>
      <c r="K86" s="39">
        <v>91.1666666666666</v>
      </c>
      <c r="L86" s="37">
        <v>560000</v>
      </c>
      <c r="M86" s="35" t="s">
        <v>471</v>
      </c>
      <c r="N86" s="27">
        <v>672636</v>
      </c>
      <c r="O86" s="38">
        <v>1.3876247075997601</v>
      </c>
      <c r="P86" s="38">
        <v>103.758331445094</v>
      </c>
      <c r="Q86" s="38" t="str" cm="1">
        <f t="array" ref="Q86">INDEX('MRT station dataset'!$C$3:$C$179, MATCH(MIN(SQRT(('MRT station dataset'!$E$3:$E$179-'Resale flat dataset (DV)'!O86)^2+('MRT station dataset'!$F$3:$F$179-'Resale flat dataset (DV)'!P86)^2)), SQRT(('MRT station dataset'!$E$3:$E$179-'Resale flat dataset (DV)'!O86)^2+('MRT station dataset'!$F$3:$F$179-'Resale flat dataset (DV)'!P86)^2), 0))</f>
        <v>JELAPANG LRT STATION</v>
      </c>
      <c r="R86" s="38" t="str" cm="1">
        <f t="array" ref="R86">INDEX('Mall Dataset'!$B$3:$B$157, MATCH(MIN(SQRT(('Mall Dataset'!$E$3:$E$157-'Resale flat dataset (DV)'!O86)^2+('Mall Dataset'!$F$3:$F$157-'Resale flat dataset (DV)'!P86)^2)), SQRT(('Mall Dataset'!$E$3:$E$157-'Resale flat dataset (DV)'!O86)^2+('Mall Dataset'!$F$3:$F$157-'Resale flat dataset (DV)'!P86)^2), 0))</f>
        <v>Junction 10</v>
      </c>
      <c r="S86" s="38" t="str" cm="1">
        <f t="array" ref="S86">INDEX('Schools dataset'!$B$3:$B$187, MATCH(MIN(SQRT(('Schools dataset'!$J$3:$J$187-'Resale flat dataset (DV)'!O86)^2+('Schools dataset'!$K$3:$K$187-'Resale flat dataset (DV)'!P86)^2)), SQRT(('Schools dataset'!$J$3:$J$187-'Resale flat dataset (DV)'!O86)^2+('Schools dataset'!$K$3:$K$187-'Resale flat dataset (DV)'!P86)^2), 0))</f>
        <v>WEST VIEW PRIMARY SCHOOL</v>
      </c>
      <c r="T86" s="39">
        <f>ACOS(COS(RADIANS(90-O86))*COS(RADIANS(90-_xlfn.XLOOKUP(Q86,'MRT station dataset'!$C$3:$C$179,'MRT station dataset'!$E$3:$E$179)))+SIN(RADIANS(90-O86))*SIN(RADIANS(90-_xlfn.XLOOKUP(Q86,'MRT station dataset'!$C$3:$C$179,'MRT station dataset'!$E$3:$E$179)))*COS(RADIANS(P86-_xlfn.XLOOKUP('Resale flat dataset (DV)'!Q86,'MRT station dataset'!$C$3:$C$179,'MRT station dataset'!$F$3:$F$179))))*6371*1000</f>
        <v>693.3773068291182</v>
      </c>
      <c r="U86" s="39">
        <f>ACOS(COS(RADIANS(90-O86))*COS(RADIANS(90-_xlfn.XLOOKUP(R86,'Mall Dataset'!$B$3:$B$157,'Mall Dataset'!$E$3:$E$157,,0)))+SIN(RADIANS(90-O86))*SIN(RADIANS(90-_xlfn.XLOOKUP(R86,'Mall Dataset'!$B$3:$B$157,'Mall Dataset'!$E$3:$E$157,,0)))*COS(RADIANS(P86-_xlfn.XLOOKUP(R86,'Mall Dataset'!$B$3:$B$157,'Mall Dataset'!$F$3:$F$157,,0))))*6371*1000</f>
        <v>810.91562662299225</v>
      </c>
      <c r="V86" s="39">
        <f>ACOS(COS(RADIANS(90-O86))*COS(RADIANS(90-_xlfn.XLOOKUP(S86,'Schools dataset'!$B$3:$B$187,'Schools dataset'!$J$3:$J$187,,0)))+SIN(RADIANS(90-O86))*SIN(RADIANS(90-_xlfn.XLOOKUP(S86,'Schools dataset'!$B$3:$B$187,'Schools dataset'!$J$3:$J$187,,0)))*COS(RADIANS(P86-_xlfn.XLOOKUP(S86,'Schools dataset'!$B$3:$B$187,'Schools dataset'!$K$3:$K$187,,0))))*6371*1000</f>
        <v>487.68605392612699</v>
      </c>
      <c r="W86" s="20">
        <f>_xlfn.XLOOKUP(T86,'HDB Recommender'!$P$10:$P$39,'HDB Recommender'!$Q$10:$Q$39,"&gt;30mins",1)</f>
        <v>10</v>
      </c>
      <c r="X86" s="20">
        <f>_xlfn.XLOOKUP(U86,'HDB Recommender'!$P$10:$P$39,'HDB Recommender'!$Q$10:$Q$39,"&gt;30mins",1)</f>
        <v>11</v>
      </c>
      <c r="Y86" s="20">
        <f>_xlfn.XLOOKUP(V86,'HDB Recommender'!$P$10:$P$39,'HDB Recommender'!$Q$10:$Q$39,"&gt;30mins",1)</f>
        <v>7</v>
      </c>
      <c r="Z86" s="39">
        <f t="shared" si="2"/>
        <v>9.3333333333333339</v>
      </c>
      <c r="AA86" s="20" t="str">
        <f t="shared" si="3"/>
        <v>Within 1km</v>
      </c>
    </row>
    <row r="87" spans="2:27">
      <c r="B87" s="35" t="s">
        <v>317</v>
      </c>
      <c r="C87" s="35" t="s">
        <v>460</v>
      </c>
      <c r="D87" s="35" t="s">
        <v>383</v>
      </c>
      <c r="E87" s="35">
        <v>239</v>
      </c>
      <c r="F87" s="35" t="s">
        <v>463</v>
      </c>
      <c r="G87" s="35" t="s">
        <v>184</v>
      </c>
      <c r="H87" s="35">
        <v>150</v>
      </c>
      <c r="I87" s="35" t="s">
        <v>392</v>
      </c>
      <c r="J87" s="36">
        <v>1989</v>
      </c>
      <c r="K87" s="39">
        <v>64.4166666666666</v>
      </c>
      <c r="L87" s="37">
        <v>850888</v>
      </c>
      <c r="M87" s="35" t="s">
        <v>472</v>
      </c>
      <c r="N87" s="27">
        <v>670239</v>
      </c>
      <c r="O87" s="38">
        <v>1.38014939686036</v>
      </c>
      <c r="P87" s="38">
        <v>103.771126294353</v>
      </c>
      <c r="Q87" s="38" t="str" cm="1">
        <f t="array" ref="Q87">INDEX('MRT station dataset'!$C$3:$C$179, MATCH(MIN(SQRT(('MRT station dataset'!$E$3:$E$179-'Resale flat dataset (DV)'!O87)^2+('MRT station dataset'!$F$3:$F$179-'Resale flat dataset (DV)'!P87)^2)), SQRT(('MRT station dataset'!$E$3:$E$179-'Resale flat dataset (DV)'!O87)^2+('MRT station dataset'!$F$3:$F$179-'Resale flat dataset (DV)'!P87)^2), 0))</f>
        <v>BANGKIT LRT STATION</v>
      </c>
      <c r="R87" s="38" t="str" cm="1">
        <f t="array" ref="R87">INDEX('Mall Dataset'!$B$3:$B$157, MATCH(MIN(SQRT(('Mall Dataset'!$E$3:$E$157-'Resale flat dataset (DV)'!O87)^2+('Mall Dataset'!$F$3:$F$157-'Resale flat dataset (DV)'!P87)^2)), SQRT(('Mall Dataset'!$E$3:$E$157-'Resale flat dataset (DV)'!O87)^2+('Mall Dataset'!$F$3:$F$157-'Resale flat dataset (DV)'!P87)^2), 0))</f>
        <v>Fajar Shopping Centre</v>
      </c>
      <c r="S87" s="38" t="str" cm="1">
        <f t="array" ref="S87">INDEX('Schools dataset'!$B$3:$B$187, MATCH(MIN(SQRT(('Schools dataset'!$J$3:$J$187-'Resale flat dataset (DV)'!O87)^2+('Schools dataset'!$K$3:$K$187-'Resale flat dataset (DV)'!P87)^2)), SQRT(('Schools dataset'!$J$3:$J$187-'Resale flat dataset (DV)'!O87)^2+('Schools dataset'!$K$3:$K$187-'Resale flat dataset (DV)'!P87)^2), 0))</f>
        <v>ZHENGHUA PRIMARY SCHOOL</v>
      </c>
      <c r="T87" s="39">
        <f>ACOS(COS(RADIANS(90-O87))*COS(RADIANS(90-_xlfn.XLOOKUP(Q87,'MRT station dataset'!$C$3:$C$179,'MRT station dataset'!$E$3:$E$179)))+SIN(RADIANS(90-O87))*SIN(RADIANS(90-_xlfn.XLOOKUP(Q87,'MRT station dataset'!$C$3:$C$179,'MRT station dataset'!$E$3:$E$179)))*COS(RADIANS(P87-_xlfn.XLOOKUP('Resale flat dataset (DV)'!Q87,'MRT station dataset'!$C$3:$C$179,'MRT station dataset'!$F$3:$F$179))))*6371*1000</f>
        <v>164.66116241950002</v>
      </c>
      <c r="U87" s="39">
        <f>ACOS(COS(RADIANS(90-O87))*COS(RADIANS(90-_xlfn.XLOOKUP(R87,'Mall Dataset'!$B$3:$B$157,'Mall Dataset'!$E$3:$E$157,,0)))+SIN(RADIANS(90-O87))*SIN(RADIANS(90-_xlfn.XLOOKUP(R87,'Mall Dataset'!$B$3:$B$157,'Mall Dataset'!$E$3:$E$157,,0)))*COS(RADIANS(P87-_xlfn.XLOOKUP(R87,'Mall Dataset'!$B$3:$B$157,'Mall Dataset'!$F$3:$F$157,,0))))*6371*1000</f>
        <v>381.95317386342055</v>
      </c>
      <c r="V87" s="39">
        <f>ACOS(COS(RADIANS(90-O87))*COS(RADIANS(90-_xlfn.XLOOKUP(S87,'Schools dataset'!$B$3:$B$187,'Schools dataset'!$J$3:$J$187,,0)))+SIN(RADIANS(90-O87))*SIN(RADIANS(90-_xlfn.XLOOKUP(S87,'Schools dataset'!$B$3:$B$187,'Schools dataset'!$J$3:$J$187,,0)))*COS(RADIANS(P87-_xlfn.XLOOKUP(S87,'Schools dataset'!$B$3:$B$187,'Schools dataset'!$K$3:$K$187,,0))))*6371*1000</f>
        <v>212.28812685617049</v>
      </c>
      <c r="W87" s="20">
        <f>_xlfn.XLOOKUP(T87,'HDB Recommender'!$P$10:$P$39,'HDB Recommender'!$Q$10:$Q$39,"&gt;30mins",1)</f>
        <v>3</v>
      </c>
      <c r="X87" s="20">
        <f>_xlfn.XLOOKUP(U87,'HDB Recommender'!$P$10:$P$39,'HDB Recommender'!$Q$10:$Q$39,"&gt;30mins",1)</f>
        <v>6</v>
      </c>
      <c r="Y87" s="20">
        <f>_xlfn.XLOOKUP(V87,'HDB Recommender'!$P$10:$P$39,'HDB Recommender'!$Q$10:$Q$39,"&gt;30mins",1)</f>
        <v>3</v>
      </c>
      <c r="Z87" s="39">
        <f t="shared" si="2"/>
        <v>4</v>
      </c>
      <c r="AA87" s="20" t="str">
        <f t="shared" si="3"/>
        <v>Within 1km</v>
      </c>
    </row>
    <row r="88" spans="2:27">
      <c r="B88" s="35" t="s">
        <v>317</v>
      </c>
      <c r="C88" s="35" t="s">
        <v>460</v>
      </c>
      <c r="D88" s="35" t="s">
        <v>383</v>
      </c>
      <c r="E88" s="35">
        <v>452</v>
      </c>
      <c r="F88" s="35" t="s">
        <v>473</v>
      </c>
      <c r="G88" s="35" t="s">
        <v>191</v>
      </c>
      <c r="H88" s="35">
        <v>142</v>
      </c>
      <c r="I88" s="35" t="s">
        <v>384</v>
      </c>
      <c r="J88" s="36">
        <v>1997</v>
      </c>
      <c r="K88" s="39">
        <v>72.6666666666666</v>
      </c>
      <c r="L88" s="37">
        <v>745000</v>
      </c>
      <c r="M88" s="35" t="s">
        <v>474</v>
      </c>
      <c r="N88" s="27">
        <v>670452</v>
      </c>
      <c r="O88" s="38">
        <v>1.3855205396452599</v>
      </c>
      <c r="P88" s="38">
        <v>103.77211872923699</v>
      </c>
      <c r="Q88" s="38" t="str" cm="1">
        <f t="array" ref="Q88">INDEX('MRT station dataset'!$C$3:$C$179, MATCH(MIN(SQRT(('MRT station dataset'!$E$3:$E$179-'Resale flat dataset (DV)'!O88)^2+('MRT station dataset'!$F$3:$F$179-'Resale flat dataset (DV)'!P88)^2)), SQRT(('MRT station dataset'!$E$3:$E$179-'Resale flat dataset (DV)'!O88)^2+('MRT station dataset'!$F$3:$F$179-'Resale flat dataset (DV)'!P88)^2), 0))</f>
        <v>FAJAR LRT STATION</v>
      </c>
      <c r="R88" s="38" t="str" cm="1">
        <f t="array" ref="R88">INDEX('Mall Dataset'!$B$3:$B$157, MATCH(MIN(SQRT(('Mall Dataset'!$E$3:$E$157-'Resale flat dataset (DV)'!O88)^2+('Mall Dataset'!$F$3:$F$157-'Resale flat dataset (DV)'!P88)^2)), SQRT(('Mall Dataset'!$E$3:$E$157-'Resale flat dataset (DV)'!O88)^2+('Mall Dataset'!$F$3:$F$157-'Resale flat dataset (DV)'!P88)^2), 0))</f>
        <v>Fajar Shopping Centre</v>
      </c>
      <c r="S88" s="38" t="str" cm="1">
        <f t="array" ref="S88">INDEX('Schools dataset'!$B$3:$B$187, MATCH(MIN(SQRT(('Schools dataset'!$J$3:$J$187-'Resale flat dataset (DV)'!O88)^2+('Schools dataset'!$K$3:$K$187-'Resale flat dataset (DV)'!P88)^2)), SQRT(('Schools dataset'!$J$3:$J$187-'Resale flat dataset (DV)'!O88)^2+('Schools dataset'!$K$3:$K$187-'Resale flat dataset (DV)'!P88)^2), 0))</f>
        <v>BEACON PRIMARY SCHOOL</v>
      </c>
      <c r="T88" s="39">
        <f>ACOS(COS(RADIANS(90-O88))*COS(RADIANS(90-_xlfn.XLOOKUP(Q88,'MRT station dataset'!$C$3:$C$179,'MRT station dataset'!$E$3:$E$179)))+SIN(RADIANS(90-O88))*SIN(RADIANS(90-_xlfn.XLOOKUP(Q88,'MRT station dataset'!$C$3:$C$179,'MRT station dataset'!$E$3:$E$179)))*COS(RADIANS(P88-_xlfn.XLOOKUP('Resale flat dataset (DV)'!Q88,'MRT station dataset'!$C$3:$C$179,'MRT station dataset'!$F$3:$F$179))))*6371*1000</f>
        <v>185.3834066352149</v>
      </c>
      <c r="U88" s="39">
        <f>ACOS(COS(RADIANS(90-O88))*COS(RADIANS(90-_xlfn.XLOOKUP(R88,'Mall Dataset'!$B$3:$B$157,'Mall Dataset'!$E$3:$E$157,,0)))+SIN(RADIANS(90-O88))*SIN(RADIANS(90-_xlfn.XLOOKUP(R88,'Mall Dataset'!$B$3:$B$157,'Mall Dataset'!$E$3:$E$157,,0)))*COS(RADIANS(P88-_xlfn.XLOOKUP(R88,'Mall Dataset'!$B$3:$B$157,'Mall Dataset'!$F$3:$F$157,,0))))*6371*1000</f>
        <v>257.15988630836881</v>
      </c>
      <c r="V88" s="39">
        <f>ACOS(COS(RADIANS(90-O88))*COS(RADIANS(90-_xlfn.XLOOKUP(S88,'Schools dataset'!$B$3:$B$187,'Schools dataset'!$J$3:$J$187,,0)))+SIN(RADIANS(90-O88))*SIN(RADIANS(90-_xlfn.XLOOKUP(S88,'Schools dataset'!$B$3:$B$187,'Schools dataset'!$J$3:$J$187,,0)))*COS(RADIANS(P88-_xlfn.XLOOKUP(S88,'Schools dataset'!$B$3:$B$187,'Schools dataset'!$K$3:$K$187,,0))))*6371*1000</f>
        <v>242.5303493508948</v>
      </c>
      <c r="W88" s="20">
        <f>_xlfn.XLOOKUP(T88,'HDB Recommender'!$P$10:$P$39,'HDB Recommender'!$Q$10:$Q$39,"&gt;30mins",1)</f>
        <v>3</v>
      </c>
      <c r="X88" s="20">
        <f>_xlfn.XLOOKUP(U88,'HDB Recommender'!$P$10:$P$39,'HDB Recommender'!$Q$10:$Q$39,"&gt;30mins",1)</f>
        <v>4</v>
      </c>
      <c r="Y88" s="20">
        <f>_xlfn.XLOOKUP(V88,'HDB Recommender'!$P$10:$P$39,'HDB Recommender'!$Q$10:$Q$39,"&gt;30mins",1)</f>
        <v>4</v>
      </c>
      <c r="Z88" s="39">
        <f t="shared" si="2"/>
        <v>3.6666666666666665</v>
      </c>
      <c r="AA88" s="20" t="str">
        <f t="shared" si="3"/>
        <v>Within 1km</v>
      </c>
    </row>
    <row r="89" spans="2:27">
      <c r="B89" s="35" t="s">
        <v>317</v>
      </c>
      <c r="C89" s="35" t="s">
        <v>475</v>
      </c>
      <c r="D89" s="35" t="s">
        <v>318</v>
      </c>
      <c r="E89" s="35">
        <v>8</v>
      </c>
      <c r="F89" s="35" t="s">
        <v>476</v>
      </c>
      <c r="G89" s="35" t="s">
        <v>323</v>
      </c>
      <c r="H89" s="35">
        <v>65</v>
      </c>
      <c r="I89" s="35" t="s">
        <v>326</v>
      </c>
      <c r="J89" s="36">
        <v>1976</v>
      </c>
      <c r="K89" s="39">
        <v>51.5833333333333</v>
      </c>
      <c r="L89" s="37">
        <v>448168</v>
      </c>
      <c r="M89" s="35" t="s">
        <v>477</v>
      </c>
      <c r="N89" s="27">
        <v>260008</v>
      </c>
      <c r="O89" s="38">
        <v>1.3164119009817401</v>
      </c>
      <c r="P89" s="38">
        <v>103.805373811937</v>
      </c>
      <c r="Q89" s="38" t="str" cm="1">
        <f t="array" ref="Q89">INDEX('MRT station dataset'!$C$3:$C$179, MATCH(MIN(SQRT(('MRT station dataset'!$E$3:$E$179-'Resale flat dataset (DV)'!O89)^2+('MRT station dataset'!$F$3:$F$179-'Resale flat dataset (DV)'!P89)^2)), SQRT(('MRT station dataset'!$E$3:$E$179-'Resale flat dataset (DV)'!O89)^2+('MRT station dataset'!$F$3:$F$179-'Resale flat dataset (DV)'!P89)^2), 0))</f>
        <v>FARRER ROAD MRT STATION</v>
      </c>
      <c r="R89" s="38" t="str" cm="1">
        <f t="array" ref="R89">INDEX('Mall Dataset'!$B$3:$B$157, MATCH(MIN(SQRT(('Mall Dataset'!$E$3:$E$157-'Resale flat dataset (DV)'!O89)^2+('Mall Dataset'!$F$3:$F$157-'Resale flat dataset (DV)'!P89)^2)), SQRT(('Mall Dataset'!$E$3:$E$157-'Resale flat dataset (DV)'!O89)^2+('Mall Dataset'!$F$3:$F$157-'Resale flat dataset (DV)'!P89)^2), 0))</f>
        <v>The Star Vista</v>
      </c>
      <c r="S89" s="38" t="str" cm="1">
        <f t="array" ref="S89">INDEX('Schools dataset'!$B$3:$B$187, MATCH(MIN(SQRT(('Schools dataset'!$J$3:$J$187-'Resale flat dataset (DV)'!O89)^2+('Schools dataset'!$K$3:$K$187-'Resale flat dataset (DV)'!P89)^2)), SQRT(('Schools dataset'!$J$3:$J$187-'Resale flat dataset (DV)'!O89)^2+('Schools dataset'!$K$3:$K$187-'Resale flat dataset (DV)'!P89)^2), 0))</f>
        <v>NANYANG PRIMARY SCHOOL</v>
      </c>
      <c r="T89" s="39">
        <f>ACOS(COS(RADIANS(90-O89))*COS(RADIANS(90-_xlfn.XLOOKUP(Q89,'MRT station dataset'!$C$3:$C$179,'MRT station dataset'!$E$3:$E$179)))+SIN(RADIANS(90-O89))*SIN(RADIANS(90-_xlfn.XLOOKUP(Q89,'MRT station dataset'!$C$3:$C$179,'MRT station dataset'!$E$3:$E$179)))*COS(RADIANS(P89-_xlfn.XLOOKUP('Resale flat dataset (DV)'!Q89,'MRT station dataset'!$C$3:$C$179,'MRT station dataset'!$F$3:$F$179))))*6371*1000</f>
        <v>275.46857021512142</v>
      </c>
      <c r="U89" s="39">
        <f>ACOS(COS(RADIANS(90-O89))*COS(RADIANS(90-_xlfn.XLOOKUP(R89,'Mall Dataset'!$B$3:$B$157,'Mall Dataset'!$E$3:$E$157,,0)))+SIN(RADIANS(90-O89))*SIN(RADIANS(90-_xlfn.XLOOKUP(R89,'Mall Dataset'!$B$3:$B$157,'Mall Dataset'!$E$3:$E$157,,0)))*COS(RADIANS(P89-_xlfn.XLOOKUP(R89,'Mall Dataset'!$B$3:$B$157,'Mall Dataset'!$F$3:$F$157,,0))))*6371*1000</f>
        <v>2161.6909915565675</v>
      </c>
      <c r="V89" s="39">
        <f>ACOS(COS(RADIANS(90-O89))*COS(RADIANS(90-_xlfn.XLOOKUP(S89,'Schools dataset'!$B$3:$B$187,'Schools dataset'!$J$3:$J$187,,0)))+SIN(RADIANS(90-O89))*SIN(RADIANS(90-_xlfn.XLOOKUP(S89,'Schools dataset'!$B$3:$B$187,'Schools dataset'!$J$3:$J$187,,0)))*COS(RADIANS(P89-_xlfn.XLOOKUP(S89,'Schools dataset'!$B$3:$B$187,'Schools dataset'!$K$3:$K$187,,0))))*6371*1000</f>
        <v>578.11629795534998</v>
      </c>
      <c r="W89" s="20">
        <f>_xlfn.XLOOKUP(T89,'HDB Recommender'!$P$10:$P$39,'HDB Recommender'!$Q$10:$Q$39,"&gt;30mins",1)</f>
        <v>4</v>
      </c>
      <c r="X89" s="20">
        <f>_xlfn.XLOOKUP(U89,'HDB Recommender'!$P$10:$P$39,'HDB Recommender'!$Q$10:$Q$39,"&gt;30mins",1)</f>
        <v>29</v>
      </c>
      <c r="Y89" s="20">
        <f>_xlfn.XLOOKUP(V89,'HDB Recommender'!$P$10:$P$39,'HDB Recommender'!$Q$10:$Q$39,"&gt;30mins",1)</f>
        <v>8</v>
      </c>
      <c r="Z89" s="39">
        <f t="shared" si="2"/>
        <v>13.666666666666666</v>
      </c>
      <c r="AA89" s="20" t="str">
        <f t="shared" si="3"/>
        <v>Within 1km</v>
      </c>
    </row>
    <row r="90" spans="2:27">
      <c r="B90" s="35" t="s">
        <v>317</v>
      </c>
      <c r="C90" s="35" t="s">
        <v>478</v>
      </c>
      <c r="D90" s="35" t="s">
        <v>318</v>
      </c>
      <c r="E90" s="35">
        <v>3</v>
      </c>
      <c r="F90" s="35" t="s">
        <v>479</v>
      </c>
      <c r="G90" s="35" t="s">
        <v>184</v>
      </c>
      <c r="H90" s="35">
        <v>59</v>
      </c>
      <c r="I90" s="35" t="s">
        <v>326</v>
      </c>
      <c r="J90" s="36">
        <v>1977</v>
      </c>
      <c r="K90" s="39">
        <v>52.4166666666666</v>
      </c>
      <c r="L90" s="37">
        <v>495000</v>
      </c>
      <c r="M90" s="35" t="s">
        <v>480</v>
      </c>
      <c r="N90" s="27" t="s">
        <v>481</v>
      </c>
      <c r="O90" s="38">
        <v>1.2756191858993</v>
      </c>
      <c r="P90" s="38">
        <v>103.842431306625</v>
      </c>
      <c r="Q90" s="38" t="str" cm="1">
        <f t="array" ref="Q90">INDEX('MRT station dataset'!$C$3:$C$179, MATCH(MIN(SQRT(('MRT station dataset'!$E$3:$E$179-'Resale flat dataset (DV)'!O90)^2+('MRT station dataset'!$F$3:$F$179-'Resale flat dataset (DV)'!P90)^2)), SQRT(('MRT station dataset'!$E$3:$E$179-'Resale flat dataset (DV)'!O90)^2+('MRT station dataset'!$F$3:$F$179-'Resale flat dataset (DV)'!P90)^2), 0))</f>
        <v>TANJONG PAGAR MRT STATION</v>
      </c>
      <c r="R90" s="38" t="str" cm="1">
        <f t="array" ref="R90">INDEX('Mall Dataset'!$B$3:$B$157, MATCH(MIN(SQRT(('Mall Dataset'!$E$3:$E$157-'Resale flat dataset (DV)'!O90)^2+('Mall Dataset'!$F$3:$F$157-'Resale flat dataset (DV)'!P90)^2)), SQRT(('Mall Dataset'!$E$3:$E$157-'Resale flat dataset (DV)'!O90)^2+('Mall Dataset'!$F$3:$F$157-'Resale flat dataset (DV)'!P90)^2), 0))</f>
        <v>Tanjong Pagar Plaza</v>
      </c>
      <c r="S90" s="38" t="str" cm="1">
        <f t="array" ref="S90">INDEX('Schools dataset'!$B$3:$B$187, MATCH(MIN(SQRT(('Schools dataset'!$J$3:$J$187-'Resale flat dataset (DV)'!O90)^2+('Schools dataset'!$K$3:$K$187-'Resale flat dataset (DV)'!P90)^2)), SQRT(('Schools dataset'!$J$3:$J$187-'Resale flat dataset (DV)'!O90)^2+('Schools dataset'!$K$3:$K$187-'Resale flat dataset (DV)'!P90)^2), 0))</f>
        <v>ZHANGDE PRIMARY SCHOOL</v>
      </c>
      <c r="T90" s="39">
        <f>ACOS(COS(RADIANS(90-O90))*COS(RADIANS(90-_xlfn.XLOOKUP(Q90,'MRT station dataset'!$C$3:$C$179,'MRT station dataset'!$E$3:$E$179)))+SIN(RADIANS(90-O90))*SIN(RADIANS(90-_xlfn.XLOOKUP(Q90,'MRT station dataset'!$C$3:$C$179,'MRT station dataset'!$E$3:$E$179)))*COS(RADIANS(P90-_xlfn.XLOOKUP('Resale flat dataset (DV)'!Q90,'MRT station dataset'!$C$3:$C$179,'MRT station dataset'!$F$3:$F$179))))*6371*1000</f>
        <v>397.84949332528407</v>
      </c>
      <c r="U90" s="39">
        <f>ACOS(COS(RADIANS(90-O90))*COS(RADIANS(90-_xlfn.XLOOKUP(R90,'Mall Dataset'!$B$3:$B$157,'Mall Dataset'!$E$3:$E$157,,0)))+SIN(RADIANS(90-O90))*SIN(RADIANS(90-_xlfn.XLOOKUP(R90,'Mall Dataset'!$B$3:$B$157,'Mall Dataset'!$E$3:$E$157,,0)))*COS(RADIANS(P90-_xlfn.XLOOKUP(R90,'Mall Dataset'!$B$3:$B$157,'Mall Dataset'!$F$3:$F$157,,0))))*6371*1000</f>
        <v>4.9503091487224093</v>
      </c>
      <c r="V90" s="39">
        <f>ACOS(COS(RADIANS(90-O90))*COS(RADIANS(90-_xlfn.XLOOKUP(S90,'Schools dataset'!$B$3:$B$187,'Schools dataset'!$J$3:$J$187,,0)))+SIN(RADIANS(90-O90))*SIN(RADIANS(90-_xlfn.XLOOKUP(S90,'Schools dataset'!$B$3:$B$187,'Schools dataset'!$J$3:$J$187,,0)))*COS(RADIANS(P90-_xlfn.XLOOKUP(S90,'Schools dataset'!$B$3:$B$187,'Schools dataset'!$K$3:$K$187,,0))))*6371*1000</f>
        <v>2066.145290840961</v>
      </c>
      <c r="W90" s="20">
        <f>_xlfn.XLOOKUP(T90,'HDB Recommender'!$P$10:$P$39,'HDB Recommender'!$Q$10:$Q$39,"&gt;30mins",1)</f>
        <v>6</v>
      </c>
      <c r="X90" s="20">
        <f>_xlfn.XLOOKUP(U90,'HDB Recommender'!$P$10:$P$39,'HDB Recommender'!$Q$10:$Q$39,"&gt;30mins",1)</f>
        <v>2</v>
      </c>
      <c r="Y90" s="20">
        <f>_xlfn.XLOOKUP(V90,'HDB Recommender'!$P$10:$P$39,'HDB Recommender'!$Q$10:$Q$39,"&gt;30mins",1)</f>
        <v>28</v>
      </c>
      <c r="Z90" s="39">
        <f t="shared" si="2"/>
        <v>12</v>
      </c>
      <c r="AA90" s="20" t="str">
        <f t="shared" si="3"/>
        <v>more than 2km</v>
      </c>
    </row>
    <row r="91" spans="2:27">
      <c r="B91" s="35" t="s">
        <v>317</v>
      </c>
      <c r="C91" s="35" t="s">
        <v>482</v>
      </c>
      <c r="D91" s="35" t="s">
        <v>318</v>
      </c>
      <c r="E91" s="35"/>
      <c r="F91" s="35" t="s">
        <v>483</v>
      </c>
      <c r="G91" s="35" t="s">
        <v>184</v>
      </c>
      <c r="H91" s="35">
        <v>67</v>
      </c>
      <c r="I91" s="35" t="s">
        <v>335</v>
      </c>
      <c r="J91" s="36">
        <v>2017</v>
      </c>
      <c r="K91" s="39">
        <v>93</v>
      </c>
      <c r="L91" s="37">
        <v>465000</v>
      </c>
      <c r="M91" s="35" t="s">
        <v>484</v>
      </c>
      <c r="N91" s="27">
        <v>681818</v>
      </c>
      <c r="O91" s="38">
        <v>1.3776293626312299</v>
      </c>
      <c r="P91" s="38">
        <v>103.748488766609</v>
      </c>
      <c r="Q91" s="38" t="str" cm="1">
        <f t="array" ref="Q91">INDEX('MRT station dataset'!$C$3:$C$179, MATCH(MIN(SQRT(('MRT station dataset'!$E$3:$E$179-'Resale flat dataset (DV)'!O91)^2+('MRT station dataset'!$F$3:$F$179-'Resale flat dataset (DV)'!P91)^2)), SQRT(('MRT station dataset'!$E$3:$E$179-'Resale flat dataset (DV)'!O91)^2+('MRT station dataset'!$F$3:$F$179-'Resale flat dataset (DV)'!P91)^2), 0))</f>
        <v>KEAT HONG LRT STATION</v>
      </c>
      <c r="R91" s="38" t="str" cm="1">
        <f t="array" ref="R91">INDEX('Mall Dataset'!$B$3:$B$157, MATCH(MIN(SQRT(('Mall Dataset'!$E$3:$E$157-'Resale flat dataset (DV)'!O91)^2+('Mall Dataset'!$F$3:$F$157-'Resale flat dataset (DV)'!P91)^2)), SQRT(('Mall Dataset'!$E$3:$E$157-'Resale flat dataset (DV)'!O91)^2+('Mall Dataset'!$F$3:$F$157-'Resale flat dataset (DV)'!P91)^2), 0))</f>
        <v>Keat Hong Shopping Centre</v>
      </c>
      <c r="S91" s="38" t="str" cm="1">
        <f t="array" ref="S91">INDEX('Schools dataset'!$B$3:$B$187, MATCH(MIN(SQRT(('Schools dataset'!$J$3:$J$187-'Resale flat dataset (DV)'!O91)^2+('Schools dataset'!$K$3:$K$187-'Resale flat dataset (DV)'!P91)^2)), SQRT(('Schools dataset'!$J$3:$J$187-'Resale flat dataset (DV)'!O91)^2+('Schools dataset'!$K$3:$K$187-'Resale flat dataset (DV)'!P91)^2), 0))</f>
        <v>SOUTH VIEW PRIMARY SCHOOL</v>
      </c>
      <c r="T91" s="39">
        <f>ACOS(COS(RADIANS(90-O91))*COS(RADIANS(90-_xlfn.XLOOKUP(Q91,'MRT station dataset'!$C$3:$C$179,'MRT station dataset'!$E$3:$E$179)))+SIN(RADIANS(90-O91))*SIN(RADIANS(90-_xlfn.XLOOKUP(Q91,'MRT station dataset'!$C$3:$C$179,'MRT station dataset'!$E$3:$E$179)))*COS(RADIANS(P91-_xlfn.XLOOKUP('Resale flat dataset (DV)'!Q91,'MRT station dataset'!$C$3:$C$179,'MRT station dataset'!$F$3:$F$179))))*6371*1000</f>
        <v>127.53662484497875</v>
      </c>
      <c r="U91" s="39">
        <f>ACOS(COS(RADIANS(90-O91))*COS(RADIANS(90-_xlfn.XLOOKUP(R91,'Mall Dataset'!$B$3:$B$157,'Mall Dataset'!$E$3:$E$157,,0)))+SIN(RADIANS(90-O91))*SIN(RADIANS(90-_xlfn.XLOOKUP(R91,'Mall Dataset'!$B$3:$B$157,'Mall Dataset'!$E$3:$E$157,,0)))*COS(RADIANS(P91-_xlfn.XLOOKUP(R91,'Mall Dataset'!$B$3:$B$157,'Mall Dataset'!$F$3:$F$157,,0))))*6371*1000</f>
        <v>456.16516385495441</v>
      </c>
      <c r="V91" s="39">
        <f>ACOS(COS(RADIANS(90-O91))*COS(RADIANS(90-_xlfn.XLOOKUP(S91,'Schools dataset'!$B$3:$B$187,'Schools dataset'!$J$3:$J$187,,0)))+SIN(RADIANS(90-O91))*SIN(RADIANS(90-_xlfn.XLOOKUP(S91,'Schools dataset'!$B$3:$B$187,'Schools dataset'!$J$3:$J$187,,0)))*COS(RADIANS(P91-_xlfn.XLOOKUP(S91,'Schools dataset'!$B$3:$B$187,'Schools dataset'!$K$3:$K$187,,0))))*6371*1000</f>
        <v>448.04405864001518</v>
      </c>
      <c r="W91" s="20">
        <f>_xlfn.XLOOKUP(T91,'HDB Recommender'!$P$10:$P$39,'HDB Recommender'!$Q$10:$Q$39,"&gt;30mins",1)</f>
        <v>2</v>
      </c>
      <c r="X91" s="20">
        <f>_xlfn.XLOOKUP(U91,'HDB Recommender'!$P$10:$P$39,'HDB Recommender'!$Q$10:$Q$39,"&gt;30mins",1)</f>
        <v>7</v>
      </c>
      <c r="Y91" s="20">
        <f>_xlfn.XLOOKUP(V91,'HDB Recommender'!$P$10:$P$39,'HDB Recommender'!$Q$10:$Q$39,"&gt;30mins",1)</f>
        <v>6</v>
      </c>
      <c r="Z91" s="39">
        <f t="shared" si="2"/>
        <v>5</v>
      </c>
      <c r="AA91" s="20" t="str">
        <f t="shared" si="3"/>
        <v>Within 1km</v>
      </c>
    </row>
    <row r="92" spans="2:27">
      <c r="B92" s="35" t="s">
        <v>317</v>
      </c>
      <c r="C92" s="35" t="s">
        <v>482</v>
      </c>
      <c r="D92" s="35" t="s">
        <v>318</v>
      </c>
      <c r="E92" s="35"/>
      <c r="F92" s="35" t="s">
        <v>485</v>
      </c>
      <c r="G92" s="35" t="s">
        <v>323</v>
      </c>
      <c r="H92" s="35">
        <v>68</v>
      </c>
      <c r="I92" s="35" t="s">
        <v>335</v>
      </c>
      <c r="J92" s="36">
        <v>2015</v>
      </c>
      <c r="K92" s="39">
        <v>90.4166666666666</v>
      </c>
      <c r="L92" s="37">
        <v>408600</v>
      </c>
      <c r="M92" s="35" t="s">
        <v>486</v>
      </c>
      <c r="N92" s="27">
        <v>682166</v>
      </c>
      <c r="O92" s="38">
        <v>1.3831598930826601</v>
      </c>
      <c r="P92" s="38">
        <v>103.753400918803</v>
      </c>
      <c r="Q92" s="38" t="str" cm="1">
        <f t="array" ref="Q92">INDEX('MRT station dataset'!$C$3:$C$179, MATCH(MIN(SQRT(('MRT station dataset'!$E$3:$E$179-'Resale flat dataset (DV)'!O92)^2+('MRT station dataset'!$F$3:$F$179-'Resale flat dataset (DV)'!P92)^2)), SQRT(('MRT station dataset'!$E$3:$E$179-'Resale flat dataset (DV)'!O92)^2+('MRT station dataset'!$F$3:$F$179-'Resale flat dataset (DV)'!P92)^2), 0))</f>
        <v>KEAT HONG LRT STATION</v>
      </c>
      <c r="R92" s="38" t="str" cm="1">
        <f t="array" ref="R92">INDEX('Mall Dataset'!$B$3:$B$157, MATCH(MIN(SQRT(('Mall Dataset'!$E$3:$E$157-'Resale flat dataset (DV)'!O92)^2+('Mall Dataset'!$F$3:$F$157-'Resale flat dataset (DV)'!P92)^2)), SQRT(('Mall Dataset'!$E$3:$E$157-'Resale flat dataset (DV)'!O92)^2+('Mall Dataset'!$F$3:$F$157-'Resale flat dataset (DV)'!P92)^2), 0))</f>
        <v>Teck Whye Shopping Centre</v>
      </c>
      <c r="S92" s="38" t="str" cm="1">
        <f t="array" ref="S92">INDEX('Schools dataset'!$B$3:$B$187, MATCH(MIN(SQRT(('Schools dataset'!$J$3:$J$187-'Resale flat dataset (DV)'!O92)^2+('Schools dataset'!$K$3:$K$187-'Resale flat dataset (DV)'!P92)^2)), SQRT(('Schools dataset'!$J$3:$J$187-'Resale flat dataset (DV)'!O92)^2+('Schools dataset'!$K$3:$K$187-'Resale flat dataset (DV)'!P92)^2), 0))</f>
        <v>TECK WHYE PRIMARY SCHOOL</v>
      </c>
      <c r="T92" s="39">
        <f>ACOS(COS(RADIANS(90-O92))*COS(RADIANS(90-_xlfn.XLOOKUP(Q92,'MRT station dataset'!$C$3:$C$179,'MRT station dataset'!$E$3:$E$179)))+SIN(RADIANS(90-O92))*SIN(RADIANS(90-_xlfn.XLOOKUP(Q92,'MRT station dataset'!$C$3:$C$179,'MRT station dataset'!$E$3:$E$179)))*COS(RADIANS(P92-_xlfn.XLOOKUP('Resale flat dataset (DV)'!Q92,'MRT station dataset'!$C$3:$C$179,'MRT station dataset'!$F$3:$F$179))))*6371*1000</f>
        <v>696.89849026529953</v>
      </c>
      <c r="U92" s="39">
        <f>ACOS(COS(RADIANS(90-O92))*COS(RADIANS(90-_xlfn.XLOOKUP(R92,'Mall Dataset'!$B$3:$B$157,'Mall Dataset'!$E$3:$E$157,,0)))+SIN(RADIANS(90-O92))*SIN(RADIANS(90-_xlfn.XLOOKUP(R92,'Mall Dataset'!$B$3:$B$157,'Mall Dataset'!$E$3:$E$157,,0)))*COS(RADIANS(P92-_xlfn.XLOOKUP(R92,'Mall Dataset'!$B$3:$B$157,'Mall Dataset'!$F$3:$F$157,,0))))*6371*1000</f>
        <v>360.78167499477252</v>
      </c>
      <c r="V92" s="39">
        <f>ACOS(COS(RADIANS(90-O92))*COS(RADIANS(90-_xlfn.XLOOKUP(S92,'Schools dataset'!$B$3:$B$187,'Schools dataset'!$J$3:$J$187,,0)))+SIN(RADIANS(90-O92))*SIN(RADIANS(90-_xlfn.XLOOKUP(S92,'Schools dataset'!$B$3:$B$187,'Schools dataset'!$J$3:$J$187,,0)))*COS(RADIANS(P92-_xlfn.XLOOKUP(S92,'Schools dataset'!$B$3:$B$187,'Schools dataset'!$K$3:$K$187,,0))))*6371*1000</f>
        <v>55.82615286522352</v>
      </c>
      <c r="W92" s="20">
        <f>_xlfn.XLOOKUP(T92,'HDB Recommender'!$P$10:$P$39,'HDB Recommender'!$Q$10:$Q$39,"&gt;30mins",1)</f>
        <v>10</v>
      </c>
      <c r="X92" s="20">
        <f>_xlfn.XLOOKUP(U92,'HDB Recommender'!$P$10:$P$39,'HDB Recommender'!$Q$10:$Q$39,"&gt;30mins",1)</f>
        <v>5</v>
      </c>
      <c r="Y92" s="20">
        <f>_xlfn.XLOOKUP(V92,'HDB Recommender'!$P$10:$P$39,'HDB Recommender'!$Q$10:$Q$39,"&gt;30mins",1)</f>
        <v>2</v>
      </c>
      <c r="Z92" s="39">
        <f t="shared" si="2"/>
        <v>5.666666666666667</v>
      </c>
      <c r="AA92" s="20" t="str">
        <f t="shared" si="3"/>
        <v>Within 1km</v>
      </c>
    </row>
    <row r="93" spans="2:27">
      <c r="B93" s="35" t="s">
        <v>317</v>
      </c>
      <c r="C93" s="35" t="s">
        <v>482</v>
      </c>
      <c r="D93" s="35" t="s">
        <v>318</v>
      </c>
      <c r="E93" s="35"/>
      <c r="F93" s="35" t="s">
        <v>485</v>
      </c>
      <c r="G93" s="35" t="s">
        <v>184</v>
      </c>
      <c r="H93" s="35">
        <v>68</v>
      </c>
      <c r="I93" s="35" t="s">
        <v>335</v>
      </c>
      <c r="J93" s="36">
        <v>2015</v>
      </c>
      <c r="K93" s="39">
        <v>90.4166666666666</v>
      </c>
      <c r="L93" s="37">
        <v>417000</v>
      </c>
      <c r="M93" s="35" t="s">
        <v>486</v>
      </c>
      <c r="N93" s="27">
        <v>682166</v>
      </c>
      <c r="O93" s="38">
        <v>1.3831598930826601</v>
      </c>
      <c r="P93" s="38">
        <v>103.753400918803</v>
      </c>
      <c r="Q93" s="38" t="str" cm="1">
        <f t="array" ref="Q93">INDEX('MRT station dataset'!$C$3:$C$179, MATCH(MIN(SQRT(('MRT station dataset'!$E$3:$E$179-'Resale flat dataset (DV)'!O93)^2+('MRT station dataset'!$F$3:$F$179-'Resale flat dataset (DV)'!P93)^2)), SQRT(('MRT station dataset'!$E$3:$E$179-'Resale flat dataset (DV)'!O93)^2+('MRT station dataset'!$F$3:$F$179-'Resale flat dataset (DV)'!P93)^2), 0))</f>
        <v>KEAT HONG LRT STATION</v>
      </c>
      <c r="R93" s="38" t="str" cm="1">
        <f t="array" ref="R93">INDEX('Mall Dataset'!$B$3:$B$157, MATCH(MIN(SQRT(('Mall Dataset'!$E$3:$E$157-'Resale flat dataset (DV)'!O93)^2+('Mall Dataset'!$F$3:$F$157-'Resale flat dataset (DV)'!P93)^2)), SQRT(('Mall Dataset'!$E$3:$E$157-'Resale flat dataset (DV)'!O93)^2+('Mall Dataset'!$F$3:$F$157-'Resale flat dataset (DV)'!P93)^2), 0))</f>
        <v>Teck Whye Shopping Centre</v>
      </c>
      <c r="S93" s="38" t="str" cm="1">
        <f t="array" ref="S93">INDEX('Schools dataset'!$B$3:$B$187, MATCH(MIN(SQRT(('Schools dataset'!$J$3:$J$187-'Resale flat dataset (DV)'!O93)^2+('Schools dataset'!$K$3:$K$187-'Resale flat dataset (DV)'!P93)^2)), SQRT(('Schools dataset'!$J$3:$J$187-'Resale flat dataset (DV)'!O93)^2+('Schools dataset'!$K$3:$K$187-'Resale flat dataset (DV)'!P93)^2), 0))</f>
        <v>TECK WHYE PRIMARY SCHOOL</v>
      </c>
      <c r="T93" s="39">
        <f>ACOS(COS(RADIANS(90-O93))*COS(RADIANS(90-_xlfn.XLOOKUP(Q93,'MRT station dataset'!$C$3:$C$179,'MRT station dataset'!$E$3:$E$179)))+SIN(RADIANS(90-O93))*SIN(RADIANS(90-_xlfn.XLOOKUP(Q93,'MRT station dataset'!$C$3:$C$179,'MRT station dataset'!$E$3:$E$179)))*COS(RADIANS(P93-_xlfn.XLOOKUP('Resale flat dataset (DV)'!Q93,'MRT station dataset'!$C$3:$C$179,'MRT station dataset'!$F$3:$F$179))))*6371*1000</f>
        <v>696.89849026529953</v>
      </c>
      <c r="U93" s="39">
        <f>ACOS(COS(RADIANS(90-O93))*COS(RADIANS(90-_xlfn.XLOOKUP(R93,'Mall Dataset'!$B$3:$B$157,'Mall Dataset'!$E$3:$E$157,,0)))+SIN(RADIANS(90-O93))*SIN(RADIANS(90-_xlfn.XLOOKUP(R93,'Mall Dataset'!$B$3:$B$157,'Mall Dataset'!$E$3:$E$157,,0)))*COS(RADIANS(P93-_xlfn.XLOOKUP(R93,'Mall Dataset'!$B$3:$B$157,'Mall Dataset'!$F$3:$F$157,,0))))*6371*1000</f>
        <v>360.78167499477252</v>
      </c>
      <c r="V93" s="39">
        <f>ACOS(COS(RADIANS(90-O93))*COS(RADIANS(90-_xlfn.XLOOKUP(S93,'Schools dataset'!$B$3:$B$187,'Schools dataset'!$J$3:$J$187,,0)))+SIN(RADIANS(90-O93))*SIN(RADIANS(90-_xlfn.XLOOKUP(S93,'Schools dataset'!$B$3:$B$187,'Schools dataset'!$J$3:$J$187,,0)))*COS(RADIANS(P93-_xlfn.XLOOKUP(S93,'Schools dataset'!$B$3:$B$187,'Schools dataset'!$K$3:$K$187,,0))))*6371*1000</f>
        <v>55.82615286522352</v>
      </c>
      <c r="W93" s="20">
        <f>_xlfn.XLOOKUP(T93,'HDB Recommender'!$P$10:$P$39,'HDB Recommender'!$Q$10:$Q$39,"&gt;30mins",1)</f>
        <v>10</v>
      </c>
      <c r="X93" s="20">
        <f>_xlfn.XLOOKUP(U93,'HDB Recommender'!$P$10:$P$39,'HDB Recommender'!$Q$10:$Q$39,"&gt;30mins",1)</f>
        <v>5</v>
      </c>
      <c r="Y93" s="20">
        <f>_xlfn.XLOOKUP(V93,'HDB Recommender'!$P$10:$P$39,'HDB Recommender'!$Q$10:$Q$39,"&gt;30mins",1)</f>
        <v>2</v>
      </c>
      <c r="Z93" s="39">
        <f t="shared" si="2"/>
        <v>5.666666666666667</v>
      </c>
      <c r="AA93" s="20" t="str">
        <f t="shared" si="3"/>
        <v>Within 1km</v>
      </c>
    </row>
    <row r="94" spans="2:27">
      <c r="B94" s="35" t="s">
        <v>317</v>
      </c>
      <c r="C94" s="35" t="s">
        <v>482</v>
      </c>
      <c r="D94" s="35" t="s">
        <v>318</v>
      </c>
      <c r="E94" s="35">
        <v>16</v>
      </c>
      <c r="F94" s="35" t="s">
        <v>487</v>
      </c>
      <c r="G94" s="35" t="s">
        <v>191</v>
      </c>
      <c r="H94" s="35">
        <v>82</v>
      </c>
      <c r="I94" s="35" t="s">
        <v>320</v>
      </c>
      <c r="J94" s="36">
        <v>1979</v>
      </c>
      <c r="K94" s="39">
        <v>54.5</v>
      </c>
      <c r="L94" s="37">
        <v>370000</v>
      </c>
      <c r="M94" s="35" t="s">
        <v>488</v>
      </c>
      <c r="N94" s="27">
        <v>680016</v>
      </c>
      <c r="O94" s="38">
        <v>1.37842710387364</v>
      </c>
      <c r="P94" s="38">
        <v>103.75491181557599</v>
      </c>
      <c r="Q94" s="38" t="str" cm="1">
        <f t="array" ref="Q94">INDEX('MRT station dataset'!$C$3:$C$179, MATCH(MIN(SQRT(('MRT station dataset'!$E$3:$E$179-'Resale flat dataset (DV)'!O94)^2+('MRT station dataset'!$F$3:$F$179-'Resale flat dataset (DV)'!P94)^2)), SQRT(('MRT station dataset'!$E$3:$E$179-'Resale flat dataset (DV)'!O94)^2+('MRT station dataset'!$F$3:$F$179-'Resale flat dataset (DV)'!P94)^2), 0))</f>
        <v>TECK WHYE LRT STATION</v>
      </c>
      <c r="R94" s="38" t="str" cm="1">
        <f t="array" ref="R94">INDEX('Mall Dataset'!$B$3:$B$157, MATCH(MIN(SQRT(('Mall Dataset'!$E$3:$E$157-'Resale flat dataset (DV)'!O94)^2+('Mall Dataset'!$F$3:$F$157-'Resale flat dataset (DV)'!P94)^2)), SQRT(('Mall Dataset'!$E$3:$E$157-'Resale flat dataset (DV)'!O94)^2+('Mall Dataset'!$F$3:$F$157-'Resale flat dataset (DV)'!P94)^2), 0))</f>
        <v>Teck Whye Shopping Centre</v>
      </c>
      <c r="S94" s="38" t="str" cm="1">
        <f t="array" ref="S94">INDEX('Schools dataset'!$B$3:$B$187, MATCH(MIN(SQRT(('Schools dataset'!$J$3:$J$187-'Resale flat dataset (DV)'!O94)^2+('Schools dataset'!$K$3:$K$187-'Resale flat dataset (DV)'!P94)^2)), SQRT(('Schools dataset'!$J$3:$J$187-'Resale flat dataset (DV)'!O94)^2+('Schools dataset'!$K$3:$K$187-'Resale flat dataset (DV)'!P94)^2), 0))</f>
        <v>TECK WHYE PRIMARY SCHOOL</v>
      </c>
      <c r="T94" s="39">
        <f>ACOS(COS(RADIANS(90-O94))*COS(RADIANS(90-_xlfn.XLOOKUP(Q94,'MRT station dataset'!$C$3:$C$179,'MRT station dataset'!$E$3:$E$179)))+SIN(RADIANS(90-O94))*SIN(RADIANS(90-_xlfn.XLOOKUP(Q94,'MRT station dataset'!$C$3:$C$179,'MRT station dataset'!$E$3:$E$179)))*COS(RADIANS(P94-_xlfn.XLOOKUP('Resale flat dataset (DV)'!Q94,'MRT station dataset'!$C$3:$C$179,'MRT station dataset'!$F$3:$F$179))))*6371*1000</f>
        <v>234.58008824016386</v>
      </c>
      <c r="U94" s="39">
        <f>ACOS(COS(RADIANS(90-O94))*COS(RADIANS(90-_xlfn.XLOOKUP(R94,'Mall Dataset'!$B$3:$B$157,'Mall Dataset'!$E$3:$E$157,,0)))+SIN(RADIANS(90-O94))*SIN(RADIANS(90-_xlfn.XLOOKUP(R94,'Mall Dataset'!$B$3:$B$157,'Mall Dataset'!$E$3:$E$157,,0)))*COS(RADIANS(P94-_xlfn.XLOOKUP(R94,'Mall Dataset'!$B$3:$B$157,'Mall Dataset'!$F$3:$F$157,,0))))*6371*1000</f>
        <v>324.51824709559276</v>
      </c>
      <c r="V94" s="39">
        <f>ACOS(COS(RADIANS(90-O94))*COS(RADIANS(90-_xlfn.XLOOKUP(S94,'Schools dataset'!$B$3:$B$187,'Schools dataset'!$J$3:$J$187,,0)))+SIN(RADIANS(90-O94))*SIN(RADIANS(90-_xlfn.XLOOKUP(S94,'Schools dataset'!$B$3:$B$187,'Schools dataset'!$J$3:$J$187,,0)))*COS(RADIANS(P94-_xlfn.XLOOKUP(S94,'Schools dataset'!$B$3:$B$187,'Schools dataset'!$K$3:$K$187,,0))))*6371*1000</f>
        <v>608.03451113860297</v>
      </c>
      <c r="W94" s="20">
        <f>_xlfn.XLOOKUP(T94,'HDB Recommender'!$P$10:$P$39,'HDB Recommender'!$Q$10:$Q$39,"&gt;30mins",1)</f>
        <v>4</v>
      </c>
      <c r="X94" s="20">
        <f>_xlfn.XLOOKUP(U94,'HDB Recommender'!$P$10:$P$39,'HDB Recommender'!$Q$10:$Q$39,"&gt;30mins",1)</f>
        <v>5</v>
      </c>
      <c r="Y94" s="20">
        <f>_xlfn.XLOOKUP(V94,'HDB Recommender'!$P$10:$P$39,'HDB Recommender'!$Q$10:$Q$39,"&gt;30mins",1)</f>
        <v>9</v>
      </c>
      <c r="Z94" s="39">
        <f t="shared" si="2"/>
        <v>6</v>
      </c>
      <c r="AA94" s="20" t="str">
        <f t="shared" si="3"/>
        <v>Within 1km</v>
      </c>
    </row>
    <row r="95" spans="2:27">
      <c r="B95" s="35" t="s">
        <v>317</v>
      </c>
      <c r="C95" s="35" t="s">
        <v>482</v>
      </c>
      <c r="D95" s="35" t="s">
        <v>318</v>
      </c>
      <c r="E95" s="35">
        <v>26</v>
      </c>
      <c r="F95" s="35" t="s">
        <v>487</v>
      </c>
      <c r="G95" s="35" t="s">
        <v>184</v>
      </c>
      <c r="H95" s="35">
        <v>74</v>
      </c>
      <c r="I95" s="35" t="s">
        <v>320</v>
      </c>
      <c r="J95" s="36">
        <v>1979</v>
      </c>
      <c r="K95" s="39">
        <v>54.5</v>
      </c>
      <c r="L95" s="37">
        <v>368888</v>
      </c>
      <c r="M95" s="35" t="s">
        <v>489</v>
      </c>
      <c r="N95" s="27">
        <v>680026</v>
      </c>
      <c r="O95" s="38">
        <v>1.37762112372223</v>
      </c>
      <c r="P95" s="38">
        <v>103.755740001262</v>
      </c>
      <c r="Q95" s="38" t="str" cm="1">
        <f t="array" ref="Q95">INDEX('MRT station dataset'!$C$3:$C$179, MATCH(MIN(SQRT(('MRT station dataset'!$E$3:$E$179-'Resale flat dataset (DV)'!O95)^2+('MRT station dataset'!$F$3:$F$179-'Resale flat dataset (DV)'!P95)^2)), SQRT(('MRT station dataset'!$E$3:$E$179-'Resale flat dataset (DV)'!O95)^2+('MRT station dataset'!$F$3:$F$179-'Resale flat dataset (DV)'!P95)^2), 0))</f>
        <v>TECK WHYE LRT STATION</v>
      </c>
      <c r="R95" s="38" t="str" cm="1">
        <f t="array" ref="R95">INDEX('Mall Dataset'!$B$3:$B$157, MATCH(MIN(SQRT(('Mall Dataset'!$E$3:$E$157-'Resale flat dataset (DV)'!O95)^2+('Mall Dataset'!$F$3:$F$157-'Resale flat dataset (DV)'!P95)^2)), SQRT(('Mall Dataset'!$E$3:$E$157-'Resale flat dataset (DV)'!O95)^2+('Mall Dataset'!$F$3:$F$157-'Resale flat dataset (DV)'!P95)^2), 0))</f>
        <v>Teck Whye Shopping Centre</v>
      </c>
      <c r="S95" s="38" t="str" cm="1">
        <f t="array" ref="S95">INDEX('Schools dataset'!$B$3:$B$187, MATCH(MIN(SQRT(('Schools dataset'!$J$3:$J$187-'Resale flat dataset (DV)'!O95)^2+('Schools dataset'!$K$3:$K$187-'Resale flat dataset (DV)'!P95)^2)), SQRT(('Schools dataset'!$J$3:$J$187-'Resale flat dataset (DV)'!O95)^2+('Schools dataset'!$K$3:$K$187-'Resale flat dataset (DV)'!P95)^2), 0))</f>
        <v>TECK WHYE PRIMARY SCHOOL</v>
      </c>
      <c r="T95" s="39">
        <f>ACOS(COS(RADIANS(90-O95))*COS(RADIANS(90-_xlfn.XLOOKUP(Q95,'MRT station dataset'!$C$3:$C$179,'MRT station dataset'!$E$3:$E$179)))+SIN(RADIANS(90-O95))*SIN(RADIANS(90-_xlfn.XLOOKUP(Q95,'MRT station dataset'!$C$3:$C$179,'MRT station dataset'!$E$3:$E$179)))*COS(RADIANS(P95-_xlfn.XLOOKUP('Resale flat dataset (DV)'!Q95,'MRT station dataset'!$C$3:$C$179,'MRT station dataset'!$F$3:$F$179))))*6371*1000</f>
        <v>248.83005223125343</v>
      </c>
      <c r="U95" s="39">
        <f>ACOS(COS(RADIANS(90-O95))*COS(RADIANS(90-_xlfn.XLOOKUP(R95,'Mall Dataset'!$B$3:$B$157,'Mall Dataset'!$E$3:$E$157,,0)))+SIN(RADIANS(90-O95))*SIN(RADIANS(90-_xlfn.XLOOKUP(R95,'Mall Dataset'!$B$3:$B$157,'Mall Dataset'!$E$3:$E$157,,0)))*COS(RADIANS(P95-_xlfn.XLOOKUP(R95,'Mall Dataset'!$B$3:$B$157,'Mall Dataset'!$F$3:$F$157,,0))))*6371*1000</f>
        <v>451.45531444432964</v>
      </c>
      <c r="V95" s="39">
        <f>ACOS(COS(RADIANS(90-O95))*COS(RADIANS(90-_xlfn.XLOOKUP(S95,'Schools dataset'!$B$3:$B$187,'Schools dataset'!$J$3:$J$187,,0)))+SIN(RADIANS(90-O95))*SIN(RADIANS(90-_xlfn.XLOOKUP(S95,'Schools dataset'!$B$3:$B$187,'Schools dataset'!$J$3:$J$187,,0)))*COS(RADIANS(P95-_xlfn.XLOOKUP(S95,'Schools dataset'!$B$3:$B$187,'Schools dataset'!$K$3:$K$187,,0))))*6371*1000</f>
        <v>723.50992226494611</v>
      </c>
      <c r="W95" s="20">
        <f>_xlfn.XLOOKUP(T95,'HDB Recommender'!$P$10:$P$39,'HDB Recommender'!$Q$10:$Q$39,"&gt;30mins",1)</f>
        <v>4</v>
      </c>
      <c r="X95" s="20">
        <f>_xlfn.XLOOKUP(U95,'HDB Recommender'!$P$10:$P$39,'HDB Recommender'!$Q$10:$Q$39,"&gt;30mins",1)</f>
        <v>7</v>
      </c>
      <c r="Y95" s="20">
        <f>_xlfn.XLOOKUP(V95,'HDB Recommender'!$P$10:$P$39,'HDB Recommender'!$Q$10:$Q$39,"&gt;30mins",1)</f>
        <v>10</v>
      </c>
      <c r="Z95" s="39">
        <f t="shared" si="2"/>
        <v>7</v>
      </c>
      <c r="AA95" s="20" t="str">
        <f t="shared" si="3"/>
        <v>Within 1km</v>
      </c>
    </row>
    <row r="96" spans="2:27">
      <c r="B96" s="35" t="s">
        <v>317</v>
      </c>
      <c r="C96" s="35" t="s">
        <v>482</v>
      </c>
      <c r="D96" s="35" t="s">
        <v>20</v>
      </c>
      <c r="E96" s="35"/>
      <c r="F96" s="35" t="s">
        <v>483</v>
      </c>
      <c r="G96" s="35" t="s">
        <v>189</v>
      </c>
      <c r="H96" s="35">
        <v>92</v>
      </c>
      <c r="I96" s="35" t="s">
        <v>335</v>
      </c>
      <c r="J96" s="36">
        <v>2017</v>
      </c>
      <c r="K96" s="39">
        <v>93.0833333333333</v>
      </c>
      <c r="L96" s="37">
        <v>525888</v>
      </c>
      <c r="M96" s="35" t="s">
        <v>490</v>
      </c>
      <c r="N96" s="27">
        <v>683818</v>
      </c>
      <c r="O96" s="38">
        <v>1.3767218404141599</v>
      </c>
      <c r="P96" s="38">
        <v>103.74815008318301</v>
      </c>
      <c r="Q96" s="38" t="str" cm="1">
        <f t="array" ref="Q96">INDEX('MRT station dataset'!$C$3:$C$179, MATCH(MIN(SQRT(('MRT station dataset'!$E$3:$E$179-'Resale flat dataset (DV)'!O96)^2+('MRT station dataset'!$F$3:$F$179-'Resale flat dataset (DV)'!P96)^2)), SQRT(('MRT station dataset'!$E$3:$E$179-'Resale flat dataset (DV)'!O96)^2+('MRT station dataset'!$F$3:$F$179-'Resale flat dataset (DV)'!P96)^2), 0))</f>
        <v>KEAT HONG LRT STATION</v>
      </c>
      <c r="R96" s="38" t="str" cm="1">
        <f t="array" ref="R96">INDEX('Mall Dataset'!$B$3:$B$157, MATCH(MIN(SQRT(('Mall Dataset'!$E$3:$E$157-'Resale flat dataset (DV)'!O96)^2+('Mall Dataset'!$F$3:$F$157-'Resale flat dataset (DV)'!P96)^2)), SQRT(('Mall Dataset'!$E$3:$E$157-'Resale flat dataset (DV)'!O96)^2+('Mall Dataset'!$F$3:$F$157-'Resale flat dataset (DV)'!P96)^2), 0))</f>
        <v>Keat Hong Shopping Centre</v>
      </c>
      <c r="S96" s="38" t="str" cm="1">
        <f t="array" ref="S96">INDEX('Schools dataset'!$B$3:$B$187, MATCH(MIN(SQRT(('Schools dataset'!$J$3:$J$187-'Resale flat dataset (DV)'!O96)^2+('Schools dataset'!$K$3:$K$187-'Resale flat dataset (DV)'!P96)^2)), SQRT(('Schools dataset'!$J$3:$J$187-'Resale flat dataset (DV)'!O96)^2+('Schools dataset'!$K$3:$K$187-'Resale flat dataset (DV)'!P96)^2), 0))</f>
        <v>SOUTH VIEW PRIMARY SCHOOL</v>
      </c>
      <c r="T96" s="39">
        <f>ACOS(COS(RADIANS(90-O96))*COS(RADIANS(90-_xlfn.XLOOKUP(Q96,'MRT station dataset'!$C$3:$C$179,'MRT station dataset'!$E$3:$E$179)))+SIN(RADIANS(90-O96))*SIN(RADIANS(90-_xlfn.XLOOKUP(Q96,'MRT station dataset'!$C$3:$C$179,'MRT station dataset'!$E$3:$E$179)))*COS(RADIANS(P96-_xlfn.XLOOKUP('Resale flat dataset (DV)'!Q96,'MRT station dataset'!$C$3:$C$179,'MRT station dataset'!$F$3:$F$179))))*6371*1000</f>
        <v>234.01984220509721</v>
      </c>
      <c r="U96" s="39">
        <f>ACOS(COS(RADIANS(90-O96))*COS(RADIANS(90-_xlfn.XLOOKUP(R96,'Mall Dataset'!$B$3:$B$157,'Mall Dataset'!$E$3:$E$157,,0)))+SIN(RADIANS(90-O96))*SIN(RADIANS(90-_xlfn.XLOOKUP(R96,'Mall Dataset'!$B$3:$B$157,'Mall Dataset'!$E$3:$E$157,,0)))*COS(RADIANS(P96-_xlfn.XLOOKUP(R96,'Mall Dataset'!$B$3:$B$157,'Mall Dataset'!$F$3:$F$157,,0))))*6371*1000</f>
        <v>423.67583491281977</v>
      </c>
      <c r="V96" s="39">
        <f>ACOS(COS(RADIANS(90-O96))*COS(RADIANS(90-_xlfn.XLOOKUP(S96,'Schools dataset'!$B$3:$B$187,'Schools dataset'!$J$3:$J$187,,0)))+SIN(RADIANS(90-O96))*SIN(RADIANS(90-_xlfn.XLOOKUP(S96,'Schools dataset'!$B$3:$B$187,'Schools dataset'!$J$3:$J$187,,0)))*COS(RADIANS(P96-_xlfn.XLOOKUP(S96,'Schools dataset'!$B$3:$B$187,'Schools dataset'!$K$3:$K$187,,0))))*6371*1000</f>
        <v>535.24743276303741</v>
      </c>
      <c r="W96" s="20">
        <f>_xlfn.XLOOKUP(T96,'HDB Recommender'!$P$10:$P$39,'HDB Recommender'!$Q$10:$Q$39,"&gt;30mins",1)</f>
        <v>4</v>
      </c>
      <c r="X96" s="20">
        <f>_xlfn.XLOOKUP(U96,'HDB Recommender'!$P$10:$P$39,'HDB Recommender'!$Q$10:$Q$39,"&gt;30mins",1)</f>
        <v>6</v>
      </c>
      <c r="Y96" s="20">
        <f>_xlfn.XLOOKUP(V96,'HDB Recommender'!$P$10:$P$39,'HDB Recommender'!$Q$10:$Q$39,"&gt;30mins",1)</f>
        <v>8</v>
      </c>
      <c r="Z96" s="39">
        <f t="shared" si="2"/>
        <v>6</v>
      </c>
      <c r="AA96" s="20" t="str">
        <f t="shared" si="3"/>
        <v>Within 1km</v>
      </c>
    </row>
    <row r="97" spans="2:27">
      <c r="B97" s="35" t="s">
        <v>317</v>
      </c>
      <c r="C97" s="35" t="s">
        <v>482</v>
      </c>
      <c r="D97" s="35" t="s">
        <v>20</v>
      </c>
      <c r="E97" s="35"/>
      <c r="F97" s="35" t="s">
        <v>483</v>
      </c>
      <c r="G97" s="35" t="s">
        <v>323</v>
      </c>
      <c r="H97" s="35">
        <v>92</v>
      </c>
      <c r="I97" s="35" t="s">
        <v>335</v>
      </c>
      <c r="J97" s="36">
        <v>2017</v>
      </c>
      <c r="K97" s="39">
        <v>93</v>
      </c>
      <c r="L97" s="37">
        <v>595000</v>
      </c>
      <c r="M97" s="35" t="s">
        <v>491</v>
      </c>
      <c r="N97" s="27">
        <v>682818</v>
      </c>
      <c r="O97" s="38">
        <v>1.3772587480210601</v>
      </c>
      <c r="P97" s="38">
        <v>103.748291851205</v>
      </c>
      <c r="Q97" s="38" t="str" cm="1">
        <f t="array" ref="Q97">INDEX('MRT station dataset'!$C$3:$C$179, MATCH(MIN(SQRT(('MRT station dataset'!$E$3:$E$179-'Resale flat dataset (DV)'!O97)^2+('MRT station dataset'!$F$3:$F$179-'Resale flat dataset (DV)'!P97)^2)), SQRT(('MRT station dataset'!$E$3:$E$179-'Resale flat dataset (DV)'!O97)^2+('MRT station dataset'!$F$3:$F$179-'Resale flat dataset (DV)'!P97)^2), 0))</f>
        <v>KEAT HONG LRT STATION</v>
      </c>
      <c r="R97" s="38" t="str" cm="1">
        <f t="array" ref="R97">INDEX('Mall Dataset'!$B$3:$B$157, MATCH(MIN(SQRT(('Mall Dataset'!$E$3:$E$157-'Resale flat dataset (DV)'!O97)^2+('Mall Dataset'!$F$3:$F$157-'Resale flat dataset (DV)'!P97)^2)), SQRT(('Mall Dataset'!$E$3:$E$157-'Resale flat dataset (DV)'!O97)^2+('Mall Dataset'!$F$3:$F$157-'Resale flat dataset (DV)'!P97)^2), 0))</f>
        <v>Keat Hong Shopping Centre</v>
      </c>
      <c r="S97" s="38" t="str" cm="1">
        <f t="array" ref="S97">INDEX('Schools dataset'!$B$3:$B$187, MATCH(MIN(SQRT(('Schools dataset'!$J$3:$J$187-'Resale flat dataset (DV)'!O97)^2+('Schools dataset'!$K$3:$K$187-'Resale flat dataset (DV)'!P97)^2)), SQRT(('Schools dataset'!$J$3:$J$187-'Resale flat dataset (DV)'!O97)^2+('Schools dataset'!$K$3:$K$187-'Resale flat dataset (DV)'!P97)^2), 0))</f>
        <v>SOUTH VIEW PRIMARY SCHOOL</v>
      </c>
      <c r="T97" s="39">
        <f>ACOS(COS(RADIANS(90-O97))*COS(RADIANS(90-_xlfn.XLOOKUP(Q97,'MRT station dataset'!$C$3:$C$179,'MRT station dataset'!$E$3:$E$179)))+SIN(RADIANS(90-O97))*SIN(RADIANS(90-_xlfn.XLOOKUP(Q97,'MRT station dataset'!$C$3:$C$179,'MRT station dataset'!$E$3:$E$179)))*COS(RADIANS(P97-_xlfn.XLOOKUP('Resale flat dataset (DV)'!Q97,'MRT station dataset'!$C$3:$C$179,'MRT station dataset'!$F$3:$F$179))))*6371*1000</f>
        <v>174.10737647889718</v>
      </c>
      <c r="U97" s="39">
        <f>ACOS(COS(RADIANS(90-O97))*COS(RADIANS(90-_xlfn.XLOOKUP(R97,'Mall Dataset'!$B$3:$B$157,'Mall Dataset'!$E$3:$E$157,,0)))+SIN(RADIANS(90-O97))*SIN(RADIANS(90-_xlfn.XLOOKUP(R97,'Mall Dataset'!$B$3:$B$157,'Mall Dataset'!$E$3:$E$157,,0)))*COS(RADIANS(P97-_xlfn.XLOOKUP(R97,'Mall Dataset'!$B$3:$B$157,'Mall Dataset'!$F$3:$F$157,,0))))*6371*1000</f>
        <v>433.49940567326416</v>
      </c>
      <c r="V97" s="39">
        <f>ACOS(COS(RADIANS(90-O97))*COS(RADIANS(90-_xlfn.XLOOKUP(S97,'Schools dataset'!$B$3:$B$187,'Schools dataset'!$J$3:$J$187,,0)))+SIN(RADIANS(90-O97))*SIN(RADIANS(90-_xlfn.XLOOKUP(S97,'Schools dataset'!$B$3:$B$187,'Schools dataset'!$J$3:$J$187,,0)))*COS(RADIANS(P97-_xlfn.XLOOKUP(S97,'Schools dataset'!$B$3:$B$187,'Schools dataset'!$K$3:$K$187,,0))))*6371*1000</f>
        <v>480.90218995453961</v>
      </c>
      <c r="W97" s="20">
        <f>_xlfn.XLOOKUP(T97,'HDB Recommender'!$P$10:$P$39,'HDB Recommender'!$Q$10:$Q$39,"&gt;30mins",1)</f>
        <v>3</v>
      </c>
      <c r="X97" s="20">
        <f>_xlfn.XLOOKUP(U97,'HDB Recommender'!$P$10:$P$39,'HDB Recommender'!$Q$10:$Q$39,"&gt;30mins",1)</f>
        <v>6</v>
      </c>
      <c r="Y97" s="20">
        <f>_xlfn.XLOOKUP(V97,'HDB Recommender'!$P$10:$P$39,'HDB Recommender'!$Q$10:$Q$39,"&gt;30mins",1)</f>
        <v>7</v>
      </c>
      <c r="Z97" s="39">
        <f t="shared" si="2"/>
        <v>5.333333333333333</v>
      </c>
      <c r="AA97" s="20" t="str">
        <f t="shared" si="3"/>
        <v>Within 1km</v>
      </c>
    </row>
    <row r="98" spans="2:27">
      <c r="B98" s="35" t="s">
        <v>317</v>
      </c>
      <c r="C98" s="35" t="s">
        <v>482</v>
      </c>
      <c r="D98" s="35" t="s">
        <v>20</v>
      </c>
      <c r="E98" s="35">
        <v>295</v>
      </c>
      <c r="F98" s="35" t="s">
        <v>492</v>
      </c>
      <c r="G98" s="35" t="s">
        <v>191</v>
      </c>
      <c r="H98" s="35">
        <v>113</v>
      </c>
      <c r="I98" s="35" t="s">
        <v>335</v>
      </c>
      <c r="J98" s="36">
        <v>1990</v>
      </c>
      <c r="K98" s="39">
        <v>65.6666666666666</v>
      </c>
      <c r="L98" s="37">
        <v>550000</v>
      </c>
      <c r="M98" s="35" t="s">
        <v>493</v>
      </c>
      <c r="N98" s="27">
        <v>680295</v>
      </c>
      <c r="O98" s="38">
        <v>1.37816643554536</v>
      </c>
      <c r="P98" s="38">
        <v>103.740967966102</v>
      </c>
      <c r="Q98" s="38" t="str" cm="1">
        <f t="array" ref="Q98">INDEX('MRT station dataset'!$C$3:$C$179, MATCH(MIN(SQRT(('MRT station dataset'!$E$3:$E$179-'Resale flat dataset (DV)'!O98)^2+('MRT station dataset'!$F$3:$F$179-'Resale flat dataset (DV)'!P98)^2)), SQRT(('MRT station dataset'!$E$3:$E$179-'Resale flat dataset (DV)'!O98)^2+('MRT station dataset'!$F$3:$F$179-'Resale flat dataset (DV)'!P98)^2), 0))</f>
        <v>SOUTH VIEW LRT STATION</v>
      </c>
      <c r="R98" s="38" t="str" cm="1">
        <f t="array" ref="R98">INDEX('Mall Dataset'!$B$3:$B$157, MATCH(MIN(SQRT(('Mall Dataset'!$E$3:$E$157-'Resale flat dataset (DV)'!O98)^2+('Mall Dataset'!$F$3:$F$157-'Resale flat dataset (DV)'!P98)^2)), SQRT(('Mall Dataset'!$E$3:$E$157-'Resale flat dataset (DV)'!O98)^2+('Mall Dataset'!$F$3:$F$157-'Resale flat dataset (DV)'!P98)^2), 0))</f>
        <v>Sunshine Place</v>
      </c>
      <c r="S98" s="38" t="str" cm="1">
        <f t="array" ref="S98">INDEX('Schools dataset'!$B$3:$B$187, MATCH(MIN(SQRT(('Schools dataset'!$J$3:$J$187-'Resale flat dataset (DV)'!O98)^2+('Schools dataset'!$K$3:$K$187-'Resale flat dataset (DV)'!P98)^2)), SQRT(('Schools dataset'!$J$3:$J$187-'Resale flat dataset (DV)'!O98)^2+('Schools dataset'!$K$3:$K$187-'Resale flat dataset (DV)'!P98)^2), 0))</f>
        <v>CHUA CHU KANG PRIMARY SCHOOL</v>
      </c>
      <c r="T98" s="39">
        <f>ACOS(COS(RADIANS(90-O98))*COS(RADIANS(90-_xlfn.XLOOKUP(Q98,'MRT station dataset'!$C$3:$C$179,'MRT station dataset'!$E$3:$E$179)))+SIN(RADIANS(90-O98))*SIN(RADIANS(90-_xlfn.XLOOKUP(Q98,'MRT station dataset'!$C$3:$C$179,'MRT station dataset'!$E$3:$E$179)))*COS(RADIANS(P98-_xlfn.XLOOKUP('Resale flat dataset (DV)'!Q98,'MRT station dataset'!$C$3:$C$179,'MRT station dataset'!$F$3:$F$179))))*6371*1000</f>
        <v>536.82790063397067</v>
      </c>
      <c r="U98" s="39">
        <f>ACOS(COS(RADIANS(90-O98))*COS(RADIANS(90-_xlfn.XLOOKUP(R98,'Mall Dataset'!$B$3:$B$157,'Mall Dataset'!$E$3:$E$157,,0)))+SIN(RADIANS(90-O98))*SIN(RADIANS(90-_xlfn.XLOOKUP(R98,'Mall Dataset'!$B$3:$B$157,'Mall Dataset'!$E$3:$E$157,,0)))*COS(RADIANS(P98-_xlfn.XLOOKUP(R98,'Mall Dataset'!$B$3:$B$157,'Mall Dataset'!$F$3:$F$157,,0))))*6371*1000</f>
        <v>219.09686711060016</v>
      </c>
      <c r="V98" s="39">
        <f>ACOS(COS(RADIANS(90-O98))*COS(RADIANS(90-_xlfn.XLOOKUP(S98,'Schools dataset'!$B$3:$B$187,'Schools dataset'!$J$3:$J$187,,0)))+SIN(RADIANS(90-O98))*SIN(RADIANS(90-_xlfn.XLOOKUP(S98,'Schools dataset'!$B$3:$B$187,'Schools dataset'!$J$3:$J$187,,0)))*COS(RADIANS(P98-_xlfn.XLOOKUP(S98,'Schools dataset'!$B$3:$B$187,'Schools dataset'!$K$3:$K$187,,0))))*6371*1000</f>
        <v>106.29396201361429</v>
      </c>
      <c r="W98" s="20">
        <f>_xlfn.XLOOKUP(T98,'HDB Recommender'!$P$10:$P$39,'HDB Recommender'!$Q$10:$Q$39,"&gt;30mins",1)</f>
        <v>8</v>
      </c>
      <c r="X98" s="20">
        <f>_xlfn.XLOOKUP(U98,'HDB Recommender'!$P$10:$P$39,'HDB Recommender'!$Q$10:$Q$39,"&gt;30mins",1)</f>
        <v>3</v>
      </c>
      <c r="Y98" s="20">
        <f>_xlfn.XLOOKUP(V98,'HDB Recommender'!$P$10:$P$39,'HDB Recommender'!$Q$10:$Q$39,"&gt;30mins",1)</f>
        <v>2</v>
      </c>
      <c r="Z98" s="39">
        <f t="shared" si="2"/>
        <v>4.333333333333333</v>
      </c>
      <c r="AA98" s="20" t="str">
        <f t="shared" si="3"/>
        <v>Within 1km</v>
      </c>
    </row>
    <row r="99" spans="2:27">
      <c r="B99" s="35" t="s">
        <v>317</v>
      </c>
      <c r="C99" s="35" t="s">
        <v>482</v>
      </c>
      <c r="D99" s="35" t="s">
        <v>20</v>
      </c>
      <c r="E99" s="35">
        <v>281</v>
      </c>
      <c r="F99" s="35" t="s">
        <v>494</v>
      </c>
      <c r="G99" s="35" t="s">
        <v>323</v>
      </c>
      <c r="H99" s="35">
        <v>106</v>
      </c>
      <c r="I99" s="35" t="s">
        <v>335</v>
      </c>
      <c r="J99" s="36">
        <v>1992</v>
      </c>
      <c r="K99" s="39">
        <v>67.8333333333333</v>
      </c>
      <c r="L99" s="37">
        <v>508000</v>
      </c>
      <c r="M99" s="35" t="s">
        <v>495</v>
      </c>
      <c r="N99" s="27">
        <v>680281</v>
      </c>
      <c r="O99" s="38">
        <v>1.3803244297047601</v>
      </c>
      <c r="P99" s="38">
        <v>103.74259978067001</v>
      </c>
      <c r="Q99" s="38" t="str" cm="1">
        <f t="array" ref="Q99">INDEX('MRT station dataset'!$C$3:$C$179, MATCH(MIN(SQRT(('MRT station dataset'!$E$3:$E$179-'Resale flat dataset (DV)'!O99)^2+('MRT station dataset'!$F$3:$F$179-'Resale flat dataset (DV)'!P99)^2)), SQRT(('MRT station dataset'!$E$3:$E$179-'Resale flat dataset (DV)'!O99)^2+('MRT station dataset'!$F$3:$F$179-'Resale flat dataset (DV)'!P99)^2), 0))</f>
        <v>SOUTH VIEW LRT STATION</v>
      </c>
      <c r="R99" s="38" t="str" cm="1">
        <f t="array" ref="R99">INDEX('Mall Dataset'!$B$3:$B$157, MATCH(MIN(SQRT(('Mall Dataset'!$E$3:$E$157-'Resale flat dataset (DV)'!O99)^2+('Mall Dataset'!$F$3:$F$157-'Resale flat dataset (DV)'!P99)^2)), SQRT(('Mall Dataset'!$E$3:$E$157-'Resale flat dataset (DV)'!O99)^2+('Mall Dataset'!$F$3:$F$157-'Resale flat dataset (DV)'!P99)^2), 0))</f>
        <v>Keat Hong Shopping Centre</v>
      </c>
      <c r="S99" s="38" t="str" cm="1">
        <f t="array" ref="S99">INDEX('Schools dataset'!$B$3:$B$187, MATCH(MIN(SQRT(('Schools dataset'!$J$3:$J$187-'Resale flat dataset (DV)'!O99)^2+('Schools dataset'!$K$3:$K$187-'Resale flat dataset (DV)'!P99)^2)), SQRT(('Schools dataset'!$J$3:$J$187-'Resale flat dataset (DV)'!O99)^2+('Schools dataset'!$K$3:$K$187-'Resale flat dataset (DV)'!P99)^2), 0))</f>
        <v>CHUA CHU KANG PRIMARY SCHOOL</v>
      </c>
      <c r="T99" s="39">
        <f>ACOS(COS(RADIANS(90-O99))*COS(RADIANS(90-_xlfn.XLOOKUP(Q99,'MRT station dataset'!$C$3:$C$179,'MRT station dataset'!$E$3:$E$179)))+SIN(RADIANS(90-O99))*SIN(RADIANS(90-_xlfn.XLOOKUP(Q99,'MRT station dataset'!$C$3:$C$179,'MRT station dataset'!$E$3:$E$179)))*COS(RADIANS(P99-_xlfn.XLOOKUP('Resale flat dataset (DV)'!Q99,'MRT station dataset'!$C$3:$C$179,'MRT station dataset'!$F$3:$F$179))))*6371*1000</f>
        <v>300.17586447105526</v>
      </c>
      <c r="U99" s="39">
        <f>ACOS(COS(RADIANS(90-O99))*COS(RADIANS(90-_xlfn.XLOOKUP(R99,'Mall Dataset'!$B$3:$B$157,'Mall Dataset'!$E$3:$E$157,,0)))+SIN(RADIANS(90-O99))*SIN(RADIANS(90-_xlfn.XLOOKUP(R99,'Mall Dataset'!$B$3:$B$157,'Mall Dataset'!$E$3:$E$157,,0)))*COS(RADIANS(P99-_xlfn.XLOOKUP(R99,'Mall Dataset'!$B$3:$B$157,'Mall Dataset'!$F$3:$F$157,,0))))*6371*1000</f>
        <v>384.67603507509995</v>
      </c>
      <c r="V99" s="39">
        <f>ACOS(COS(RADIANS(90-O99))*COS(RADIANS(90-_xlfn.XLOOKUP(S99,'Schools dataset'!$B$3:$B$187,'Schools dataset'!$J$3:$J$187,,0)))+SIN(RADIANS(90-O99))*SIN(RADIANS(90-_xlfn.XLOOKUP(S99,'Schools dataset'!$B$3:$B$187,'Schools dataset'!$J$3:$J$187,,0)))*COS(RADIANS(P99-_xlfn.XLOOKUP(S99,'Schools dataset'!$B$3:$B$187,'Schools dataset'!$K$3:$K$187,,0))))*6371*1000</f>
        <v>297.73831487937997</v>
      </c>
      <c r="W99" s="20">
        <f>_xlfn.XLOOKUP(T99,'HDB Recommender'!$P$10:$P$39,'HDB Recommender'!$Q$10:$Q$39,"&gt;30mins",1)</f>
        <v>5</v>
      </c>
      <c r="X99" s="20">
        <f>_xlfn.XLOOKUP(U99,'HDB Recommender'!$P$10:$P$39,'HDB Recommender'!$Q$10:$Q$39,"&gt;30mins",1)</f>
        <v>6</v>
      </c>
      <c r="Y99" s="20">
        <f>_xlfn.XLOOKUP(V99,'HDB Recommender'!$P$10:$P$39,'HDB Recommender'!$Q$10:$Q$39,"&gt;30mins",1)</f>
        <v>4</v>
      </c>
      <c r="Z99" s="39">
        <f t="shared" si="2"/>
        <v>5</v>
      </c>
      <c r="AA99" s="20" t="str">
        <f t="shared" si="3"/>
        <v>Within 1km</v>
      </c>
    </row>
    <row r="100" spans="2:27">
      <c r="B100" s="35" t="s">
        <v>317</v>
      </c>
      <c r="C100" s="35" t="s">
        <v>482</v>
      </c>
      <c r="D100" s="35" t="s">
        <v>20</v>
      </c>
      <c r="E100" s="35"/>
      <c r="F100" s="35" t="s">
        <v>496</v>
      </c>
      <c r="G100" s="35" t="s">
        <v>191</v>
      </c>
      <c r="H100" s="35">
        <v>93</v>
      </c>
      <c r="I100" s="35" t="s">
        <v>335</v>
      </c>
      <c r="J100" s="36">
        <v>2016</v>
      </c>
      <c r="K100" s="39">
        <v>91.75</v>
      </c>
      <c r="L100" s="37">
        <v>558888</v>
      </c>
      <c r="M100" s="35" t="s">
        <v>497</v>
      </c>
      <c r="N100" s="27">
        <v>683488</v>
      </c>
      <c r="O100" s="38">
        <v>1.37659678332207</v>
      </c>
      <c r="P100" s="38">
        <v>103.73994960704999</v>
      </c>
      <c r="Q100" s="38" t="str" cm="1">
        <f t="array" ref="Q100">INDEX('MRT station dataset'!$C$3:$C$179, MATCH(MIN(SQRT(('MRT station dataset'!$E$3:$E$179-'Resale flat dataset (DV)'!O100)^2+('MRT station dataset'!$F$3:$F$179-'Resale flat dataset (DV)'!P100)^2)), SQRT(('MRT station dataset'!$E$3:$E$179-'Resale flat dataset (DV)'!O100)^2+('MRT station dataset'!$F$3:$F$179-'Resale flat dataset (DV)'!P100)^2), 0))</f>
        <v>SOUTH VIEW LRT STATION</v>
      </c>
      <c r="R100" s="38" t="str" cm="1">
        <f t="array" ref="R100">INDEX('Mall Dataset'!$B$3:$B$157, MATCH(MIN(SQRT(('Mall Dataset'!$E$3:$E$157-'Resale flat dataset (DV)'!O100)^2+('Mall Dataset'!$F$3:$F$157-'Resale flat dataset (DV)'!P100)^2)), SQRT(('Mall Dataset'!$E$3:$E$157-'Resale flat dataset (DV)'!O100)^2+('Mall Dataset'!$F$3:$F$157-'Resale flat dataset (DV)'!P100)^2), 0))</f>
        <v>Sunshine Place</v>
      </c>
      <c r="S100" s="38" t="str" cm="1">
        <f t="array" ref="S100">INDEX('Schools dataset'!$B$3:$B$187, MATCH(MIN(SQRT(('Schools dataset'!$J$3:$J$187-'Resale flat dataset (DV)'!O100)^2+('Schools dataset'!$K$3:$K$187-'Resale flat dataset (DV)'!P100)^2)), SQRT(('Schools dataset'!$J$3:$J$187-'Resale flat dataset (DV)'!O100)^2+('Schools dataset'!$K$3:$K$187-'Resale flat dataset (DV)'!P100)^2), 0))</f>
        <v>CHUA CHU KANG PRIMARY SCHOOL</v>
      </c>
      <c r="T100" s="39">
        <f>ACOS(COS(RADIANS(90-O100))*COS(RADIANS(90-_xlfn.XLOOKUP(Q100,'MRT station dataset'!$C$3:$C$179,'MRT station dataset'!$E$3:$E$179)))+SIN(RADIANS(90-O100))*SIN(RADIANS(90-_xlfn.XLOOKUP(Q100,'MRT station dataset'!$C$3:$C$179,'MRT station dataset'!$E$3:$E$179)))*COS(RADIANS(P100-_xlfn.XLOOKUP('Resale flat dataset (DV)'!Q100,'MRT station dataset'!$C$3:$C$179,'MRT station dataset'!$F$3:$F$179))))*6371*1000</f>
        <v>723.39929628874961</v>
      </c>
      <c r="U100" s="39">
        <f>ACOS(COS(RADIANS(90-O100))*COS(RADIANS(90-_xlfn.XLOOKUP(R100,'Mall Dataset'!$B$3:$B$157,'Mall Dataset'!$E$3:$E$157,,0)))+SIN(RADIANS(90-O100))*SIN(RADIANS(90-_xlfn.XLOOKUP(R100,'Mall Dataset'!$B$3:$B$157,'Mall Dataset'!$E$3:$E$157,,0)))*COS(RADIANS(P100-_xlfn.XLOOKUP(R100,'Mall Dataset'!$B$3:$B$157,'Mall Dataset'!$F$3:$F$157,,0))))*6371*1000</f>
        <v>178.02864359590754</v>
      </c>
      <c r="V100" s="39">
        <f>ACOS(COS(RADIANS(90-O100))*COS(RADIANS(90-_xlfn.XLOOKUP(S100,'Schools dataset'!$B$3:$B$187,'Schools dataset'!$J$3:$J$187,,0)))+SIN(RADIANS(90-O100))*SIN(RADIANS(90-_xlfn.XLOOKUP(S100,'Schools dataset'!$B$3:$B$187,'Schools dataset'!$J$3:$J$187,,0)))*COS(RADIANS(P100-_xlfn.XLOOKUP(S100,'Schools dataset'!$B$3:$B$187,'Schools dataset'!$K$3:$K$187,,0))))*6371*1000</f>
        <v>246.0230433917967</v>
      </c>
      <c r="W100" s="20">
        <f>_xlfn.XLOOKUP(T100,'HDB Recommender'!$P$10:$P$39,'HDB Recommender'!$Q$10:$Q$39,"&gt;30mins",1)</f>
        <v>10</v>
      </c>
      <c r="X100" s="20">
        <f>_xlfn.XLOOKUP(U100,'HDB Recommender'!$P$10:$P$39,'HDB Recommender'!$Q$10:$Q$39,"&gt;30mins",1)</f>
        <v>3</v>
      </c>
      <c r="Y100" s="20">
        <f>_xlfn.XLOOKUP(V100,'HDB Recommender'!$P$10:$P$39,'HDB Recommender'!$Q$10:$Q$39,"&gt;30mins",1)</f>
        <v>4</v>
      </c>
      <c r="Z100" s="39">
        <f t="shared" si="2"/>
        <v>5.666666666666667</v>
      </c>
      <c r="AA100" s="20" t="str">
        <f t="shared" si="3"/>
        <v>Within 1km</v>
      </c>
    </row>
    <row r="101" spans="2:27">
      <c r="B101" s="35" t="s">
        <v>317</v>
      </c>
      <c r="C101" s="35" t="s">
        <v>482</v>
      </c>
      <c r="D101" s="35" t="s">
        <v>20</v>
      </c>
      <c r="E101" s="35"/>
      <c r="F101" s="35" t="s">
        <v>498</v>
      </c>
      <c r="G101" s="35" t="s">
        <v>191</v>
      </c>
      <c r="H101" s="35">
        <v>93</v>
      </c>
      <c r="I101" s="35" t="s">
        <v>335</v>
      </c>
      <c r="J101" s="36">
        <v>2017</v>
      </c>
      <c r="K101" s="39">
        <v>93.25</v>
      </c>
      <c r="L101" s="37">
        <v>528000</v>
      </c>
      <c r="M101" s="35" t="s">
        <v>499</v>
      </c>
      <c r="N101" s="27">
        <v>682811</v>
      </c>
      <c r="O101" s="38">
        <v>1.37312145835945</v>
      </c>
      <c r="P101" s="38">
        <v>103.74538215346701</v>
      </c>
      <c r="Q101" s="38" t="str" cm="1">
        <f t="array" ref="Q101">INDEX('MRT station dataset'!$C$3:$C$179, MATCH(MIN(SQRT(('MRT station dataset'!$E$3:$E$179-'Resale flat dataset (DV)'!O101)^2+('MRT station dataset'!$F$3:$F$179-'Resale flat dataset (DV)'!P101)^2)), SQRT(('MRT station dataset'!$E$3:$E$179-'Resale flat dataset (DV)'!O101)^2+('MRT station dataset'!$F$3:$F$179-'Resale flat dataset (DV)'!P101)^2), 0))</f>
        <v>KEAT HONG LRT STATION</v>
      </c>
      <c r="R101" s="38" t="str" cm="1">
        <f t="array" ref="R101">INDEX('Mall Dataset'!$B$3:$B$157, MATCH(MIN(SQRT(('Mall Dataset'!$E$3:$E$157-'Resale flat dataset (DV)'!O101)^2+('Mall Dataset'!$F$3:$F$157-'Resale flat dataset (DV)'!P101)^2)), SQRT(('Mall Dataset'!$E$3:$E$157-'Resale flat dataset (DV)'!O101)^2+('Mall Dataset'!$F$3:$F$157-'Resale flat dataset (DV)'!P101)^2), 0))</f>
        <v>Keat Hong Shopping Centre</v>
      </c>
      <c r="S101" s="38" t="str" cm="1">
        <f t="array" ref="S101">INDEX('Schools dataset'!$B$3:$B$187, MATCH(MIN(SQRT(('Schools dataset'!$J$3:$J$187-'Resale flat dataset (DV)'!O101)^2+('Schools dataset'!$K$3:$K$187-'Resale flat dataset (DV)'!P101)^2)), SQRT(('Schools dataset'!$J$3:$J$187-'Resale flat dataset (DV)'!O101)^2+('Schools dataset'!$K$3:$K$187-'Resale flat dataset (DV)'!P101)^2), 0))</f>
        <v>CHUA CHU KANG PRIMARY SCHOOL</v>
      </c>
      <c r="T101" s="39">
        <f>ACOS(COS(RADIANS(90-O101))*COS(RADIANS(90-_xlfn.XLOOKUP(Q101,'MRT station dataset'!$C$3:$C$179,'MRT station dataset'!$E$3:$E$179)))+SIN(RADIANS(90-O101))*SIN(RADIANS(90-_xlfn.XLOOKUP(Q101,'MRT station dataset'!$C$3:$C$179,'MRT station dataset'!$E$3:$E$179)))*COS(RADIANS(P101-_xlfn.XLOOKUP('Resale flat dataset (DV)'!Q101,'MRT station dataset'!$C$3:$C$179,'MRT station dataset'!$F$3:$F$179))))*6371*1000</f>
        <v>736.14764515043055</v>
      </c>
      <c r="U101" s="39">
        <f>ACOS(COS(RADIANS(90-O101))*COS(RADIANS(90-_xlfn.XLOOKUP(R101,'Mall Dataset'!$B$3:$B$157,'Mall Dataset'!$E$3:$E$157,,0)))+SIN(RADIANS(90-O101))*SIN(RADIANS(90-_xlfn.XLOOKUP(R101,'Mall Dataset'!$B$3:$B$157,'Mall Dataset'!$E$3:$E$157,,0)))*COS(RADIANS(P101-_xlfn.XLOOKUP(R101,'Mall Dataset'!$B$3:$B$157,'Mall Dataset'!$F$3:$F$157,,0))))*6371*1000</f>
        <v>484.60254535853852</v>
      </c>
      <c r="V101" s="39">
        <f>ACOS(COS(RADIANS(90-O101))*COS(RADIANS(90-_xlfn.XLOOKUP(S101,'Schools dataset'!$B$3:$B$187,'Schools dataset'!$J$3:$J$187,,0)))+SIN(RADIANS(90-O101))*SIN(RADIANS(90-_xlfn.XLOOKUP(S101,'Schools dataset'!$B$3:$B$187,'Schools dataset'!$J$3:$J$187,,0)))*COS(RADIANS(P101-_xlfn.XLOOKUP(S101,'Schools dataset'!$B$3:$B$187,'Schools dataset'!$K$3:$K$187,,0))))*6371*1000</f>
        <v>649.28403979579264</v>
      </c>
      <c r="W101" s="20">
        <f>_xlfn.XLOOKUP(T101,'HDB Recommender'!$P$10:$P$39,'HDB Recommender'!$Q$10:$Q$39,"&gt;30mins",1)</f>
        <v>10</v>
      </c>
      <c r="X101" s="20">
        <f>_xlfn.XLOOKUP(U101,'HDB Recommender'!$P$10:$P$39,'HDB Recommender'!$Q$10:$Q$39,"&gt;30mins",1)</f>
        <v>7</v>
      </c>
      <c r="Y101" s="20">
        <f>_xlfn.XLOOKUP(V101,'HDB Recommender'!$P$10:$P$39,'HDB Recommender'!$Q$10:$Q$39,"&gt;30mins",1)</f>
        <v>9</v>
      </c>
      <c r="Z101" s="39">
        <f t="shared" si="2"/>
        <v>8.6666666666666661</v>
      </c>
      <c r="AA101" s="20" t="str">
        <f t="shared" si="3"/>
        <v>Within 1km</v>
      </c>
    </row>
    <row r="102" spans="2:27">
      <c r="B102" s="35" t="s">
        <v>317</v>
      </c>
      <c r="C102" s="35" t="s">
        <v>482</v>
      </c>
      <c r="D102" s="35" t="s">
        <v>20</v>
      </c>
      <c r="E102" s="35">
        <v>680</v>
      </c>
      <c r="F102" s="35" t="s">
        <v>500</v>
      </c>
      <c r="G102" s="35" t="s">
        <v>191</v>
      </c>
      <c r="H102" s="35">
        <v>105</v>
      </c>
      <c r="I102" s="35" t="s">
        <v>389</v>
      </c>
      <c r="J102" s="36">
        <v>1999</v>
      </c>
      <c r="K102" s="39">
        <v>75.1666666666666</v>
      </c>
      <c r="L102" s="37">
        <v>495888</v>
      </c>
      <c r="M102" s="35" t="s">
        <v>501</v>
      </c>
      <c r="N102" s="27">
        <v>680680</v>
      </c>
      <c r="O102" s="38">
        <v>1.40333610825505</v>
      </c>
      <c r="P102" s="38">
        <v>103.745131655848</v>
      </c>
      <c r="Q102" s="38" t="str" cm="1">
        <f t="array" ref="Q102">INDEX('MRT station dataset'!$C$3:$C$179, MATCH(MIN(SQRT(('MRT station dataset'!$E$3:$E$179-'Resale flat dataset (DV)'!O102)^2+('MRT station dataset'!$F$3:$F$179-'Resale flat dataset (DV)'!P102)^2)), SQRT(('MRT station dataset'!$E$3:$E$179-'Resale flat dataset (DV)'!O102)^2+('MRT station dataset'!$F$3:$F$179-'Resale flat dataset (DV)'!P102)^2), 0))</f>
        <v>YEW TEE MRT STATION</v>
      </c>
      <c r="R102" s="38" t="str" cm="1">
        <f t="array" ref="R102">INDEX('Mall Dataset'!$B$3:$B$157, MATCH(MIN(SQRT(('Mall Dataset'!$E$3:$E$157-'Resale flat dataset (DV)'!O102)^2+('Mall Dataset'!$F$3:$F$157-'Resale flat dataset (DV)'!P102)^2)), SQRT(('Mall Dataset'!$E$3:$E$157-'Resale flat dataset (DV)'!O102)^2+('Mall Dataset'!$F$3:$F$157-'Resale flat dataset (DV)'!P102)^2), 0))</f>
        <v>Yew Tee Square</v>
      </c>
      <c r="S102" s="38" t="str" cm="1">
        <f t="array" ref="S102">INDEX('Schools dataset'!$B$3:$B$187, MATCH(MIN(SQRT(('Schools dataset'!$J$3:$J$187-'Resale flat dataset (DV)'!O102)^2+('Schools dataset'!$K$3:$K$187-'Resale flat dataset (DV)'!P102)^2)), SQRT(('Schools dataset'!$J$3:$J$187-'Resale flat dataset (DV)'!O102)^2+('Schools dataset'!$K$3:$K$187-'Resale flat dataset (DV)'!P102)^2), 0))</f>
        <v>UNITY PRIMARY SCHOOL</v>
      </c>
      <c r="T102" s="39">
        <f>ACOS(COS(RADIANS(90-O102))*COS(RADIANS(90-_xlfn.XLOOKUP(Q102,'MRT station dataset'!$C$3:$C$179,'MRT station dataset'!$E$3:$E$179)))+SIN(RADIANS(90-O102))*SIN(RADIANS(90-_xlfn.XLOOKUP(Q102,'MRT station dataset'!$C$3:$C$179,'MRT station dataset'!$E$3:$E$179)))*COS(RADIANS(P102-_xlfn.XLOOKUP('Resale flat dataset (DV)'!Q102,'MRT station dataset'!$C$3:$C$179,'MRT station dataset'!$F$3:$F$179))))*6371*1000</f>
        <v>696.21230423100928</v>
      </c>
      <c r="U102" s="39">
        <f>ACOS(COS(RADIANS(90-O102))*COS(RADIANS(90-_xlfn.XLOOKUP(R102,'Mall Dataset'!$B$3:$B$157,'Mall Dataset'!$E$3:$E$157,,0)))+SIN(RADIANS(90-O102))*SIN(RADIANS(90-_xlfn.XLOOKUP(R102,'Mall Dataset'!$B$3:$B$157,'Mall Dataset'!$E$3:$E$157,,0)))*COS(RADIANS(P102-_xlfn.XLOOKUP(R102,'Mall Dataset'!$B$3:$B$157,'Mall Dataset'!$F$3:$F$157,,0))))*6371*1000</f>
        <v>597.72780516145986</v>
      </c>
      <c r="V102" s="39">
        <f>ACOS(COS(RADIANS(90-O102))*COS(RADIANS(90-_xlfn.XLOOKUP(S102,'Schools dataset'!$B$3:$B$187,'Schools dataset'!$J$3:$J$187,,0)))+SIN(RADIANS(90-O102))*SIN(RADIANS(90-_xlfn.XLOOKUP(S102,'Schools dataset'!$B$3:$B$187,'Schools dataset'!$J$3:$J$187,,0)))*COS(RADIANS(P102-_xlfn.XLOOKUP(S102,'Schools dataset'!$B$3:$B$187,'Schools dataset'!$K$3:$K$187,,0))))*6371*1000</f>
        <v>195.5169816746025</v>
      </c>
      <c r="W102" s="20">
        <f>_xlfn.XLOOKUP(T102,'HDB Recommender'!$P$10:$P$39,'HDB Recommender'!$Q$10:$Q$39,"&gt;30mins",1)</f>
        <v>10</v>
      </c>
      <c r="X102" s="20">
        <f>_xlfn.XLOOKUP(U102,'HDB Recommender'!$P$10:$P$39,'HDB Recommender'!$Q$10:$Q$39,"&gt;30mins",1)</f>
        <v>8</v>
      </c>
      <c r="Y102" s="20">
        <f>_xlfn.XLOOKUP(V102,'HDB Recommender'!$P$10:$P$39,'HDB Recommender'!$Q$10:$Q$39,"&gt;30mins",1)</f>
        <v>3</v>
      </c>
      <c r="Z102" s="39">
        <f t="shared" si="2"/>
        <v>7</v>
      </c>
      <c r="AA102" s="20" t="str">
        <f t="shared" si="3"/>
        <v>Within 1km</v>
      </c>
    </row>
    <row r="103" spans="2:27">
      <c r="B103" s="35" t="s">
        <v>317</v>
      </c>
      <c r="C103" s="35" t="s">
        <v>482</v>
      </c>
      <c r="D103" s="35" t="s">
        <v>20</v>
      </c>
      <c r="E103" s="35">
        <v>658</v>
      </c>
      <c r="F103" s="35" t="s">
        <v>500</v>
      </c>
      <c r="G103" s="35" t="s">
        <v>184</v>
      </c>
      <c r="H103" s="35">
        <v>104</v>
      </c>
      <c r="I103" s="35" t="s">
        <v>389</v>
      </c>
      <c r="J103" s="36">
        <v>1999</v>
      </c>
      <c r="K103" s="39">
        <v>74.5833333333333</v>
      </c>
      <c r="L103" s="37">
        <v>475000</v>
      </c>
      <c r="M103" s="35" t="s">
        <v>502</v>
      </c>
      <c r="N103" s="27">
        <v>680658</v>
      </c>
      <c r="O103" s="38">
        <v>1.40075418778953</v>
      </c>
      <c r="P103" s="38">
        <v>103.749259984055</v>
      </c>
      <c r="Q103" s="38" t="str" cm="1">
        <f t="array" ref="Q103">INDEX('MRT station dataset'!$C$3:$C$179, MATCH(MIN(SQRT(('MRT station dataset'!$E$3:$E$179-'Resale flat dataset (DV)'!O103)^2+('MRT station dataset'!$F$3:$F$179-'Resale flat dataset (DV)'!P103)^2)), SQRT(('MRT station dataset'!$E$3:$E$179-'Resale flat dataset (DV)'!O103)^2+('MRT station dataset'!$F$3:$F$179-'Resale flat dataset (DV)'!P103)^2), 0))</f>
        <v>YEW TEE MRT STATION</v>
      </c>
      <c r="R103" s="38" t="str" cm="1">
        <f t="array" ref="R103">INDEX('Mall Dataset'!$B$3:$B$157, MATCH(MIN(SQRT(('Mall Dataset'!$E$3:$E$157-'Resale flat dataset (DV)'!O103)^2+('Mall Dataset'!$F$3:$F$157-'Resale flat dataset (DV)'!P103)^2)), SQRT(('Mall Dataset'!$E$3:$E$157-'Resale flat dataset (DV)'!O103)^2+('Mall Dataset'!$F$3:$F$157-'Resale flat dataset (DV)'!P103)^2), 0))</f>
        <v>Yew Tee Square</v>
      </c>
      <c r="S103" s="38" t="str" cm="1">
        <f t="array" ref="S103">INDEX('Schools dataset'!$B$3:$B$187, MATCH(MIN(SQRT(('Schools dataset'!$J$3:$J$187-'Resale flat dataset (DV)'!O103)^2+('Schools dataset'!$K$3:$K$187-'Resale flat dataset (DV)'!P103)^2)), SQRT(('Schools dataset'!$J$3:$J$187-'Resale flat dataset (DV)'!O103)^2+('Schools dataset'!$K$3:$K$187-'Resale flat dataset (DV)'!P103)^2), 0))</f>
        <v>UNITY PRIMARY SCHOOL</v>
      </c>
      <c r="T103" s="39">
        <f>ACOS(COS(RADIANS(90-O103))*COS(RADIANS(90-_xlfn.XLOOKUP(Q103,'MRT station dataset'!$C$3:$C$179,'MRT station dataset'!$E$3:$E$179)))+SIN(RADIANS(90-O103))*SIN(RADIANS(90-_xlfn.XLOOKUP(Q103,'MRT station dataset'!$C$3:$C$179,'MRT station dataset'!$E$3:$E$179)))*COS(RADIANS(P103-_xlfn.XLOOKUP('Resale flat dataset (DV)'!Q103,'MRT station dataset'!$C$3:$C$179,'MRT station dataset'!$F$3:$F$179))))*6371*1000</f>
        <v>416.75431272888153</v>
      </c>
      <c r="U103" s="39">
        <f>ACOS(COS(RADIANS(90-O103))*COS(RADIANS(90-_xlfn.XLOOKUP(R103,'Mall Dataset'!$B$3:$B$157,'Mall Dataset'!$E$3:$E$157,,0)))+SIN(RADIANS(90-O103))*SIN(RADIANS(90-_xlfn.XLOOKUP(R103,'Mall Dataset'!$B$3:$B$157,'Mall Dataset'!$E$3:$E$157,,0)))*COS(RADIANS(P103-_xlfn.XLOOKUP(R103,'Mall Dataset'!$B$3:$B$157,'Mall Dataset'!$F$3:$F$157,,0))))*6371*1000</f>
        <v>351.2004674057365</v>
      </c>
      <c r="V103" s="39">
        <f>ACOS(COS(RADIANS(90-O103))*COS(RADIANS(90-_xlfn.XLOOKUP(S103,'Schools dataset'!$B$3:$B$187,'Schools dataset'!$J$3:$J$187,,0)))+SIN(RADIANS(90-O103))*SIN(RADIANS(90-_xlfn.XLOOKUP(S103,'Schools dataset'!$B$3:$B$187,'Schools dataset'!$J$3:$J$187,,0)))*COS(RADIANS(P103-_xlfn.XLOOKUP(S103,'Schools dataset'!$B$3:$B$187,'Schools dataset'!$K$3:$K$187,,0))))*6371*1000</f>
        <v>354.39697686318362</v>
      </c>
      <c r="W103" s="20">
        <f>_xlfn.XLOOKUP(T103,'HDB Recommender'!$P$10:$P$39,'HDB Recommender'!$Q$10:$Q$39,"&gt;30mins",1)</f>
        <v>6</v>
      </c>
      <c r="X103" s="20">
        <f>_xlfn.XLOOKUP(U103,'HDB Recommender'!$P$10:$P$39,'HDB Recommender'!$Q$10:$Q$39,"&gt;30mins",1)</f>
        <v>5</v>
      </c>
      <c r="Y103" s="20">
        <f>_xlfn.XLOOKUP(V103,'HDB Recommender'!$P$10:$P$39,'HDB Recommender'!$Q$10:$Q$39,"&gt;30mins",1)</f>
        <v>5</v>
      </c>
      <c r="Z103" s="39">
        <f t="shared" si="2"/>
        <v>5.333333333333333</v>
      </c>
      <c r="AA103" s="20" t="str">
        <f t="shared" si="3"/>
        <v>Within 1km</v>
      </c>
    </row>
    <row r="104" spans="2:27">
      <c r="B104" s="35" t="s">
        <v>317</v>
      </c>
      <c r="C104" s="35" t="s">
        <v>482</v>
      </c>
      <c r="D104" s="35" t="s">
        <v>20</v>
      </c>
      <c r="E104" s="35"/>
      <c r="F104" s="35" t="s">
        <v>503</v>
      </c>
      <c r="G104" s="35" t="s">
        <v>184</v>
      </c>
      <c r="H104" s="35">
        <v>90</v>
      </c>
      <c r="I104" s="35" t="s">
        <v>335</v>
      </c>
      <c r="J104" s="36">
        <v>2002</v>
      </c>
      <c r="K104" s="39">
        <v>77.5833333333333</v>
      </c>
      <c r="L104" s="37">
        <v>457500</v>
      </c>
      <c r="M104" s="35" t="s">
        <v>504</v>
      </c>
      <c r="N104" s="27">
        <v>681688</v>
      </c>
      <c r="O104" s="38">
        <v>1.40396387456119</v>
      </c>
      <c r="P104" s="38">
        <v>103.750566306243</v>
      </c>
      <c r="Q104" s="38" t="str" cm="1">
        <f t="array" ref="Q104">INDEX('MRT station dataset'!$C$3:$C$179, MATCH(MIN(SQRT(('MRT station dataset'!$E$3:$E$179-'Resale flat dataset (DV)'!O104)^2+('MRT station dataset'!$F$3:$F$179-'Resale flat dataset (DV)'!P104)^2)), SQRT(('MRT station dataset'!$E$3:$E$179-'Resale flat dataset (DV)'!O104)^2+('MRT station dataset'!$F$3:$F$179-'Resale flat dataset (DV)'!P104)^2), 0))</f>
        <v>YEW TEE MRT STATION</v>
      </c>
      <c r="R104" s="38" t="str" cm="1">
        <f t="array" ref="R104">INDEX('Mall Dataset'!$B$3:$B$157, MATCH(MIN(SQRT(('Mall Dataset'!$E$3:$E$157-'Resale flat dataset (DV)'!O104)^2+('Mall Dataset'!$F$3:$F$157-'Resale flat dataset (DV)'!P104)^2)), SQRT(('Mall Dataset'!$E$3:$E$157-'Resale flat dataset (DV)'!O104)^2+('Mall Dataset'!$F$3:$F$157-'Resale flat dataset (DV)'!P104)^2), 0))</f>
        <v>Yew Tee Square</v>
      </c>
      <c r="S104" s="38" t="str" cm="1">
        <f t="array" ref="S104">INDEX('Schools dataset'!$B$3:$B$187, MATCH(MIN(SQRT(('Schools dataset'!$J$3:$J$187-'Resale flat dataset (DV)'!O104)^2+('Schools dataset'!$K$3:$K$187-'Resale flat dataset (DV)'!P104)^2)), SQRT(('Schools dataset'!$J$3:$J$187-'Resale flat dataset (DV)'!O104)^2+('Schools dataset'!$K$3:$K$187-'Resale flat dataset (DV)'!P104)^2), 0))</f>
        <v>UNITY PRIMARY SCHOOL</v>
      </c>
      <c r="T104" s="39">
        <f>ACOS(COS(RADIANS(90-O104))*COS(RADIANS(90-_xlfn.XLOOKUP(Q104,'MRT station dataset'!$C$3:$C$179,'MRT station dataset'!$E$3:$E$179)))+SIN(RADIANS(90-O104))*SIN(RADIANS(90-_xlfn.XLOOKUP(Q104,'MRT station dataset'!$C$3:$C$179,'MRT station dataset'!$E$3:$E$179)))*COS(RADIANS(P104-_xlfn.XLOOKUP('Resale flat dataset (DV)'!Q104,'MRT station dataset'!$C$3:$C$179,'MRT station dataset'!$F$3:$F$179))))*6371*1000</f>
        <v>800.30363892692515</v>
      </c>
      <c r="U104" s="39">
        <f>ACOS(COS(RADIANS(90-O104))*COS(RADIANS(90-_xlfn.XLOOKUP(R104,'Mall Dataset'!$B$3:$B$157,'Mall Dataset'!$E$3:$E$157,,0)))+SIN(RADIANS(90-O104))*SIN(RADIANS(90-_xlfn.XLOOKUP(R104,'Mall Dataset'!$B$3:$B$157,'Mall Dataset'!$E$3:$E$157,,0)))*COS(RADIANS(P104-_xlfn.XLOOKUP(R104,'Mall Dataset'!$B$3:$B$157,'Mall Dataset'!$F$3:$F$157,,0))))*6371*1000</f>
        <v>726.61176863488879</v>
      </c>
      <c r="V104" s="39">
        <f>ACOS(COS(RADIANS(90-O104))*COS(RADIANS(90-_xlfn.XLOOKUP(S104,'Schools dataset'!$B$3:$B$187,'Schools dataset'!$J$3:$J$187,,0)))+SIN(RADIANS(90-O104))*SIN(RADIANS(90-_xlfn.XLOOKUP(S104,'Schools dataset'!$B$3:$B$187,'Schools dataset'!$J$3:$J$187,,0)))*COS(RADIANS(P104-_xlfn.XLOOKUP(S104,'Schools dataset'!$B$3:$B$187,'Schools dataset'!$K$3:$K$187,,0))))*6371*1000</f>
        <v>438.64466872968899</v>
      </c>
      <c r="W104" s="20">
        <f>_xlfn.XLOOKUP(T104,'HDB Recommender'!$P$10:$P$39,'HDB Recommender'!$Q$10:$Q$39,"&gt;30mins",1)</f>
        <v>11</v>
      </c>
      <c r="X104" s="20">
        <f>_xlfn.XLOOKUP(U104,'HDB Recommender'!$P$10:$P$39,'HDB Recommender'!$Q$10:$Q$39,"&gt;30mins",1)</f>
        <v>10</v>
      </c>
      <c r="Y104" s="20">
        <f>_xlfn.XLOOKUP(V104,'HDB Recommender'!$P$10:$P$39,'HDB Recommender'!$Q$10:$Q$39,"&gt;30mins",1)</f>
        <v>6</v>
      </c>
      <c r="Z104" s="39">
        <f t="shared" si="2"/>
        <v>9</v>
      </c>
      <c r="AA104" s="20" t="str">
        <f t="shared" si="3"/>
        <v>Within 1km</v>
      </c>
    </row>
    <row r="105" spans="2:27">
      <c r="B105" s="35" t="s">
        <v>317</v>
      </c>
      <c r="C105" s="35" t="s">
        <v>482</v>
      </c>
      <c r="D105" s="35" t="s">
        <v>20</v>
      </c>
      <c r="E105" s="35">
        <v>636</v>
      </c>
      <c r="F105" s="35" t="s">
        <v>505</v>
      </c>
      <c r="G105" s="35" t="s">
        <v>323</v>
      </c>
      <c r="H105" s="35">
        <v>113</v>
      </c>
      <c r="I105" s="35" t="s">
        <v>389</v>
      </c>
      <c r="J105" s="36">
        <v>1998</v>
      </c>
      <c r="K105" s="39">
        <v>73.3333333333333</v>
      </c>
      <c r="L105" s="37">
        <v>575000</v>
      </c>
      <c r="M105" s="35" t="s">
        <v>506</v>
      </c>
      <c r="N105" s="27">
        <v>680636</v>
      </c>
      <c r="O105" s="38">
        <v>1.3972777533158101</v>
      </c>
      <c r="P105" s="38">
        <v>103.748932039354</v>
      </c>
      <c r="Q105" s="38" t="str" cm="1">
        <f t="array" ref="Q105">INDEX('MRT station dataset'!$C$3:$C$179, MATCH(MIN(SQRT(('MRT station dataset'!$E$3:$E$179-'Resale flat dataset (DV)'!O105)^2+('MRT station dataset'!$F$3:$F$179-'Resale flat dataset (DV)'!P105)^2)), SQRT(('MRT station dataset'!$E$3:$E$179-'Resale flat dataset (DV)'!O105)^2+('MRT station dataset'!$F$3:$F$179-'Resale flat dataset (DV)'!P105)^2), 0))</f>
        <v>YEW TEE MRT STATION</v>
      </c>
      <c r="R105" s="38" t="str" cm="1">
        <f t="array" ref="R105">INDEX('Mall Dataset'!$B$3:$B$157, MATCH(MIN(SQRT(('Mall Dataset'!$E$3:$E$157-'Resale flat dataset (DV)'!O105)^2+('Mall Dataset'!$F$3:$F$157-'Resale flat dataset (DV)'!P105)^2)), SQRT(('Mall Dataset'!$E$3:$E$157-'Resale flat dataset (DV)'!O105)^2+('Mall Dataset'!$F$3:$F$157-'Resale flat dataset (DV)'!P105)^2), 0))</f>
        <v>Yew Tee Square</v>
      </c>
      <c r="S105" s="38" t="str" cm="1">
        <f t="array" ref="S105">INDEX('Schools dataset'!$B$3:$B$187, MATCH(MIN(SQRT(('Schools dataset'!$J$3:$J$187-'Resale flat dataset (DV)'!O105)^2+('Schools dataset'!$K$3:$K$187-'Resale flat dataset (DV)'!P105)^2)), SQRT(('Schools dataset'!$J$3:$J$187-'Resale flat dataset (DV)'!O105)^2+('Schools dataset'!$K$3:$K$187-'Resale flat dataset (DV)'!P105)^2), 0))</f>
        <v>YEW TEE PRIMARY SCHOOL</v>
      </c>
      <c r="T105" s="39">
        <f>ACOS(COS(RADIANS(90-O105))*COS(RADIANS(90-_xlfn.XLOOKUP(Q105,'MRT station dataset'!$C$3:$C$179,'MRT station dataset'!$E$3:$E$179)))+SIN(RADIANS(90-O105))*SIN(RADIANS(90-_xlfn.XLOOKUP(Q105,'MRT station dataset'!$C$3:$C$179,'MRT station dataset'!$E$3:$E$179)))*COS(RADIANS(P105-_xlfn.XLOOKUP('Resale flat dataset (DV)'!Q105,'MRT station dataset'!$C$3:$C$179,'MRT station dataset'!$F$3:$F$179))))*6371*1000</f>
        <v>172.08802865321937</v>
      </c>
      <c r="U105" s="39">
        <f>ACOS(COS(RADIANS(90-O105))*COS(RADIANS(90-_xlfn.XLOOKUP(R105,'Mall Dataset'!$B$3:$B$157,'Mall Dataset'!$E$3:$E$157,,0)))+SIN(RADIANS(90-O105))*SIN(RADIANS(90-_xlfn.XLOOKUP(R105,'Mall Dataset'!$B$3:$B$157,'Mall Dataset'!$E$3:$E$157,,0)))*COS(RADIANS(P105-_xlfn.XLOOKUP(R105,'Mall Dataset'!$B$3:$B$157,'Mall Dataset'!$F$3:$F$157,,0))))*6371*1000</f>
        <v>228.69199974524014</v>
      </c>
      <c r="V105" s="39">
        <f>ACOS(COS(RADIANS(90-O105))*COS(RADIANS(90-_xlfn.XLOOKUP(S105,'Schools dataset'!$B$3:$B$187,'Schools dataset'!$J$3:$J$187,,0)))+SIN(RADIANS(90-O105))*SIN(RADIANS(90-_xlfn.XLOOKUP(S105,'Schools dataset'!$B$3:$B$187,'Schools dataset'!$J$3:$J$187,,0)))*COS(RADIANS(P105-_xlfn.XLOOKUP(S105,'Schools dataset'!$B$3:$B$187,'Schools dataset'!$K$3:$K$187,,0))))*6371*1000</f>
        <v>235.30262772603217</v>
      </c>
      <c r="W105" s="20">
        <f>_xlfn.XLOOKUP(T105,'HDB Recommender'!$P$10:$P$39,'HDB Recommender'!$Q$10:$Q$39,"&gt;30mins",1)</f>
        <v>3</v>
      </c>
      <c r="X105" s="20">
        <f>_xlfn.XLOOKUP(U105,'HDB Recommender'!$P$10:$P$39,'HDB Recommender'!$Q$10:$Q$39,"&gt;30mins",1)</f>
        <v>4</v>
      </c>
      <c r="Y105" s="20">
        <f>_xlfn.XLOOKUP(V105,'HDB Recommender'!$P$10:$P$39,'HDB Recommender'!$Q$10:$Q$39,"&gt;30mins",1)</f>
        <v>4</v>
      </c>
      <c r="Z105" s="39">
        <f t="shared" si="2"/>
        <v>3.6666666666666665</v>
      </c>
      <c r="AA105" s="20" t="str">
        <f t="shared" si="3"/>
        <v>Within 1km</v>
      </c>
    </row>
    <row r="106" spans="2:27">
      <c r="B106" s="35" t="s">
        <v>317</v>
      </c>
      <c r="C106" s="35" t="s">
        <v>482</v>
      </c>
      <c r="D106" s="35" t="s">
        <v>20</v>
      </c>
      <c r="E106" s="35">
        <v>635</v>
      </c>
      <c r="F106" s="35" t="s">
        <v>505</v>
      </c>
      <c r="G106" s="35" t="s">
        <v>191</v>
      </c>
      <c r="H106" s="35">
        <v>113</v>
      </c>
      <c r="I106" s="35" t="s">
        <v>389</v>
      </c>
      <c r="J106" s="36">
        <v>1998</v>
      </c>
      <c r="K106" s="39">
        <v>73.3333333333333</v>
      </c>
      <c r="L106" s="37">
        <v>590000</v>
      </c>
      <c r="M106" s="35" t="s">
        <v>507</v>
      </c>
      <c r="N106" s="27">
        <v>680635</v>
      </c>
      <c r="O106" s="38">
        <v>1.39737094150025</v>
      </c>
      <c r="P106" s="38">
        <v>103.749602912203</v>
      </c>
      <c r="Q106" s="38" t="str" cm="1">
        <f t="array" ref="Q106">INDEX('MRT station dataset'!$C$3:$C$179, MATCH(MIN(SQRT(('MRT station dataset'!$E$3:$E$179-'Resale flat dataset (DV)'!O106)^2+('MRT station dataset'!$F$3:$F$179-'Resale flat dataset (DV)'!P106)^2)), SQRT(('MRT station dataset'!$E$3:$E$179-'Resale flat dataset (DV)'!O106)^2+('MRT station dataset'!$F$3:$F$179-'Resale flat dataset (DV)'!P106)^2), 0))</f>
        <v>YEW TEE MRT STATION</v>
      </c>
      <c r="R106" s="38" t="str" cm="1">
        <f t="array" ref="R106">INDEX('Mall Dataset'!$B$3:$B$157, MATCH(MIN(SQRT(('Mall Dataset'!$E$3:$E$157-'Resale flat dataset (DV)'!O106)^2+('Mall Dataset'!$F$3:$F$157-'Resale flat dataset (DV)'!P106)^2)), SQRT(('Mall Dataset'!$E$3:$E$157-'Resale flat dataset (DV)'!O106)^2+('Mall Dataset'!$F$3:$F$157-'Resale flat dataset (DV)'!P106)^2), 0))</f>
        <v>Yew Tee Square</v>
      </c>
      <c r="S106" s="38" t="str" cm="1">
        <f t="array" ref="S106">INDEX('Schools dataset'!$B$3:$B$187, MATCH(MIN(SQRT(('Schools dataset'!$J$3:$J$187-'Resale flat dataset (DV)'!O106)^2+('Schools dataset'!$K$3:$K$187-'Resale flat dataset (DV)'!P106)^2)), SQRT(('Schools dataset'!$J$3:$J$187-'Resale flat dataset (DV)'!O106)^2+('Schools dataset'!$K$3:$K$187-'Resale flat dataset (DV)'!P106)^2), 0))</f>
        <v>YEW TEE PRIMARY SCHOOL</v>
      </c>
      <c r="T106" s="39">
        <f>ACOS(COS(RADIANS(90-O106))*COS(RADIANS(90-_xlfn.XLOOKUP(Q106,'MRT station dataset'!$C$3:$C$179,'MRT station dataset'!$E$3:$E$179)))+SIN(RADIANS(90-O106))*SIN(RADIANS(90-_xlfn.XLOOKUP(Q106,'MRT station dataset'!$C$3:$C$179,'MRT station dataset'!$E$3:$E$179)))*COS(RADIANS(P106-_xlfn.XLOOKUP('Resale flat dataset (DV)'!Q106,'MRT station dataset'!$C$3:$C$179,'MRT station dataset'!$F$3:$F$179))))*6371*1000</f>
        <v>245.29991399705753</v>
      </c>
      <c r="U106" s="39">
        <f>ACOS(COS(RADIANS(90-O106))*COS(RADIANS(90-_xlfn.XLOOKUP(R106,'Mall Dataset'!$B$3:$B$157,'Mall Dataset'!$E$3:$E$157,,0)))+SIN(RADIANS(90-O106))*SIN(RADIANS(90-_xlfn.XLOOKUP(R106,'Mall Dataset'!$B$3:$B$157,'Mall Dataset'!$E$3:$E$157,,0)))*COS(RADIANS(P106-_xlfn.XLOOKUP(R106,'Mall Dataset'!$B$3:$B$157,'Mall Dataset'!$F$3:$F$157,,0))))*6371*1000</f>
        <v>290.44990129925606</v>
      </c>
      <c r="V106" s="39">
        <f>ACOS(COS(RADIANS(90-O106))*COS(RADIANS(90-_xlfn.XLOOKUP(S106,'Schools dataset'!$B$3:$B$187,'Schools dataset'!$J$3:$J$187,,0)))+SIN(RADIANS(90-O106))*SIN(RADIANS(90-_xlfn.XLOOKUP(S106,'Schools dataset'!$B$3:$B$187,'Schools dataset'!$J$3:$J$187,,0)))*COS(RADIANS(P106-_xlfn.XLOOKUP(S106,'Schools dataset'!$B$3:$B$187,'Schools dataset'!$K$3:$K$187,,0))))*6371*1000</f>
        <v>167.81400348095988</v>
      </c>
      <c r="W106" s="20">
        <f>_xlfn.XLOOKUP(T106,'HDB Recommender'!$P$10:$P$39,'HDB Recommender'!$Q$10:$Q$39,"&gt;30mins",1)</f>
        <v>4</v>
      </c>
      <c r="X106" s="20">
        <f>_xlfn.XLOOKUP(U106,'HDB Recommender'!$P$10:$P$39,'HDB Recommender'!$Q$10:$Q$39,"&gt;30mins",1)</f>
        <v>4</v>
      </c>
      <c r="Y106" s="20">
        <f>_xlfn.XLOOKUP(V106,'HDB Recommender'!$P$10:$P$39,'HDB Recommender'!$Q$10:$Q$39,"&gt;30mins",1)</f>
        <v>3</v>
      </c>
      <c r="Z106" s="39">
        <f t="shared" si="2"/>
        <v>3.6666666666666665</v>
      </c>
      <c r="AA106" s="20" t="str">
        <f t="shared" si="3"/>
        <v>Within 1km</v>
      </c>
    </row>
    <row r="107" spans="2:27">
      <c r="B107" s="35" t="s">
        <v>317</v>
      </c>
      <c r="C107" s="35" t="s">
        <v>482</v>
      </c>
      <c r="D107" s="35" t="s">
        <v>20</v>
      </c>
      <c r="E107" s="35">
        <v>1</v>
      </c>
      <c r="F107" s="35" t="s">
        <v>508</v>
      </c>
      <c r="G107" s="35" t="s">
        <v>189</v>
      </c>
      <c r="H107" s="35">
        <v>104</v>
      </c>
      <c r="I107" s="35" t="s">
        <v>335</v>
      </c>
      <c r="J107" s="36">
        <v>1984</v>
      </c>
      <c r="K107" s="39">
        <v>60.0833333333333</v>
      </c>
      <c r="L107" s="37">
        <v>451000</v>
      </c>
      <c r="M107" s="35" t="s">
        <v>509</v>
      </c>
      <c r="N107" s="27">
        <v>680001</v>
      </c>
      <c r="O107" s="38">
        <v>1.3825388286195599</v>
      </c>
      <c r="P107" s="38">
        <v>103.751710905678</v>
      </c>
      <c r="Q107" s="38" t="str" cm="1">
        <f t="array" ref="Q107">INDEX('MRT station dataset'!$C$3:$C$179, MATCH(MIN(SQRT(('MRT station dataset'!$E$3:$E$179-'Resale flat dataset (DV)'!O107)^2+('MRT station dataset'!$F$3:$F$179-'Resale flat dataset (DV)'!P107)^2)), SQRT(('MRT station dataset'!$E$3:$E$179-'Resale flat dataset (DV)'!O107)^2+('MRT station dataset'!$F$3:$F$179-'Resale flat dataset (DV)'!P107)^2), 0))</f>
        <v>KEAT HONG LRT STATION</v>
      </c>
      <c r="R107" s="38" t="str" cm="1">
        <f t="array" ref="R107">INDEX('Mall Dataset'!$B$3:$B$157, MATCH(MIN(SQRT(('Mall Dataset'!$E$3:$E$157-'Resale flat dataset (DV)'!O107)^2+('Mall Dataset'!$F$3:$F$157-'Resale flat dataset (DV)'!P107)^2)), SQRT(('Mall Dataset'!$E$3:$E$157-'Resale flat dataset (DV)'!O107)^2+('Mall Dataset'!$F$3:$F$157-'Resale flat dataset (DV)'!P107)^2), 0))</f>
        <v>Teck Whye Shopping Centre</v>
      </c>
      <c r="S107" s="38" t="str" cm="1">
        <f t="array" ref="S107">INDEX('Schools dataset'!$B$3:$B$187, MATCH(MIN(SQRT(('Schools dataset'!$J$3:$J$187-'Resale flat dataset (DV)'!O107)^2+('Schools dataset'!$K$3:$K$187-'Resale flat dataset (DV)'!P107)^2)), SQRT(('Schools dataset'!$J$3:$J$187-'Resale flat dataset (DV)'!O107)^2+('Schools dataset'!$K$3:$K$187-'Resale flat dataset (DV)'!P107)^2), 0))</f>
        <v>TECK WHYE PRIMARY SCHOOL</v>
      </c>
      <c r="T107" s="39">
        <f>ACOS(COS(RADIANS(90-O107))*COS(RADIANS(90-_xlfn.XLOOKUP(Q107,'MRT station dataset'!$C$3:$C$179,'MRT station dataset'!$E$3:$E$179)))+SIN(RADIANS(90-O107))*SIN(RADIANS(90-_xlfn.XLOOKUP(Q107,'MRT station dataset'!$C$3:$C$179,'MRT station dataset'!$E$3:$E$179)))*COS(RADIANS(P107-_xlfn.XLOOKUP('Resale flat dataset (DV)'!Q107,'MRT station dataset'!$C$3:$C$179,'MRT station dataset'!$F$3:$F$179))))*6371*1000</f>
        <v>525.41505620077248</v>
      </c>
      <c r="U107" s="39">
        <f>ACOS(COS(RADIANS(90-O107))*COS(RADIANS(90-_xlfn.XLOOKUP(R107,'Mall Dataset'!$B$3:$B$157,'Mall Dataset'!$E$3:$E$157,,0)))+SIN(RADIANS(90-O107))*SIN(RADIANS(90-_xlfn.XLOOKUP(R107,'Mall Dataset'!$B$3:$B$157,'Mall Dataset'!$E$3:$E$157,,0)))*COS(RADIANS(P107-_xlfn.XLOOKUP(R107,'Mall Dataset'!$B$3:$B$157,'Mall Dataset'!$F$3:$F$157,,0))))*6371*1000</f>
        <v>290.03875528902421</v>
      </c>
      <c r="V107" s="39">
        <f>ACOS(COS(RADIANS(90-O107))*COS(RADIANS(90-_xlfn.XLOOKUP(S107,'Schools dataset'!$B$3:$B$187,'Schools dataset'!$J$3:$J$187,,0)))+SIN(RADIANS(90-O107))*SIN(RADIANS(90-_xlfn.XLOOKUP(S107,'Schools dataset'!$B$3:$B$187,'Schools dataset'!$J$3:$J$187,,0)))*COS(RADIANS(P107-_xlfn.XLOOKUP(S107,'Schools dataset'!$B$3:$B$187,'Schools dataset'!$K$3:$K$187,,0))))*6371*1000</f>
        <v>214.82739905266013</v>
      </c>
      <c r="W107" s="20">
        <f>_xlfn.XLOOKUP(T107,'HDB Recommender'!$P$10:$P$39,'HDB Recommender'!$Q$10:$Q$39,"&gt;30mins",1)</f>
        <v>8</v>
      </c>
      <c r="X107" s="20">
        <f>_xlfn.XLOOKUP(U107,'HDB Recommender'!$P$10:$P$39,'HDB Recommender'!$Q$10:$Q$39,"&gt;30mins",1)</f>
        <v>4</v>
      </c>
      <c r="Y107" s="20">
        <f>_xlfn.XLOOKUP(V107,'HDB Recommender'!$P$10:$P$39,'HDB Recommender'!$Q$10:$Q$39,"&gt;30mins",1)</f>
        <v>3</v>
      </c>
      <c r="Z107" s="39">
        <f t="shared" si="2"/>
        <v>5</v>
      </c>
      <c r="AA107" s="20" t="str">
        <f t="shared" si="3"/>
        <v>Within 1km</v>
      </c>
    </row>
    <row r="108" spans="2:27">
      <c r="B108" s="35" t="s">
        <v>317</v>
      </c>
      <c r="C108" s="35" t="s">
        <v>482</v>
      </c>
      <c r="D108" s="35" t="s">
        <v>341</v>
      </c>
      <c r="E108" s="35"/>
      <c r="F108" s="35" t="s">
        <v>496</v>
      </c>
      <c r="G108" s="35" t="s">
        <v>191</v>
      </c>
      <c r="H108" s="35">
        <v>113</v>
      </c>
      <c r="I108" s="35" t="s">
        <v>326</v>
      </c>
      <c r="J108" s="36">
        <v>2016</v>
      </c>
      <c r="K108" s="39">
        <v>91.75</v>
      </c>
      <c r="L108" s="37">
        <v>640000</v>
      </c>
      <c r="M108" s="35" t="s">
        <v>510</v>
      </c>
      <c r="N108" s="27">
        <v>683487</v>
      </c>
      <c r="O108" s="38">
        <v>1.3765128070257699</v>
      </c>
      <c r="P108" s="38">
        <v>103.739137682367</v>
      </c>
      <c r="Q108" s="38" t="str" cm="1">
        <f t="array" ref="Q108">INDEX('MRT station dataset'!$C$3:$C$179, MATCH(MIN(SQRT(('MRT station dataset'!$E$3:$E$179-'Resale flat dataset (DV)'!O108)^2+('MRT station dataset'!$F$3:$F$179-'Resale flat dataset (DV)'!P108)^2)), SQRT(('MRT station dataset'!$E$3:$E$179-'Resale flat dataset (DV)'!O108)^2+('MRT station dataset'!$F$3:$F$179-'Resale flat dataset (DV)'!P108)^2), 0))</f>
        <v>SOUTH VIEW LRT STATION</v>
      </c>
      <c r="R108" s="38" t="str" cm="1">
        <f t="array" ref="R108">INDEX('Mall Dataset'!$B$3:$B$157, MATCH(MIN(SQRT(('Mall Dataset'!$E$3:$E$157-'Resale flat dataset (DV)'!O108)^2+('Mall Dataset'!$F$3:$F$157-'Resale flat dataset (DV)'!P108)^2)), SQRT(('Mall Dataset'!$E$3:$E$157-'Resale flat dataset (DV)'!O108)^2+('Mall Dataset'!$F$3:$F$157-'Resale flat dataset (DV)'!P108)^2), 0))</f>
        <v>Sunshine Place</v>
      </c>
      <c r="S108" s="38" t="str" cm="1">
        <f t="array" ref="S108">INDEX('Schools dataset'!$B$3:$B$187, MATCH(MIN(SQRT(('Schools dataset'!$J$3:$J$187-'Resale flat dataset (DV)'!O108)^2+('Schools dataset'!$K$3:$K$187-'Resale flat dataset (DV)'!P108)^2)), SQRT(('Schools dataset'!$J$3:$J$187-'Resale flat dataset (DV)'!O108)^2+('Schools dataset'!$K$3:$K$187-'Resale flat dataset (DV)'!P108)^2), 0))</f>
        <v>CHUA CHU KANG PRIMARY SCHOOL</v>
      </c>
      <c r="T108" s="39">
        <f>ACOS(COS(RADIANS(90-O108))*COS(RADIANS(90-_xlfn.XLOOKUP(Q108,'MRT station dataset'!$C$3:$C$179,'MRT station dataset'!$E$3:$E$179)))+SIN(RADIANS(90-O108))*SIN(RADIANS(90-_xlfn.XLOOKUP(Q108,'MRT station dataset'!$C$3:$C$179,'MRT station dataset'!$E$3:$E$179)))*COS(RADIANS(P108-_xlfn.XLOOKUP('Resale flat dataset (DV)'!Q108,'MRT station dataset'!$C$3:$C$179,'MRT station dataset'!$F$3:$F$179))))*6371*1000</f>
        <v>804.10936622350744</v>
      </c>
      <c r="U108" s="39">
        <f>ACOS(COS(RADIANS(90-O108))*COS(RADIANS(90-_xlfn.XLOOKUP(R108,'Mall Dataset'!$B$3:$B$157,'Mall Dataset'!$E$3:$E$157,,0)))+SIN(RADIANS(90-O108))*SIN(RADIANS(90-_xlfn.XLOOKUP(R108,'Mall Dataset'!$B$3:$B$157,'Mall Dataset'!$E$3:$E$157,,0)))*COS(RADIANS(P108-_xlfn.XLOOKUP(R108,'Mall Dataset'!$B$3:$B$157,'Mall Dataset'!$F$3:$F$157,,0))))*6371*1000</f>
        <v>154.5441682032307</v>
      </c>
      <c r="V108" s="39">
        <f>ACOS(COS(RADIANS(90-O108))*COS(RADIANS(90-_xlfn.XLOOKUP(S108,'Schools dataset'!$B$3:$B$187,'Schools dataset'!$J$3:$J$187,,0)))+SIN(RADIANS(90-O108))*SIN(RADIANS(90-_xlfn.XLOOKUP(S108,'Schools dataset'!$B$3:$B$187,'Schools dataset'!$J$3:$J$187,,0)))*COS(RADIANS(P108-_xlfn.XLOOKUP(S108,'Schools dataset'!$B$3:$B$187,'Schools dataset'!$K$3:$K$187,,0))))*6371*1000</f>
        <v>330.09812654001246</v>
      </c>
      <c r="W108" s="20">
        <f>_xlfn.XLOOKUP(T108,'HDB Recommender'!$P$10:$P$39,'HDB Recommender'!$Q$10:$Q$39,"&gt;30mins",1)</f>
        <v>11</v>
      </c>
      <c r="X108" s="20">
        <f>_xlfn.XLOOKUP(U108,'HDB Recommender'!$P$10:$P$39,'HDB Recommender'!$Q$10:$Q$39,"&gt;30mins",1)</f>
        <v>3</v>
      </c>
      <c r="Y108" s="20">
        <f>_xlfn.XLOOKUP(V108,'HDB Recommender'!$P$10:$P$39,'HDB Recommender'!$Q$10:$Q$39,"&gt;30mins",1)</f>
        <v>5</v>
      </c>
      <c r="Z108" s="39">
        <f t="shared" si="2"/>
        <v>6.333333333333333</v>
      </c>
      <c r="AA108" s="20" t="str">
        <f t="shared" si="3"/>
        <v>Within 1km</v>
      </c>
    </row>
    <row r="109" spans="2:27">
      <c r="B109" s="35" t="s">
        <v>317</v>
      </c>
      <c r="C109" s="35" t="s">
        <v>482</v>
      </c>
      <c r="D109" s="35" t="s">
        <v>341</v>
      </c>
      <c r="E109" s="35"/>
      <c r="F109" s="35" t="s">
        <v>496</v>
      </c>
      <c r="G109" s="35" t="s">
        <v>184</v>
      </c>
      <c r="H109" s="35">
        <v>122</v>
      </c>
      <c r="I109" s="35" t="s">
        <v>326</v>
      </c>
      <c r="J109" s="36">
        <v>1999</v>
      </c>
      <c r="K109" s="39">
        <v>74.5833333333333</v>
      </c>
      <c r="L109" s="37">
        <v>591680</v>
      </c>
      <c r="M109" s="35" t="s">
        <v>511</v>
      </c>
      <c r="N109" s="27">
        <v>682485</v>
      </c>
      <c r="O109" s="38">
        <v>1.37429936592367</v>
      </c>
      <c r="P109" s="38">
        <v>103.738807275182</v>
      </c>
      <c r="Q109" s="38" t="str" cm="1">
        <f t="array" ref="Q109">INDEX('MRT station dataset'!$C$3:$C$179, MATCH(MIN(SQRT(('MRT station dataset'!$E$3:$E$179-'Resale flat dataset (DV)'!O109)^2+('MRT station dataset'!$F$3:$F$179-'Resale flat dataset (DV)'!P109)^2)), SQRT(('MRT station dataset'!$E$3:$E$179-'Resale flat dataset (DV)'!O109)^2+('MRT station dataset'!$F$3:$F$179-'Resale flat dataset (DV)'!P109)^2), 0))</f>
        <v>SOUTH VIEW LRT STATION</v>
      </c>
      <c r="R109" s="38" t="str" cm="1">
        <f t="array" ref="R109">INDEX('Mall Dataset'!$B$3:$B$157, MATCH(MIN(SQRT(('Mall Dataset'!$E$3:$E$157-'Resale flat dataset (DV)'!O109)^2+('Mall Dataset'!$F$3:$F$157-'Resale flat dataset (DV)'!P109)^2)), SQRT(('Mall Dataset'!$E$3:$E$157-'Resale flat dataset (DV)'!O109)^2+('Mall Dataset'!$F$3:$F$157-'Resale flat dataset (DV)'!P109)^2), 0))</f>
        <v>Sunshine Place</v>
      </c>
      <c r="S109" s="38" t="str" cm="1">
        <f t="array" ref="S109">INDEX('Schools dataset'!$B$3:$B$187, MATCH(MIN(SQRT(('Schools dataset'!$J$3:$J$187-'Resale flat dataset (DV)'!O109)^2+('Schools dataset'!$K$3:$K$187-'Resale flat dataset (DV)'!P109)^2)), SQRT(('Schools dataset'!$J$3:$J$187-'Resale flat dataset (DV)'!O109)^2+('Schools dataset'!$K$3:$K$187-'Resale flat dataset (DV)'!P109)^2), 0))</f>
        <v>CHUA CHU KANG PRIMARY SCHOOL</v>
      </c>
      <c r="T109" s="39">
        <f>ACOS(COS(RADIANS(90-O109))*COS(RADIANS(90-_xlfn.XLOOKUP(Q109,'MRT station dataset'!$C$3:$C$179,'MRT station dataset'!$E$3:$E$179)))+SIN(RADIANS(90-O109))*SIN(RADIANS(90-_xlfn.XLOOKUP(Q109,'MRT station dataset'!$C$3:$C$179,'MRT station dataset'!$E$3:$E$179)))*COS(RADIANS(P109-_xlfn.XLOOKUP('Resale flat dataset (DV)'!Q109,'MRT station dataset'!$C$3:$C$179,'MRT station dataset'!$F$3:$F$179))))*6371*1000</f>
        <v>982.91994738978406</v>
      </c>
      <c r="U109" s="39">
        <f>ACOS(COS(RADIANS(90-O109))*COS(RADIANS(90-_xlfn.XLOOKUP(R109,'Mall Dataset'!$B$3:$B$157,'Mall Dataset'!$E$3:$E$157,,0)))+SIN(RADIANS(90-O109))*SIN(RADIANS(90-_xlfn.XLOOKUP(R109,'Mall Dataset'!$B$3:$B$157,'Mall Dataset'!$E$3:$E$157,,0)))*COS(RADIANS(P109-_xlfn.XLOOKUP(R109,'Mall Dataset'!$B$3:$B$157,'Mall Dataset'!$F$3:$F$157,,0))))*6371*1000</f>
        <v>400.73842346055864</v>
      </c>
      <c r="V109" s="39">
        <f>ACOS(COS(RADIANS(90-O109))*COS(RADIANS(90-_xlfn.XLOOKUP(S109,'Schools dataset'!$B$3:$B$187,'Schools dataset'!$J$3:$J$187,,0)))+SIN(RADIANS(90-O109))*SIN(RADIANS(90-_xlfn.XLOOKUP(S109,'Schools dataset'!$B$3:$B$187,'Schools dataset'!$J$3:$J$187,,0)))*COS(RADIANS(P109-_xlfn.XLOOKUP(S109,'Schools dataset'!$B$3:$B$187,'Schools dataset'!$K$3:$K$187,,0))))*6371*1000</f>
        <v>510.98412425517557</v>
      </c>
      <c r="W109" s="20">
        <f>_xlfn.XLOOKUP(T109,'HDB Recommender'!$P$10:$P$39,'HDB Recommender'!$Q$10:$Q$39,"&gt;30mins",1)</f>
        <v>14</v>
      </c>
      <c r="X109" s="20">
        <f>_xlfn.XLOOKUP(U109,'HDB Recommender'!$P$10:$P$39,'HDB Recommender'!$Q$10:$Q$39,"&gt;30mins",1)</f>
        <v>6</v>
      </c>
      <c r="Y109" s="20">
        <f>_xlfn.XLOOKUP(V109,'HDB Recommender'!$P$10:$P$39,'HDB Recommender'!$Q$10:$Q$39,"&gt;30mins",1)</f>
        <v>7</v>
      </c>
      <c r="Z109" s="39">
        <f t="shared" si="2"/>
        <v>9</v>
      </c>
      <c r="AA109" s="20" t="str">
        <f t="shared" si="3"/>
        <v>Within 1km</v>
      </c>
    </row>
    <row r="110" spans="2:27">
      <c r="B110" s="35" t="s">
        <v>317</v>
      </c>
      <c r="C110" s="35" t="s">
        <v>512</v>
      </c>
      <c r="D110" s="35" t="s">
        <v>318</v>
      </c>
      <c r="E110" s="35">
        <v>307</v>
      </c>
      <c r="F110" s="35" t="s">
        <v>513</v>
      </c>
      <c r="G110" s="35" t="s">
        <v>191</v>
      </c>
      <c r="H110" s="35">
        <v>67</v>
      </c>
      <c r="I110" s="35" t="s">
        <v>320</v>
      </c>
      <c r="J110" s="36">
        <v>1979</v>
      </c>
      <c r="K110" s="39">
        <v>55.1666666666666</v>
      </c>
      <c r="L110" s="37">
        <v>367000</v>
      </c>
      <c r="M110" s="35" t="s">
        <v>514</v>
      </c>
      <c r="N110" s="27">
        <v>120307</v>
      </c>
      <c r="O110" s="38">
        <v>1.321415896635</v>
      </c>
      <c r="P110" s="38">
        <v>103.76710548935</v>
      </c>
      <c r="Q110" s="38" t="str" cm="1">
        <f t="array" ref="Q110">INDEX('MRT station dataset'!$C$3:$C$179, MATCH(MIN(SQRT(('MRT station dataset'!$E$3:$E$179-'Resale flat dataset (DV)'!O110)^2+('MRT station dataset'!$F$3:$F$179-'Resale flat dataset (DV)'!P110)^2)), SQRT(('MRT station dataset'!$E$3:$E$179-'Resale flat dataset (DV)'!O110)^2+('MRT station dataset'!$F$3:$F$179-'Resale flat dataset (DV)'!P110)^2), 0))</f>
        <v>CLEMENTI MRT STATION</v>
      </c>
      <c r="R110" s="38" t="str" cm="1">
        <f t="array" ref="R110">INDEX('Mall Dataset'!$B$3:$B$157, MATCH(MIN(SQRT(('Mall Dataset'!$E$3:$E$157-'Resale flat dataset (DV)'!O110)^2+('Mall Dataset'!$F$3:$F$157-'Resale flat dataset (DV)'!P110)^2)), SQRT(('Mall Dataset'!$E$3:$E$157-'Resale flat dataset (DV)'!O110)^2+('Mall Dataset'!$F$3:$F$157-'Resale flat dataset (DV)'!P110)^2), 0))</f>
        <v>The Clementi Mall</v>
      </c>
      <c r="S110" s="38" t="str" cm="1">
        <f t="array" ref="S110">INDEX('Schools dataset'!$B$3:$B$187, MATCH(MIN(SQRT(('Schools dataset'!$J$3:$J$187-'Resale flat dataset (DV)'!O110)^2+('Schools dataset'!$K$3:$K$187-'Resale flat dataset (DV)'!P110)^2)), SQRT(('Schools dataset'!$J$3:$J$187-'Resale flat dataset (DV)'!O110)^2+('Schools dataset'!$K$3:$K$187-'Resale flat dataset (DV)'!P110)^2), 0))</f>
        <v>PEI TONG PRIMARY SCHOOL</v>
      </c>
      <c r="T110" s="39">
        <f>ACOS(COS(RADIANS(90-O110))*COS(RADIANS(90-_xlfn.XLOOKUP(Q110,'MRT station dataset'!$C$3:$C$179,'MRT station dataset'!$E$3:$E$179)))+SIN(RADIANS(90-O110))*SIN(RADIANS(90-_xlfn.XLOOKUP(Q110,'MRT station dataset'!$C$3:$C$179,'MRT station dataset'!$E$3:$E$179)))*COS(RADIANS(P110-_xlfn.XLOOKUP('Resale flat dataset (DV)'!Q110,'MRT station dataset'!$C$3:$C$179,'MRT station dataset'!$F$3:$F$179))))*6371*1000</f>
        <v>741.11060263082516</v>
      </c>
      <c r="U110" s="39">
        <f>ACOS(COS(RADIANS(90-O110))*COS(RADIANS(90-_xlfn.XLOOKUP(R110,'Mall Dataset'!$B$3:$B$157,'Mall Dataset'!$E$3:$E$157,,0)))+SIN(RADIANS(90-O110))*SIN(RADIANS(90-_xlfn.XLOOKUP(R110,'Mall Dataset'!$B$3:$B$157,'Mall Dataset'!$E$3:$E$157,,0)))*COS(RADIANS(P110-_xlfn.XLOOKUP(R110,'Mall Dataset'!$B$3:$B$157,'Mall Dataset'!$F$3:$F$157,,0))))*6371*1000</f>
        <v>783.88985605942435</v>
      </c>
      <c r="V110" s="39">
        <f>ACOS(COS(RADIANS(90-O110))*COS(RADIANS(90-_xlfn.XLOOKUP(S110,'Schools dataset'!$B$3:$B$187,'Schools dataset'!$J$3:$J$187,,0)))+SIN(RADIANS(90-O110))*SIN(RADIANS(90-_xlfn.XLOOKUP(S110,'Schools dataset'!$B$3:$B$187,'Schools dataset'!$J$3:$J$187,,0)))*COS(RADIANS(P110-_xlfn.XLOOKUP(S110,'Schools dataset'!$B$3:$B$187,'Schools dataset'!$K$3:$K$187,,0))))*6371*1000</f>
        <v>547.20974231039054</v>
      </c>
      <c r="W110" s="20">
        <f>_xlfn.XLOOKUP(T110,'HDB Recommender'!$P$10:$P$39,'HDB Recommender'!$Q$10:$Q$39,"&gt;30mins",1)</f>
        <v>10</v>
      </c>
      <c r="X110" s="20">
        <f>_xlfn.XLOOKUP(U110,'HDB Recommender'!$P$10:$P$39,'HDB Recommender'!$Q$10:$Q$39,"&gt;30mins",1)</f>
        <v>11</v>
      </c>
      <c r="Y110" s="20">
        <f>_xlfn.XLOOKUP(V110,'HDB Recommender'!$P$10:$P$39,'HDB Recommender'!$Q$10:$Q$39,"&gt;30mins",1)</f>
        <v>8</v>
      </c>
      <c r="Z110" s="39">
        <f t="shared" si="2"/>
        <v>9.6666666666666661</v>
      </c>
      <c r="AA110" s="20" t="str">
        <f t="shared" si="3"/>
        <v>Within 1km</v>
      </c>
    </row>
    <row r="111" spans="2:27">
      <c r="B111" s="35" t="s">
        <v>317</v>
      </c>
      <c r="C111" s="35" t="s">
        <v>512</v>
      </c>
      <c r="D111" s="35" t="s">
        <v>20</v>
      </c>
      <c r="E111" s="35"/>
      <c r="F111" s="35" t="s">
        <v>515</v>
      </c>
      <c r="G111" s="35" t="s">
        <v>323</v>
      </c>
      <c r="H111" s="35">
        <v>94</v>
      </c>
      <c r="I111" s="35" t="s">
        <v>335</v>
      </c>
      <c r="J111" s="36">
        <v>2018</v>
      </c>
      <c r="K111" s="39">
        <v>93.9166666666666</v>
      </c>
      <c r="L111" s="37">
        <v>980000</v>
      </c>
      <c r="M111" s="35" t="s">
        <v>516</v>
      </c>
      <c r="N111" s="27">
        <v>122440</v>
      </c>
      <c r="O111" s="38">
        <v>1.3162393653820501</v>
      </c>
      <c r="P111" s="38">
        <v>103.76356637580101</v>
      </c>
      <c r="Q111" s="38" t="str" cm="1">
        <f t="array" ref="Q111">INDEX('MRT station dataset'!$C$3:$C$179, MATCH(MIN(SQRT(('MRT station dataset'!$E$3:$E$179-'Resale flat dataset (DV)'!O111)^2+('MRT station dataset'!$F$3:$F$179-'Resale flat dataset (DV)'!P111)^2)), SQRT(('MRT station dataset'!$E$3:$E$179-'Resale flat dataset (DV)'!O111)^2+('MRT station dataset'!$F$3:$F$179-'Resale flat dataset (DV)'!P111)^2), 0))</f>
        <v>CLEMENTI MRT STATION</v>
      </c>
      <c r="R111" s="38" t="str" cm="1">
        <f t="array" ref="R111">INDEX('Mall Dataset'!$B$3:$B$157, MATCH(MIN(SQRT(('Mall Dataset'!$E$3:$E$157-'Resale flat dataset (DV)'!O111)^2+('Mall Dataset'!$F$3:$F$157-'Resale flat dataset (DV)'!P111)^2)), SQRT(('Mall Dataset'!$E$3:$E$157-'Resale flat dataset (DV)'!O111)^2+('Mall Dataset'!$F$3:$F$157-'Resale flat dataset (DV)'!P111)^2), 0))</f>
        <v>The Clementi Mall</v>
      </c>
      <c r="S111" s="38" t="str" cm="1">
        <f t="array" ref="S111">INDEX('Schools dataset'!$B$3:$B$187, MATCH(MIN(SQRT(('Schools dataset'!$J$3:$J$187-'Resale flat dataset (DV)'!O111)^2+('Schools dataset'!$K$3:$K$187-'Resale flat dataset (DV)'!P111)^2)), SQRT(('Schools dataset'!$J$3:$J$187-'Resale flat dataset (DV)'!O111)^2+('Schools dataset'!$K$3:$K$187-'Resale flat dataset (DV)'!P111)^2), 0))</f>
        <v>CLEMENTI PRIMARY SCHOOL</v>
      </c>
      <c r="T111" s="39">
        <f>ACOS(COS(RADIANS(90-O111))*COS(RADIANS(90-_xlfn.XLOOKUP(Q111,'MRT station dataset'!$C$3:$C$179,'MRT station dataset'!$E$3:$E$179)))+SIN(RADIANS(90-O111))*SIN(RADIANS(90-_xlfn.XLOOKUP(Q111,'MRT station dataset'!$C$3:$C$179,'MRT station dataset'!$E$3:$E$179)))*COS(RADIANS(P111-_xlfn.XLOOKUP('Resale flat dataset (DV)'!Q111,'MRT station dataset'!$C$3:$C$179,'MRT station dataset'!$F$3:$F$179))))*6371*1000</f>
        <v>236.92333779205654</v>
      </c>
      <c r="U111" s="39">
        <f>ACOS(COS(RADIANS(90-O111))*COS(RADIANS(90-_xlfn.XLOOKUP(R111,'Mall Dataset'!$B$3:$B$157,'Mall Dataset'!$E$3:$E$157,,0)))+SIN(RADIANS(90-O111))*SIN(RADIANS(90-_xlfn.XLOOKUP(R111,'Mall Dataset'!$B$3:$B$157,'Mall Dataset'!$E$3:$E$157,,0)))*COS(RADIANS(P111-_xlfn.XLOOKUP(R111,'Mall Dataset'!$B$3:$B$157,'Mall Dataset'!$F$3:$F$157,,0))))*6371*1000</f>
        <v>177.13227248812925</v>
      </c>
      <c r="V111" s="39">
        <f>ACOS(COS(RADIANS(90-O111))*COS(RADIANS(90-_xlfn.XLOOKUP(S111,'Schools dataset'!$B$3:$B$187,'Schools dataset'!$J$3:$J$187,,0)))+SIN(RADIANS(90-O111))*SIN(RADIANS(90-_xlfn.XLOOKUP(S111,'Schools dataset'!$B$3:$B$187,'Schools dataset'!$J$3:$J$187,,0)))*COS(RADIANS(P111-_xlfn.XLOOKUP(S111,'Schools dataset'!$B$3:$B$187,'Schools dataset'!$K$3:$K$187,,0))))*6371*1000</f>
        <v>147.37835890220373</v>
      </c>
      <c r="W111" s="20">
        <f>_xlfn.XLOOKUP(T111,'HDB Recommender'!$P$10:$P$39,'HDB Recommender'!$Q$10:$Q$39,"&gt;30mins",1)</f>
        <v>4</v>
      </c>
      <c r="X111" s="20">
        <f>_xlfn.XLOOKUP(U111,'HDB Recommender'!$P$10:$P$39,'HDB Recommender'!$Q$10:$Q$39,"&gt;30mins",1)</f>
        <v>3</v>
      </c>
      <c r="Y111" s="20">
        <f>_xlfn.XLOOKUP(V111,'HDB Recommender'!$P$10:$P$39,'HDB Recommender'!$Q$10:$Q$39,"&gt;30mins",1)</f>
        <v>2</v>
      </c>
      <c r="Z111" s="39">
        <f t="shared" si="2"/>
        <v>3</v>
      </c>
      <c r="AA111" s="20" t="str">
        <f t="shared" si="3"/>
        <v>Within 1km</v>
      </c>
    </row>
    <row r="112" spans="2:27">
      <c r="B112" s="35" t="s">
        <v>317</v>
      </c>
      <c r="C112" s="35" t="s">
        <v>512</v>
      </c>
      <c r="D112" s="35" t="s">
        <v>383</v>
      </c>
      <c r="E112" s="35">
        <v>111</v>
      </c>
      <c r="F112" s="35" t="s">
        <v>517</v>
      </c>
      <c r="G112" s="35" t="s">
        <v>191</v>
      </c>
      <c r="H112" s="35">
        <v>147</v>
      </c>
      <c r="I112" s="35" t="s">
        <v>392</v>
      </c>
      <c r="J112" s="36">
        <v>1985</v>
      </c>
      <c r="K112" s="39">
        <v>60.3333333333333</v>
      </c>
      <c r="L112" s="37">
        <v>997800</v>
      </c>
      <c r="M112" s="35" t="s">
        <v>518</v>
      </c>
      <c r="N112" s="27">
        <v>120111</v>
      </c>
      <c r="O112" s="38">
        <v>1.3232160537550599</v>
      </c>
      <c r="P112" s="38">
        <v>103.771126100117</v>
      </c>
      <c r="Q112" s="38" t="str" cm="1">
        <f t="array" ref="Q112">INDEX('MRT station dataset'!$C$3:$C$179, MATCH(MIN(SQRT(('MRT station dataset'!$E$3:$E$179-'Resale flat dataset (DV)'!O112)^2+('MRT station dataset'!$F$3:$F$179-'Resale flat dataset (DV)'!P112)^2)), SQRT(('MRT station dataset'!$E$3:$E$179-'Resale flat dataset (DV)'!O112)^2+('MRT station dataset'!$F$3:$F$179-'Resale flat dataset (DV)'!P112)^2), 0))</f>
        <v>CLEMENTI MRT STATION</v>
      </c>
      <c r="R112" s="38" t="str" cm="1">
        <f t="array" ref="R112">INDEX('Mall Dataset'!$B$3:$B$157, MATCH(MIN(SQRT(('Mall Dataset'!$E$3:$E$157-'Resale flat dataset (DV)'!O112)^2+('Mall Dataset'!$F$3:$F$157-'Resale flat dataset (DV)'!P112)^2)), SQRT(('Mall Dataset'!$E$3:$E$157-'Resale flat dataset (DV)'!O112)^2+('Mall Dataset'!$F$3:$F$157-'Resale flat dataset (DV)'!P112)^2), 0))</f>
        <v>The Clementi Mall</v>
      </c>
      <c r="S112" s="38" t="str" cm="1">
        <f t="array" ref="S112">INDEX('Schools dataset'!$B$3:$B$187, MATCH(MIN(SQRT(('Schools dataset'!$J$3:$J$187-'Resale flat dataset (DV)'!O112)^2+('Schools dataset'!$K$3:$K$187-'Resale flat dataset (DV)'!P112)^2)), SQRT(('Schools dataset'!$J$3:$J$187-'Resale flat dataset (DV)'!O112)^2+('Schools dataset'!$K$3:$K$187-'Resale flat dataset (DV)'!P112)^2), 0))</f>
        <v>PEI TONG PRIMARY SCHOOL</v>
      </c>
      <c r="T112" s="39">
        <f>ACOS(COS(RADIANS(90-O112))*COS(RADIANS(90-_xlfn.XLOOKUP(Q112,'MRT station dataset'!$C$3:$C$179,'MRT station dataset'!$E$3:$E$179)))+SIN(RADIANS(90-O112))*SIN(RADIANS(90-_xlfn.XLOOKUP(Q112,'MRT station dataset'!$C$3:$C$179,'MRT station dataset'!$E$3:$E$179)))*COS(RADIANS(P112-_xlfn.XLOOKUP('Resale flat dataset (DV)'!Q112,'MRT station dataset'!$C$3:$C$179,'MRT station dataset'!$F$3:$F$179))))*6371*1000</f>
        <v>1119.8659228682932</v>
      </c>
      <c r="U112" s="39">
        <f>ACOS(COS(RADIANS(90-O112))*COS(RADIANS(90-_xlfn.XLOOKUP(R112,'Mall Dataset'!$B$3:$B$157,'Mall Dataset'!$E$3:$E$157,,0)))+SIN(RADIANS(90-O112))*SIN(RADIANS(90-_xlfn.XLOOKUP(R112,'Mall Dataset'!$B$3:$B$157,'Mall Dataset'!$E$3:$E$157,,0)))*COS(RADIANS(P112-_xlfn.XLOOKUP(R112,'Mall Dataset'!$B$3:$B$157,'Mall Dataset'!$F$3:$F$157,,0))))*6371*1000</f>
        <v>1187.8982767468863</v>
      </c>
      <c r="V112" s="39">
        <f>ACOS(COS(RADIANS(90-O112))*COS(RADIANS(90-_xlfn.XLOOKUP(S112,'Schools dataset'!$B$3:$B$187,'Schools dataset'!$J$3:$J$187,,0)))+SIN(RADIANS(90-O112))*SIN(RADIANS(90-_xlfn.XLOOKUP(S112,'Schools dataset'!$B$3:$B$187,'Schools dataset'!$J$3:$J$187,,0)))*COS(RADIANS(P112-_xlfn.XLOOKUP(S112,'Schools dataset'!$B$3:$B$187,'Schools dataset'!$K$3:$K$187,,0))))*6371*1000</f>
        <v>836.36619324659205</v>
      </c>
      <c r="W112" s="20">
        <f>_xlfn.XLOOKUP(T112,'HDB Recommender'!$P$10:$P$39,'HDB Recommender'!$Q$10:$Q$39,"&gt;30mins",1)</f>
        <v>15</v>
      </c>
      <c r="X112" s="20">
        <f>_xlfn.XLOOKUP(U112,'HDB Recommender'!$P$10:$P$39,'HDB Recommender'!$Q$10:$Q$39,"&gt;30mins",1)</f>
        <v>16</v>
      </c>
      <c r="Y112" s="20">
        <f>_xlfn.XLOOKUP(V112,'HDB Recommender'!$P$10:$P$39,'HDB Recommender'!$Q$10:$Q$39,"&gt;30mins",1)</f>
        <v>12</v>
      </c>
      <c r="Z112" s="39">
        <f t="shared" si="2"/>
        <v>14.333333333333334</v>
      </c>
      <c r="AA112" s="20" t="str">
        <f t="shared" si="3"/>
        <v>Within 1km</v>
      </c>
    </row>
    <row r="113" spans="2:27">
      <c r="B113" s="35" t="s">
        <v>317</v>
      </c>
      <c r="C113" s="35" t="s">
        <v>519</v>
      </c>
      <c r="D113" s="35" t="s">
        <v>318</v>
      </c>
      <c r="E113" s="35">
        <v>34</v>
      </c>
      <c r="F113" s="35" t="s">
        <v>520</v>
      </c>
      <c r="G113" s="35" t="s">
        <v>349</v>
      </c>
      <c r="H113" s="35">
        <v>60</v>
      </c>
      <c r="I113" s="35" t="s">
        <v>342</v>
      </c>
      <c r="J113" s="36">
        <v>1967</v>
      </c>
      <c r="K113" s="39">
        <v>42.3333333333333</v>
      </c>
      <c r="L113" s="37">
        <v>305000</v>
      </c>
      <c r="M113" s="35" t="s">
        <v>521</v>
      </c>
      <c r="N113" s="27">
        <v>370034</v>
      </c>
      <c r="O113" s="38">
        <v>1.3290436176182401</v>
      </c>
      <c r="P113" s="38">
        <v>103.887438053241</v>
      </c>
      <c r="Q113" s="38" t="str" cm="1">
        <f t="array" ref="Q113">INDEX('MRT station dataset'!$C$3:$C$179, MATCH(MIN(SQRT(('MRT station dataset'!$E$3:$E$179-'Resale flat dataset (DV)'!O113)^2+('MRT station dataset'!$F$3:$F$179-'Resale flat dataset (DV)'!P113)^2)), SQRT(('MRT station dataset'!$E$3:$E$179-'Resale flat dataset (DV)'!O113)^2+('MRT station dataset'!$F$3:$F$179-'Resale flat dataset (DV)'!P113)^2), 0))</f>
        <v>MACPHERSON MRT STATION</v>
      </c>
      <c r="R113" s="38" t="str" cm="1">
        <f t="array" ref="R113">INDEX('Mall Dataset'!$B$3:$B$157, MATCH(MIN(SQRT(('Mall Dataset'!$E$3:$E$157-'Resale flat dataset (DV)'!O113)^2+('Mall Dataset'!$F$3:$F$157-'Resale flat dataset (DV)'!P113)^2)), SQRT(('Mall Dataset'!$E$3:$E$157-'Resale flat dataset (DV)'!O113)^2+('Mall Dataset'!$F$3:$F$157-'Resale flat dataset (DV)'!P113)^2), 0))</f>
        <v>Paya Lebar Square</v>
      </c>
      <c r="S113" s="38" t="str" cm="1">
        <f t="array" ref="S113">INDEX('Schools dataset'!$B$3:$B$187, MATCH(MIN(SQRT(('Schools dataset'!$J$3:$J$187-'Resale flat dataset (DV)'!O113)^2+('Schools dataset'!$K$3:$K$187-'Resale flat dataset (DV)'!P113)^2)), SQRT(('Schools dataset'!$J$3:$J$187-'Resale flat dataset (DV)'!O113)^2+('Schools dataset'!$K$3:$K$187-'Resale flat dataset (DV)'!P113)^2), 0))</f>
        <v>CANOSSA CATHOLIC PRIMARY SCHOOL</v>
      </c>
      <c r="T113" s="39">
        <f>ACOS(COS(RADIANS(90-O113))*COS(RADIANS(90-_xlfn.XLOOKUP(Q113,'MRT station dataset'!$C$3:$C$179,'MRT station dataset'!$E$3:$E$179)))+SIN(RADIANS(90-O113))*SIN(RADIANS(90-_xlfn.XLOOKUP(Q113,'MRT station dataset'!$C$3:$C$179,'MRT station dataset'!$E$3:$E$179)))*COS(RADIANS(P113-_xlfn.XLOOKUP('Resale flat dataset (DV)'!Q113,'MRT station dataset'!$C$3:$C$179,'MRT station dataset'!$F$3:$F$179))))*6371*1000</f>
        <v>440.78348440544681</v>
      </c>
      <c r="U113" s="39">
        <f>ACOS(COS(RADIANS(90-O113))*COS(RADIANS(90-_xlfn.XLOOKUP(R113,'Mall Dataset'!$B$3:$B$157,'Mall Dataset'!$E$3:$E$157,,0)))+SIN(RADIANS(90-O113))*SIN(RADIANS(90-_xlfn.XLOOKUP(R113,'Mall Dataset'!$B$3:$B$157,'Mall Dataset'!$E$3:$E$157,,0)))*COS(RADIANS(P113-_xlfn.XLOOKUP(R113,'Mall Dataset'!$B$3:$B$157,'Mall Dataset'!$F$3:$F$157,,0))))*6371*1000</f>
        <v>1272.9793342733542</v>
      </c>
      <c r="V113" s="39">
        <f>ACOS(COS(RADIANS(90-O113))*COS(RADIANS(90-_xlfn.XLOOKUP(S113,'Schools dataset'!$B$3:$B$187,'Schools dataset'!$J$3:$J$187,,0)))+SIN(RADIANS(90-O113))*SIN(RADIANS(90-_xlfn.XLOOKUP(S113,'Schools dataset'!$B$3:$B$187,'Schools dataset'!$J$3:$J$187,,0)))*COS(RADIANS(P113-_xlfn.XLOOKUP(S113,'Schools dataset'!$B$3:$B$187,'Schools dataset'!$K$3:$K$187,,0))))*6371*1000</f>
        <v>755.76395166960265</v>
      </c>
      <c r="W113" s="20">
        <f>_xlfn.XLOOKUP(T113,'HDB Recommender'!$P$10:$P$39,'HDB Recommender'!$Q$10:$Q$39,"&gt;30mins",1)</f>
        <v>6</v>
      </c>
      <c r="X113" s="20">
        <f>_xlfn.XLOOKUP(U113,'HDB Recommender'!$P$10:$P$39,'HDB Recommender'!$Q$10:$Q$39,"&gt;30mins",1)</f>
        <v>17</v>
      </c>
      <c r="Y113" s="20">
        <f>_xlfn.XLOOKUP(V113,'HDB Recommender'!$P$10:$P$39,'HDB Recommender'!$Q$10:$Q$39,"&gt;30mins",1)</f>
        <v>11</v>
      </c>
      <c r="Z113" s="39">
        <f t="shared" si="2"/>
        <v>11.333333333333334</v>
      </c>
      <c r="AA113" s="20" t="str">
        <f t="shared" si="3"/>
        <v>Within 1km</v>
      </c>
    </row>
    <row r="114" spans="2:27">
      <c r="B114" s="35" t="s">
        <v>317</v>
      </c>
      <c r="C114" s="35" t="s">
        <v>519</v>
      </c>
      <c r="D114" s="35" t="s">
        <v>318</v>
      </c>
      <c r="E114" s="35">
        <v>99</v>
      </c>
      <c r="F114" s="35" t="s">
        <v>522</v>
      </c>
      <c r="G114" s="35" t="s">
        <v>191</v>
      </c>
      <c r="H114" s="35">
        <v>56</v>
      </c>
      <c r="I114" s="35" t="s">
        <v>342</v>
      </c>
      <c r="J114" s="36">
        <v>1969</v>
      </c>
      <c r="K114" s="39">
        <v>44.3333333333333</v>
      </c>
      <c r="L114" s="37">
        <v>335000</v>
      </c>
      <c r="M114" s="35" t="s">
        <v>523</v>
      </c>
      <c r="N114" s="27">
        <v>390099</v>
      </c>
      <c r="O114" s="38">
        <v>1.3085895382975701</v>
      </c>
      <c r="P114" s="38">
        <v>103.888244872808</v>
      </c>
      <c r="Q114" s="38" t="str" cm="1">
        <f t="array" ref="Q114">INDEX('MRT station dataset'!$C$3:$C$179, MATCH(MIN(SQRT(('MRT station dataset'!$E$3:$E$179-'Resale flat dataset (DV)'!O114)^2+('MRT station dataset'!$F$3:$F$179-'Resale flat dataset (DV)'!P114)^2)), SQRT(('MRT station dataset'!$E$3:$E$179-'Resale flat dataset (DV)'!O114)^2+('MRT station dataset'!$F$3:$F$179-'Resale flat dataset (DV)'!P114)^2), 0))</f>
        <v>DAKOTA MRT STATION</v>
      </c>
      <c r="R114" s="38" t="str" cm="1">
        <f t="array" ref="R114">INDEX('Mall Dataset'!$B$3:$B$157, MATCH(MIN(SQRT(('Mall Dataset'!$E$3:$E$157-'Resale flat dataset (DV)'!O114)^2+('Mall Dataset'!$F$3:$F$157-'Resale flat dataset (DV)'!P114)^2)), SQRT(('Mall Dataset'!$E$3:$E$157-'Resale flat dataset (DV)'!O114)^2+('Mall Dataset'!$F$3:$F$157-'Resale flat dataset (DV)'!P114)^2), 0))</f>
        <v>City Plaza</v>
      </c>
      <c r="S114" s="38" t="str" cm="1">
        <f t="array" ref="S114">INDEX('Schools dataset'!$B$3:$B$187, MATCH(MIN(SQRT(('Schools dataset'!$J$3:$J$187-'Resale flat dataset (DV)'!O114)^2+('Schools dataset'!$K$3:$K$187-'Resale flat dataset (DV)'!P114)^2)), SQRT(('Schools dataset'!$J$3:$J$187-'Resale flat dataset (DV)'!O114)^2+('Schools dataset'!$K$3:$K$187-'Resale flat dataset (DV)'!P114)^2), 0))</f>
        <v>KONG HWA SCHOOL</v>
      </c>
      <c r="T114" s="39">
        <f>ACOS(COS(RADIANS(90-O114))*COS(RADIANS(90-_xlfn.XLOOKUP(Q114,'MRT station dataset'!$C$3:$C$179,'MRT station dataset'!$E$3:$E$179)))+SIN(RADIANS(90-O114))*SIN(RADIANS(90-_xlfn.XLOOKUP(Q114,'MRT station dataset'!$C$3:$C$179,'MRT station dataset'!$E$3:$E$179)))*COS(RADIANS(P114-_xlfn.XLOOKUP('Resale flat dataset (DV)'!Q114,'MRT station dataset'!$C$3:$C$179,'MRT station dataset'!$F$3:$F$179))))*6371*1000</f>
        <v>54.808754762153413</v>
      </c>
      <c r="U114" s="39">
        <f>ACOS(COS(RADIANS(90-O114))*COS(RADIANS(90-_xlfn.XLOOKUP(R114,'Mall Dataset'!$B$3:$B$157,'Mall Dataset'!$E$3:$E$157,,0)))+SIN(RADIANS(90-O114))*SIN(RADIANS(90-_xlfn.XLOOKUP(R114,'Mall Dataset'!$B$3:$B$157,'Mall Dataset'!$E$3:$E$157,,0)))*COS(RADIANS(P114-_xlfn.XLOOKUP(R114,'Mall Dataset'!$B$3:$B$157,'Mall Dataset'!$F$3:$F$157,,0))))*6371*1000</f>
        <v>897.41756259219937</v>
      </c>
      <c r="V114" s="39">
        <f>ACOS(COS(RADIANS(90-O114))*COS(RADIANS(90-_xlfn.XLOOKUP(S114,'Schools dataset'!$B$3:$B$187,'Schools dataset'!$J$3:$J$187,,0)))+SIN(RADIANS(90-O114))*SIN(RADIANS(90-_xlfn.XLOOKUP(S114,'Schools dataset'!$B$3:$B$187,'Schools dataset'!$J$3:$J$187,,0)))*COS(RADIANS(P114-_xlfn.XLOOKUP(S114,'Schools dataset'!$B$3:$B$187,'Schools dataset'!$K$3:$K$187,,0))))*6371*1000</f>
        <v>261.57989363518942</v>
      </c>
      <c r="W114" s="20">
        <f>_xlfn.XLOOKUP(T114,'HDB Recommender'!$P$10:$P$39,'HDB Recommender'!$Q$10:$Q$39,"&gt;30mins",1)</f>
        <v>2</v>
      </c>
      <c r="X114" s="20">
        <f>_xlfn.XLOOKUP(U114,'HDB Recommender'!$P$10:$P$39,'HDB Recommender'!$Q$10:$Q$39,"&gt;30mins",1)</f>
        <v>12</v>
      </c>
      <c r="Y114" s="20">
        <f>_xlfn.XLOOKUP(V114,'HDB Recommender'!$P$10:$P$39,'HDB Recommender'!$Q$10:$Q$39,"&gt;30mins",1)</f>
        <v>4</v>
      </c>
      <c r="Z114" s="39">
        <f t="shared" si="2"/>
        <v>6</v>
      </c>
      <c r="AA114" s="20" t="str">
        <f t="shared" si="3"/>
        <v>Within 1km</v>
      </c>
    </row>
    <row r="115" spans="2:27">
      <c r="B115" s="35" t="s">
        <v>317</v>
      </c>
      <c r="C115" s="35" t="s">
        <v>519</v>
      </c>
      <c r="D115" s="35" t="s">
        <v>20</v>
      </c>
      <c r="E115" s="35">
        <v>31</v>
      </c>
      <c r="F115" s="35" t="s">
        <v>524</v>
      </c>
      <c r="G115" s="35" t="s">
        <v>346</v>
      </c>
      <c r="H115" s="35">
        <v>92</v>
      </c>
      <c r="I115" s="35" t="s">
        <v>320</v>
      </c>
      <c r="J115" s="36">
        <v>1985</v>
      </c>
      <c r="K115" s="39">
        <v>60.5833333333333</v>
      </c>
      <c r="L115" s="37">
        <v>615000</v>
      </c>
      <c r="M115" s="35" t="s">
        <v>525</v>
      </c>
      <c r="N115" s="27">
        <v>370031</v>
      </c>
      <c r="O115" s="38">
        <v>1.32968232972727</v>
      </c>
      <c r="P115" s="38">
        <v>103.885407998763</v>
      </c>
      <c r="Q115" s="38" t="str" cm="1">
        <f t="array" ref="Q115">INDEX('MRT station dataset'!$C$3:$C$179, MATCH(MIN(SQRT(('MRT station dataset'!$E$3:$E$179-'Resale flat dataset (DV)'!O115)^2+('MRT station dataset'!$F$3:$F$179-'Resale flat dataset (DV)'!P115)^2)), SQRT(('MRT station dataset'!$E$3:$E$179-'Resale flat dataset (DV)'!O115)^2+('MRT station dataset'!$F$3:$F$179-'Resale flat dataset (DV)'!P115)^2), 0))</f>
        <v>MATTAR MRT STATION</v>
      </c>
      <c r="R115" s="38" t="str" cm="1">
        <f t="array" ref="R115">INDEX('Mall Dataset'!$B$3:$B$157, MATCH(MIN(SQRT(('Mall Dataset'!$E$3:$E$157-'Resale flat dataset (DV)'!O115)^2+('Mall Dataset'!$F$3:$F$157-'Resale flat dataset (DV)'!P115)^2)), SQRT(('Mall Dataset'!$E$3:$E$157-'Resale flat dataset (DV)'!O115)^2+('Mall Dataset'!$F$3:$F$157-'Resale flat dataset (DV)'!P115)^2), 0))</f>
        <v>Paya Lebar Square</v>
      </c>
      <c r="S115" s="38" t="str" cm="1">
        <f t="array" ref="S115">INDEX('Schools dataset'!$B$3:$B$187, MATCH(MIN(SQRT(('Schools dataset'!$J$3:$J$187-'Resale flat dataset (DV)'!O115)^2+('Schools dataset'!$K$3:$K$187-'Resale flat dataset (DV)'!P115)^2)), SQRT(('Schools dataset'!$J$3:$J$187-'Resale flat dataset (DV)'!O115)^2+('Schools dataset'!$K$3:$K$187-'Resale flat dataset (DV)'!P115)^2), 0))</f>
        <v>CANOSSA CATHOLIC PRIMARY SCHOOL</v>
      </c>
      <c r="T115" s="39">
        <f>ACOS(COS(RADIANS(90-O115))*COS(RADIANS(90-_xlfn.XLOOKUP(Q115,'MRT station dataset'!$C$3:$C$179,'MRT station dataset'!$E$3:$E$179)))+SIN(RADIANS(90-O115))*SIN(RADIANS(90-_xlfn.XLOOKUP(Q115,'MRT station dataset'!$C$3:$C$179,'MRT station dataset'!$E$3:$E$179)))*COS(RADIANS(P115-_xlfn.XLOOKUP('Resale flat dataset (DV)'!Q115,'MRT station dataset'!$C$3:$C$179,'MRT station dataset'!$F$3:$F$179))))*6371*1000</f>
        <v>394.92201919277625</v>
      </c>
      <c r="U115" s="39">
        <f>ACOS(COS(RADIANS(90-O115))*COS(RADIANS(90-_xlfn.XLOOKUP(R115,'Mall Dataset'!$B$3:$B$157,'Mall Dataset'!$E$3:$E$157,,0)))+SIN(RADIANS(90-O115))*SIN(RADIANS(90-_xlfn.XLOOKUP(R115,'Mall Dataset'!$B$3:$B$157,'Mall Dataset'!$E$3:$E$157,,0)))*COS(RADIANS(P115-_xlfn.XLOOKUP(R115,'Mall Dataset'!$B$3:$B$157,'Mall Dataset'!$F$3:$F$157,,0))))*6371*1000</f>
        <v>1447.7689278382488</v>
      </c>
      <c r="V115" s="39">
        <f>ACOS(COS(RADIANS(90-O115))*COS(RADIANS(90-_xlfn.XLOOKUP(S115,'Schools dataset'!$B$3:$B$187,'Schools dataset'!$J$3:$J$187,,0)))+SIN(RADIANS(90-O115))*SIN(RADIANS(90-_xlfn.XLOOKUP(S115,'Schools dataset'!$B$3:$B$187,'Schools dataset'!$J$3:$J$187,,0)))*COS(RADIANS(P115-_xlfn.XLOOKUP(S115,'Schools dataset'!$B$3:$B$187,'Schools dataset'!$K$3:$K$187,,0))))*6371*1000</f>
        <v>582.08911992698336</v>
      </c>
      <c r="W115" s="20">
        <f>_xlfn.XLOOKUP(T115,'HDB Recommender'!$P$10:$P$39,'HDB Recommender'!$Q$10:$Q$39,"&gt;30mins",1)</f>
        <v>6</v>
      </c>
      <c r="X115" s="20">
        <f>_xlfn.XLOOKUP(U115,'HDB Recommender'!$P$10:$P$39,'HDB Recommender'!$Q$10:$Q$39,"&gt;30mins",1)</f>
        <v>20</v>
      </c>
      <c r="Y115" s="20">
        <f>_xlfn.XLOOKUP(V115,'HDB Recommender'!$P$10:$P$39,'HDB Recommender'!$Q$10:$Q$39,"&gt;30mins",1)</f>
        <v>8</v>
      </c>
      <c r="Z115" s="39">
        <f t="shared" si="2"/>
        <v>11.333333333333334</v>
      </c>
      <c r="AA115" s="20" t="str">
        <f t="shared" si="3"/>
        <v>Within 1km</v>
      </c>
    </row>
    <row r="116" spans="2:27">
      <c r="B116" s="35" t="s">
        <v>317</v>
      </c>
      <c r="C116" s="35" t="s">
        <v>519</v>
      </c>
      <c r="D116" s="35" t="s">
        <v>20</v>
      </c>
      <c r="E116" s="35">
        <v>122</v>
      </c>
      <c r="F116" s="35" t="s">
        <v>526</v>
      </c>
      <c r="G116" s="35" t="s">
        <v>189</v>
      </c>
      <c r="H116" s="35">
        <v>92</v>
      </c>
      <c r="I116" s="35" t="s">
        <v>320</v>
      </c>
      <c r="J116" s="36">
        <v>1980</v>
      </c>
      <c r="K116" s="39">
        <v>56</v>
      </c>
      <c r="L116" s="37">
        <v>538000</v>
      </c>
      <c r="M116" s="35" t="s">
        <v>527</v>
      </c>
      <c r="N116" s="27">
        <v>381122</v>
      </c>
      <c r="O116" s="38">
        <v>1.3226003798252799</v>
      </c>
      <c r="P116" s="38">
        <v>103.882463210918</v>
      </c>
      <c r="Q116" s="38" t="str" cm="1">
        <f t="array" ref="Q116">INDEX('MRT station dataset'!$C$3:$C$179, MATCH(MIN(SQRT(('MRT station dataset'!$E$3:$E$179-'Resale flat dataset (DV)'!O116)^2+('MRT station dataset'!$F$3:$F$179-'Resale flat dataset (DV)'!P116)^2)), SQRT(('MRT station dataset'!$E$3:$E$179-'Resale flat dataset (DV)'!O116)^2+('MRT station dataset'!$F$3:$F$179-'Resale flat dataset (DV)'!P116)^2), 0))</f>
        <v>MATTAR MRT STATION</v>
      </c>
      <c r="R116" s="38" t="str" cm="1">
        <f t="array" ref="R116">INDEX('Mall Dataset'!$B$3:$B$157, MATCH(MIN(SQRT(('Mall Dataset'!$E$3:$E$157-'Resale flat dataset (DV)'!O116)^2+('Mall Dataset'!$F$3:$F$157-'Resale flat dataset (DV)'!P116)^2)), SQRT(('Mall Dataset'!$E$3:$E$157-'Resale flat dataset (DV)'!O116)^2+('Mall Dataset'!$F$3:$F$157-'Resale flat dataset (DV)'!P116)^2), 0))</f>
        <v>Paya Lebar Square</v>
      </c>
      <c r="S116" s="38" t="str" cm="1">
        <f t="array" ref="S116">INDEX('Schools dataset'!$B$3:$B$187, MATCH(MIN(SQRT(('Schools dataset'!$J$3:$J$187-'Resale flat dataset (DV)'!O116)^2+('Schools dataset'!$K$3:$K$187-'Resale flat dataset (DV)'!P116)^2)), SQRT(('Schools dataset'!$J$3:$J$187-'Resale flat dataset (DV)'!O116)^2+('Schools dataset'!$K$3:$K$187-'Resale flat dataset (DV)'!P116)^2), 0))</f>
        <v>ST. MARGARET'S PRIMARY SCHOOL</v>
      </c>
      <c r="T116" s="39">
        <f>ACOS(COS(RADIANS(90-O116))*COS(RADIANS(90-_xlfn.XLOOKUP(Q116,'MRT station dataset'!$C$3:$C$179,'MRT station dataset'!$E$3:$E$179)))+SIN(RADIANS(90-O116))*SIN(RADIANS(90-_xlfn.XLOOKUP(Q116,'MRT station dataset'!$C$3:$C$179,'MRT station dataset'!$E$3:$E$179)))*COS(RADIANS(P116-_xlfn.XLOOKUP('Resale flat dataset (DV)'!Q116,'MRT station dataset'!$C$3:$C$179,'MRT station dataset'!$F$3:$F$179))))*6371*1000</f>
        <v>485.06104253012847</v>
      </c>
      <c r="U116" s="39">
        <f>ACOS(COS(RADIANS(90-O116))*COS(RADIANS(90-_xlfn.XLOOKUP(R116,'Mall Dataset'!$B$3:$B$157,'Mall Dataset'!$E$3:$E$157,,0)))+SIN(RADIANS(90-O116))*SIN(RADIANS(90-_xlfn.XLOOKUP(R116,'Mall Dataset'!$B$3:$B$157,'Mall Dataset'!$E$3:$E$157,,0)))*COS(RADIANS(P116-_xlfn.XLOOKUP(R116,'Mall Dataset'!$B$3:$B$157,'Mall Dataset'!$F$3:$F$157,,0))))*6371*1000</f>
        <v>1200.9097082452686</v>
      </c>
      <c r="V116" s="39">
        <f>ACOS(COS(RADIANS(90-O116))*COS(RADIANS(90-_xlfn.XLOOKUP(S116,'Schools dataset'!$B$3:$B$187,'Schools dataset'!$J$3:$J$187,,0)))+SIN(RADIANS(90-O116))*SIN(RADIANS(90-_xlfn.XLOOKUP(S116,'Schools dataset'!$B$3:$B$187,'Schools dataset'!$J$3:$J$187,,0)))*COS(RADIANS(P116-_xlfn.XLOOKUP(S116,'Schools dataset'!$B$3:$B$187,'Schools dataset'!$K$3:$K$187,,0))))*6371*1000</f>
        <v>215.22809856999524</v>
      </c>
      <c r="W116" s="20">
        <f>_xlfn.XLOOKUP(T116,'HDB Recommender'!$P$10:$P$39,'HDB Recommender'!$Q$10:$Q$39,"&gt;30mins",1)</f>
        <v>7</v>
      </c>
      <c r="X116" s="20">
        <f>_xlfn.XLOOKUP(U116,'HDB Recommender'!$P$10:$P$39,'HDB Recommender'!$Q$10:$Q$39,"&gt;30mins",1)</f>
        <v>17</v>
      </c>
      <c r="Y116" s="20">
        <f>_xlfn.XLOOKUP(V116,'HDB Recommender'!$P$10:$P$39,'HDB Recommender'!$Q$10:$Q$39,"&gt;30mins",1)</f>
        <v>3</v>
      </c>
      <c r="Z116" s="39">
        <f t="shared" si="2"/>
        <v>9</v>
      </c>
      <c r="AA116" s="20" t="str">
        <f t="shared" si="3"/>
        <v>Within 1km</v>
      </c>
    </row>
    <row r="117" spans="2:27">
      <c r="B117" s="35" t="s">
        <v>317</v>
      </c>
      <c r="C117" s="35" t="s">
        <v>519</v>
      </c>
      <c r="D117" s="35" t="s">
        <v>20</v>
      </c>
      <c r="E117" s="35">
        <v>301</v>
      </c>
      <c r="F117" s="35" t="s">
        <v>528</v>
      </c>
      <c r="G117" s="35" t="s">
        <v>349</v>
      </c>
      <c r="H117" s="35">
        <v>83</v>
      </c>
      <c r="I117" s="35" t="s">
        <v>369</v>
      </c>
      <c r="J117" s="36">
        <v>2000</v>
      </c>
      <c r="K117" s="39">
        <v>75.6666666666666</v>
      </c>
      <c r="L117" s="37">
        <v>500000</v>
      </c>
      <c r="M117" s="35" t="s">
        <v>529</v>
      </c>
      <c r="N117" s="27">
        <v>400301</v>
      </c>
      <c r="O117" s="38">
        <v>1.3311850961913301</v>
      </c>
      <c r="P117" s="38">
        <v>103.90209862614699</v>
      </c>
      <c r="Q117" s="38" t="str" cm="1">
        <f t="array" ref="Q117">INDEX('MRT station dataset'!$C$3:$C$179, MATCH(MIN(SQRT(('MRT station dataset'!$E$3:$E$179-'Resale flat dataset (DV)'!O117)^2+('MRT station dataset'!$F$3:$F$179-'Resale flat dataset (DV)'!P117)^2)), SQRT(('MRT station dataset'!$E$3:$E$179-'Resale flat dataset (DV)'!O117)^2+('MRT station dataset'!$F$3:$F$179-'Resale flat dataset (DV)'!P117)^2), 0))</f>
        <v>UBI MRT STATION</v>
      </c>
      <c r="R117" s="38" t="str" cm="1">
        <f t="array" ref="R117">INDEX('Mall Dataset'!$B$3:$B$157, MATCH(MIN(SQRT(('Mall Dataset'!$E$3:$E$157-'Resale flat dataset (DV)'!O117)^2+('Mall Dataset'!$F$3:$F$157-'Resale flat dataset (DV)'!P117)^2)), SQRT(('Mall Dataset'!$E$3:$E$157-'Resale flat dataset (DV)'!O117)^2+('Mall Dataset'!$F$3:$F$157-'Resale flat dataset (DV)'!P117)^2), 0))</f>
        <v>Singpost Centre</v>
      </c>
      <c r="S117" s="38" t="str" cm="1">
        <f t="array" ref="S117">INDEX('Schools dataset'!$B$3:$B$187, MATCH(MIN(SQRT(('Schools dataset'!$J$3:$J$187-'Resale flat dataset (DV)'!O117)^2+('Schools dataset'!$K$3:$K$187-'Resale flat dataset (DV)'!P117)^2)), SQRT(('Schools dataset'!$J$3:$J$187-'Resale flat dataset (DV)'!O117)^2+('Schools dataset'!$K$3:$K$187-'Resale flat dataset (DV)'!P117)^2), 0))</f>
        <v>MAHA BODHI SCHOOL</v>
      </c>
      <c r="T117" s="39">
        <f>ACOS(COS(RADIANS(90-O117))*COS(RADIANS(90-_xlfn.XLOOKUP(Q117,'MRT station dataset'!$C$3:$C$179,'MRT station dataset'!$E$3:$E$179)))+SIN(RADIANS(90-O117))*SIN(RADIANS(90-_xlfn.XLOOKUP(Q117,'MRT station dataset'!$C$3:$C$179,'MRT station dataset'!$E$3:$E$179)))*COS(RADIANS(P117-_xlfn.XLOOKUP('Resale flat dataset (DV)'!Q117,'MRT station dataset'!$C$3:$C$179,'MRT station dataset'!$F$3:$F$179))))*6371*1000</f>
        <v>337.86680301801562</v>
      </c>
      <c r="U117" s="39">
        <f>ACOS(COS(RADIANS(90-O117))*COS(RADIANS(90-_xlfn.XLOOKUP(R117,'Mall Dataset'!$B$3:$B$157,'Mall Dataset'!$E$3:$E$157,,0)))+SIN(RADIANS(90-O117))*SIN(RADIANS(90-_xlfn.XLOOKUP(R117,'Mall Dataset'!$B$3:$B$157,'Mall Dataset'!$E$3:$E$157,,0)))*COS(RADIANS(P117-_xlfn.XLOOKUP(R117,'Mall Dataset'!$B$3:$B$157,'Mall Dataset'!$F$3:$F$157,,0))))*6371*1000</f>
        <v>1574.1975574658684</v>
      </c>
      <c r="V117" s="39">
        <f>ACOS(COS(RADIANS(90-O117))*COS(RADIANS(90-_xlfn.XLOOKUP(S117,'Schools dataset'!$B$3:$B$187,'Schools dataset'!$J$3:$J$187,,0)))+SIN(RADIANS(90-O117))*SIN(RADIANS(90-_xlfn.XLOOKUP(S117,'Schools dataset'!$B$3:$B$187,'Schools dataset'!$J$3:$J$187,,0)))*COS(RADIANS(P117-_xlfn.XLOOKUP(S117,'Schools dataset'!$B$3:$B$187,'Schools dataset'!$K$3:$K$187,,0))))*6371*1000</f>
        <v>314.63487047888685</v>
      </c>
      <c r="W117" s="20">
        <f>_xlfn.XLOOKUP(T117,'HDB Recommender'!$P$10:$P$39,'HDB Recommender'!$Q$10:$Q$39,"&gt;30mins",1)</f>
        <v>5</v>
      </c>
      <c r="X117" s="20">
        <f>_xlfn.XLOOKUP(U117,'HDB Recommender'!$P$10:$P$39,'HDB Recommender'!$Q$10:$Q$39,"&gt;30mins",1)</f>
        <v>21</v>
      </c>
      <c r="Y117" s="20">
        <f>_xlfn.XLOOKUP(V117,'HDB Recommender'!$P$10:$P$39,'HDB Recommender'!$Q$10:$Q$39,"&gt;30mins",1)</f>
        <v>5</v>
      </c>
      <c r="Z117" s="39">
        <f t="shared" si="2"/>
        <v>10.333333333333334</v>
      </c>
      <c r="AA117" s="20" t="str">
        <f t="shared" si="3"/>
        <v>Within 1km</v>
      </c>
    </row>
    <row r="118" spans="2:27">
      <c r="B118" s="35" t="s">
        <v>317</v>
      </c>
      <c r="C118" s="35" t="s">
        <v>519</v>
      </c>
      <c r="D118" s="35" t="s">
        <v>341</v>
      </c>
      <c r="E118" s="35">
        <v>322</v>
      </c>
      <c r="F118" s="35" t="s">
        <v>528</v>
      </c>
      <c r="G118" s="35" t="s">
        <v>191</v>
      </c>
      <c r="H118" s="35">
        <v>122</v>
      </c>
      <c r="I118" s="35" t="s">
        <v>326</v>
      </c>
      <c r="J118" s="36">
        <v>1985</v>
      </c>
      <c r="K118" s="39">
        <v>61.0833333333333</v>
      </c>
      <c r="L118" s="37">
        <v>610000</v>
      </c>
      <c r="M118" s="35" t="s">
        <v>530</v>
      </c>
      <c r="N118" s="27">
        <v>400322</v>
      </c>
      <c r="O118" s="38">
        <v>1.3279128882412601</v>
      </c>
      <c r="P118" s="38">
        <v>103.904833849402</v>
      </c>
      <c r="Q118" s="38" t="str" cm="1">
        <f t="array" ref="Q118">INDEX('MRT station dataset'!$C$3:$C$179, MATCH(MIN(SQRT(('MRT station dataset'!$E$3:$E$179-'Resale flat dataset (DV)'!O118)^2+('MRT station dataset'!$F$3:$F$179-'Resale flat dataset (DV)'!P118)^2)), SQRT(('MRT station dataset'!$E$3:$E$179-'Resale flat dataset (DV)'!O118)^2+('MRT station dataset'!$F$3:$F$179-'Resale flat dataset (DV)'!P118)^2), 0))</f>
        <v>UBI MRT STATION</v>
      </c>
      <c r="R118" s="38" t="str" cm="1">
        <f t="array" ref="R118">INDEX('Mall Dataset'!$B$3:$B$157, MATCH(MIN(SQRT(('Mall Dataset'!$E$3:$E$157-'Resale flat dataset (DV)'!O118)^2+('Mall Dataset'!$F$3:$F$157-'Resale flat dataset (DV)'!P118)^2)), SQRT(('Mall Dataset'!$E$3:$E$157-'Resale flat dataset (DV)'!O118)^2+('Mall Dataset'!$F$3:$F$157-'Resale flat dataset (DV)'!P118)^2), 0))</f>
        <v>Singpost Centre</v>
      </c>
      <c r="S118" s="38" t="str" cm="1">
        <f t="array" ref="S118">INDEX('Schools dataset'!$B$3:$B$187, MATCH(MIN(SQRT(('Schools dataset'!$J$3:$J$187-'Resale flat dataset (DV)'!O118)^2+('Schools dataset'!$K$3:$K$187-'Resale flat dataset (DV)'!P118)^2)), SQRT(('Schools dataset'!$J$3:$J$187-'Resale flat dataset (DV)'!O118)^2+('Schools dataset'!$K$3:$K$187-'Resale flat dataset (DV)'!P118)^2), 0))</f>
        <v>EUNOS PRIMARY SCHOOL</v>
      </c>
      <c r="T118" s="39">
        <f>ACOS(COS(RADIANS(90-O118))*COS(RADIANS(90-_xlfn.XLOOKUP(Q118,'MRT station dataset'!$C$3:$C$179,'MRT station dataset'!$E$3:$E$179)))+SIN(RADIANS(90-O118))*SIN(RADIANS(90-_xlfn.XLOOKUP(Q118,'MRT station dataset'!$C$3:$C$179,'MRT station dataset'!$E$3:$E$179)))*COS(RADIANS(P118-_xlfn.XLOOKUP('Resale flat dataset (DV)'!Q118,'MRT station dataset'!$C$3:$C$179,'MRT station dataset'!$F$3:$F$179))))*6371*1000</f>
        <v>657.49075132262271</v>
      </c>
      <c r="U118" s="39">
        <f>ACOS(COS(RADIANS(90-O118))*COS(RADIANS(90-_xlfn.XLOOKUP(R118,'Mall Dataset'!$B$3:$B$157,'Mall Dataset'!$E$3:$E$157,,0)))+SIN(RADIANS(90-O118))*SIN(RADIANS(90-_xlfn.XLOOKUP(R118,'Mall Dataset'!$B$3:$B$157,'Mall Dataset'!$E$3:$E$157,,0)))*COS(RADIANS(P118-_xlfn.XLOOKUP(R118,'Mall Dataset'!$B$3:$B$157,'Mall Dataset'!$F$3:$F$157,,0))))*6371*1000</f>
        <v>1484.4779526896918</v>
      </c>
      <c r="V118" s="39">
        <f>ACOS(COS(RADIANS(90-O118))*COS(RADIANS(90-_xlfn.XLOOKUP(S118,'Schools dataset'!$B$3:$B$187,'Schools dataset'!$J$3:$J$187,,0)))+SIN(RADIANS(90-O118))*SIN(RADIANS(90-_xlfn.XLOOKUP(S118,'Schools dataset'!$B$3:$B$187,'Schools dataset'!$J$3:$J$187,,0)))*COS(RADIANS(P118-_xlfn.XLOOKUP(S118,'Schools dataset'!$B$3:$B$187,'Schools dataset'!$K$3:$K$187,,0))))*6371*1000</f>
        <v>383.51311850594902</v>
      </c>
      <c r="W118" s="20">
        <f>_xlfn.XLOOKUP(T118,'HDB Recommender'!$P$10:$P$39,'HDB Recommender'!$Q$10:$Q$39,"&gt;30mins",1)</f>
        <v>9</v>
      </c>
      <c r="X118" s="20">
        <f>_xlfn.XLOOKUP(U118,'HDB Recommender'!$P$10:$P$39,'HDB Recommender'!$Q$10:$Q$39,"&gt;30mins",1)</f>
        <v>20</v>
      </c>
      <c r="Y118" s="20">
        <f>_xlfn.XLOOKUP(V118,'HDB Recommender'!$P$10:$P$39,'HDB Recommender'!$Q$10:$Q$39,"&gt;30mins",1)</f>
        <v>6</v>
      </c>
      <c r="Z118" s="39">
        <f t="shared" si="2"/>
        <v>11.666666666666666</v>
      </c>
      <c r="AA118" s="20" t="str">
        <f t="shared" si="3"/>
        <v>Within 1km</v>
      </c>
    </row>
    <row r="119" spans="2:27">
      <c r="B119" s="35" t="s">
        <v>317</v>
      </c>
      <c r="C119" s="35" t="s">
        <v>531</v>
      </c>
      <c r="D119" s="35" t="s">
        <v>395</v>
      </c>
      <c r="E119" s="35"/>
      <c r="F119" s="35" t="s">
        <v>532</v>
      </c>
      <c r="G119" s="35" t="s">
        <v>323</v>
      </c>
      <c r="H119" s="35">
        <v>38</v>
      </c>
      <c r="I119" s="35" t="s">
        <v>335</v>
      </c>
      <c r="J119" s="36">
        <v>2019</v>
      </c>
      <c r="K119" s="39">
        <v>94.75</v>
      </c>
      <c r="L119" s="37">
        <v>345000</v>
      </c>
      <c r="M119" s="35" t="s">
        <v>533</v>
      </c>
      <c r="N119" s="27">
        <v>532992</v>
      </c>
      <c r="O119" s="38">
        <v>1.3838267304931</v>
      </c>
      <c r="P119" s="38">
        <v>103.881672473881</v>
      </c>
      <c r="Q119" s="38" t="str" cm="1">
        <f t="array" ref="Q119">INDEX('MRT station dataset'!$C$3:$C$179, MATCH(MIN(SQRT(('MRT station dataset'!$E$3:$E$179-'Resale flat dataset (DV)'!O119)^2+('MRT station dataset'!$F$3:$F$179-'Resale flat dataset (DV)'!P119)^2)), SQRT(('MRT station dataset'!$E$3:$E$179-'Resale flat dataset (DV)'!O119)^2+('MRT station dataset'!$F$3:$F$179-'Resale flat dataset (DV)'!P119)^2), 0))</f>
        <v>TONGKANG LRT STATION</v>
      </c>
      <c r="R119" s="38" t="str" cm="1">
        <f t="array" ref="R119">INDEX('Mall Dataset'!$B$3:$B$157, MATCH(MIN(SQRT(('Mall Dataset'!$E$3:$E$157-'Resale flat dataset (DV)'!O119)^2+('Mall Dataset'!$F$3:$F$157-'Resale flat dataset (DV)'!P119)^2)), SQRT(('Mall Dataset'!$E$3:$E$157-'Resale flat dataset (DV)'!O119)^2+('Mall Dataset'!$F$3:$F$157-'Resale flat dataset (DV)'!P119)^2), 0))</f>
        <v>Buangkok Square</v>
      </c>
      <c r="S119" s="38" t="str" cm="1">
        <f t="array" ref="S119">INDEX('Schools dataset'!$B$3:$B$187, MATCH(MIN(SQRT(('Schools dataset'!$J$3:$J$187-'Resale flat dataset (DV)'!O119)^2+('Schools dataset'!$K$3:$K$187-'Resale flat dataset (DV)'!P119)^2)), SQRT(('Schools dataset'!$J$3:$J$187-'Resale flat dataset (DV)'!O119)^2+('Schools dataset'!$K$3:$K$187-'Resale flat dataset (DV)'!P119)^2), 0))</f>
        <v>HOUGANG PRIMARY SCHOOL</v>
      </c>
      <c r="T119" s="39">
        <f>ACOS(COS(RADIANS(90-O119))*COS(RADIANS(90-_xlfn.XLOOKUP(Q119,'MRT station dataset'!$C$3:$C$179,'MRT station dataset'!$E$3:$E$179)))+SIN(RADIANS(90-O119))*SIN(RADIANS(90-_xlfn.XLOOKUP(Q119,'MRT station dataset'!$C$3:$C$179,'MRT station dataset'!$E$3:$E$179)))*COS(RADIANS(P119-_xlfn.XLOOKUP('Resale flat dataset (DV)'!Q119,'MRT station dataset'!$C$3:$C$179,'MRT station dataset'!$F$3:$F$179))))*6371*1000</f>
        <v>762.17755595123492</v>
      </c>
      <c r="U119" s="39">
        <f>ACOS(COS(RADIANS(90-O119))*COS(RADIANS(90-_xlfn.XLOOKUP(R119,'Mall Dataset'!$B$3:$B$157,'Mall Dataset'!$E$3:$E$157,,0)))+SIN(RADIANS(90-O119))*SIN(RADIANS(90-_xlfn.XLOOKUP(R119,'Mall Dataset'!$B$3:$B$157,'Mall Dataset'!$E$3:$E$157,,0)))*COS(RADIANS(P119-_xlfn.XLOOKUP(R119,'Mall Dataset'!$B$3:$B$157,'Mall Dataset'!$F$3:$F$157,,0))))*6371*1000</f>
        <v>56.70196942150141</v>
      </c>
      <c r="V119" s="39">
        <f>ACOS(COS(RADIANS(90-O119))*COS(RADIANS(90-_xlfn.XLOOKUP(S119,'Schools dataset'!$B$3:$B$187,'Schools dataset'!$J$3:$J$187,,0)))+SIN(RADIANS(90-O119))*SIN(RADIANS(90-_xlfn.XLOOKUP(S119,'Schools dataset'!$B$3:$B$187,'Schools dataset'!$J$3:$J$187,,0)))*COS(RADIANS(P119-_xlfn.XLOOKUP(S119,'Schools dataset'!$B$3:$B$187,'Schools dataset'!$K$3:$K$187,,0))))*6371*1000</f>
        <v>722.486172783906</v>
      </c>
      <c r="W119" s="20">
        <f>_xlfn.XLOOKUP(T119,'HDB Recommender'!$P$10:$P$39,'HDB Recommender'!$Q$10:$Q$39,"&gt;30mins",1)</f>
        <v>11</v>
      </c>
      <c r="X119" s="20">
        <f>_xlfn.XLOOKUP(U119,'HDB Recommender'!$P$10:$P$39,'HDB Recommender'!$Q$10:$Q$39,"&gt;30mins",1)</f>
        <v>2</v>
      </c>
      <c r="Y119" s="20">
        <f>_xlfn.XLOOKUP(V119,'HDB Recommender'!$P$10:$P$39,'HDB Recommender'!$Q$10:$Q$39,"&gt;30mins",1)</f>
        <v>10</v>
      </c>
      <c r="Z119" s="39">
        <f t="shared" si="2"/>
        <v>7.666666666666667</v>
      </c>
      <c r="AA119" s="20" t="str">
        <f t="shared" si="3"/>
        <v>Within 1km</v>
      </c>
    </row>
    <row r="120" spans="2:27">
      <c r="B120" s="35" t="s">
        <v>317</v>
      </c>
      <c r="C120" s="35" t="s">
        <v>531</v>
      </c>
      <c r="D120" s="35" t="s">
        <v>318</v>
      </c>
      <c r="E120" s="35"/>
      <c r="F120" s="35" t="s">
        <v>532</v>
      </c>
      <c r="G120" s="35" t="s">
        <v>184</v>
      </c>
      <c r="H120" s="35">
        <v>68</v>
      </c>
      <c r="I120" s="35" t="s">
        <v>335</v>
      </c>
      <c r="J120" s="36">
        <v>2019</v>
      </c>
      <c r="K120" s="39">
        <v>94.75</v>
      </c>
      <c r="L120" s="37">
        <v>480000</v>
      </c>
      <c r="M120" s="35" t="s">
        <v>534</v>
      </c>
      <c r="N120" s="27">
        <v>532991</v>
      </c>
      <c r="O120" s="38">
        <v>1.38398477376889</v>
      </c>
      <c r="P120" s="38">
        <v>103.882486324738</v>
      </c>
      <c r="Q120" s="38" t="str" cm="1">
        <f t="array" ref="Q120">INDEX('MRT station dataset'!$C$3:$C$179, MATCH(MIN(SQRT(('MRT station dataset'!$E$3:$E$179-'Resale flat dataset (DV)'!O120)^2+('MRT station dataset'!$F$3:$F$179-'Resale flat dataset (DV)'!P120)^2)), SQRT(('MRT station dataset'!$E$3:$E$179-'Resale flat dataset (DV)'!O120)^2+('MRT station dataset'!$F$3:$F$179-'Resale flat dataset (DV)'!P120)^2), 0))</f>
        <v>TONGKANG LRT STATION</v>
      </c>
      <c r="R120" s="38" t="str" cm="1">
        <f t="array" ref="R120">INDEX('Mall Dataset'!$B$3:$B$157, MATCH(MIN(SQRT(('Mall Dataset'!$E$3:$E$157-'Resale flat dataset (DV)'!O120)^2+('Mall Dataset'!$F$3:$F$157-'Resale flat dataset (DV)'!P120)^2)), SQRT(('Mall Dataset'!$E$3:$E$157-'Resale flat dataset (DV)'!O120)^2+('Mall Dataset'!$F$3:$F$157-'Resale flat dataset (DV)'!P120)^2), 0))</f>
        <v>Buangkok Square</v>
      </c>
      <c r="S120" s="38" t="str" cm="1">
        <f t="array" ref="S120">INDEX('Schools dataset'!$B$3:$B$187, MATCH(MIN(SQRT(('Schools dataset'!$J$3:$J$187-'Resale flat dataset (DV)'!O120)^2+('Schools dataset'!$K$3:$K$187-'Resale flat dataset (DV)'!P120)^2)), SQRT(('Schools dataset'!$J$3:$J$187-'Resale flat dataset (DV)'!O120)^2+('Schools dataset'!$K$3:$K$187-'Resale flat dataset (DV)'!P120)^2), 0))</f>
        <v>HOUGANG PRIMARY SCHOOL</v>
      </c>
      <c r="T120" s="39">
        <f>ACOS(COS(RADIANS(90-O120))*COS(RADIANS(90-_xlfn.XLOOKUP(Q120,'MRT station dataset'!$C$3:$C$179,'MRT station dataset'!$E$3:$E$179)))+SIN(RADIANS(90-O120))*SIN(RADIANS(90-_xlfn.XLOOKUP(Q120,'MRT station dataset'!$C$3:$C$179,'MRT station dataset'!$E$3:$E$179)))*COS(RADIANS(P120-_xlfn.XLOOKUP('Resale flat dataset (DV)'!Q120,'MRT station dataset'!$C$3:$C$179,'MRT station dataset'!$F$3:$F$179))))*6371*1000</f>
        <v>696.41804014465708</v>
      </c>
      <c r="U120" s="39">
        <f>ACOS(COS(RADIANS(90-O120))*COS(RADIANS(90-_xlfn.XLOOKUP(R120,'Mall Dataset'!$B$3:$B$157,'Mall Dataset'!$E$3:$E$157,,0)))+SIN(RADIANS(90-O120))*SIN(RADIANS(90-_xlfn.XLOOKUP(R120,'Mall Dataset'!$B$3:$B$157,'Mall Dataset'!$E$3:$E$157,,0)))*COS(RADIANS(P120-_xlfn.XLOOKUP(R120,'Mall Dataset'!$B$3:$B$157,'Mall Dataset'!$F$3:$F$157,,0))))*6371*1000</f>
        <v>103.53185013659383</v>
      </c>
      <c r="V120" s="39">
        <f>ACOS(COS(RADIANS(90-O120))*COS(RADIANS(90-_xlfn.XLOOKUP(S120,'Schools dataset'!$B$3:$B$187,'Schools dataset'!$J$3:$J$187,,0)))+SIN(RADIANS(90-O120))*SIN(RADIANS(90-_xlfn.XLOOKUP(S120,'Schools dataset'!$B$3:$B$187,'Schools dataset'!$J$3:$J$187,,0)))*COS(RADIANS(P120-_xlfn.XLOOKUP(S120,'Schools dataset'!$B$3:$B$187,'Schools dataset'!$K$3:$K$187,,0))))*6371*1000</f>
        <v>755.79772932210278</v>
      </c>
      <c r="W120" s="20">
        <f>_xlfn.XLOOKUP(T120,'HDB Recommender'!$P$10:$P$39,'HDB Recommender'!$Q$10:$Q$39,"&gt;30mins",1)</f>
        <v>10</v>
      </c>
      <c r="X120" s="20">
        <f>_xlfn.XLOOKUP(U120,'HDB Recommender'!$P$10:$P$39,'HDB Recommender'!$Q$10:$Q$39,"&gt;30mins",1)</f>
        <v>2</v>
      </c>
      <c r="Y120" s="20">
        <f>_xlfn.XLOOKUP(V120,'HDB Recommender'!$P$10:$P$39,'HDB Recommender'!$Q$10:$Q$39,"&gt;30mins",1)</f>
        <v>11</v>
      </c>
      <c r="Z120" s="39">
        <f t="shared" si="2"/>
        <v>7.666666666666667</v>
      </c>
      <c r="AA120" s="20" t="str">
        <f t="shared" si="3"/>
        <v>Within 1km</v>
      </c>
    </row>
    <row r="121" spans="2:27">
      <c r="B121" s="35" t="s">
        <v>317</v>
      </c>
      <c r="C121" s="35" t="s">
        <v>531</v>
      </c>
      <c r="D121" s="35" t="s">
        <v>318</v>
      </c>
      <c r="E121" s="35"/>
      <c r="F121" s="35" t="s">
        <v>532</v>
      </c>
      <c r="G121" s="35" t="s">
        <v>349</v>
      </c>
      <c r="H121" s="35">
        <v>68</v>
      </c>
      <c r="I121" s="35" t="s">
        <v>335</v>
      </c>
      <c r="J121" s="36">
        <v>2019</v>
      </c>
      <c r="K121" s="39">
        <v>94.75</v>
      </c>
      <c r="L121" s="37">
        <v>452500</v>
      </c>
      <c r="M121" s="35" t="s">
        <v>534</v>
      </c>
      <c r="N121" s="27">
        <v>532991</v>
      </c>
      <c r="O121" s="38">
        <v>1.38398477376889</v>
      </c>
      <c r="P121" s="38">
        <v>103.882486324738</v>
      </c>
      <c r="Q121" s="38" t="str" cm="1">
        <f t="array" ref="Q121">INDEX('MRT station dataset'!$C$3:$C$179, MATCH(MIN(SQRT(('MRT station dataset'!$E$3:$E$179-'Resale flat dataset (DV)'!O121)^2+('MRT station dataset'!$F$3:$F$179-'Resale flat dataset (DV)'!P121)^2)), SQRT(('MRT station dataset'!$E$3:$E$179-'Resale flat dataset (DV)'!O121)^2+('MRT station dataset'!$F$3:$F$179-'Resale flat dataset (DV)'!P121)^2), 0))</f>
        <v>TONGKANG LRT STATION</v>
      </c>
      <c r="R121" s="38" t="str" cm="1">
        <f t="array" ref="R121">INDEX('Mall Dataset'!$B$3:$B$157, MATCH(MIN(SQRT(('Mall Dataset'!$E$3:$E$157-'Resale flat dataset (DV)'!O121)^2+('Mall Dataset'!$F$3:$F$157-'Resale flat dataset (DV)'!P121)^2)), SQRT(('Mall Dataset'!$E$3:$E$157-'Resale flat dataset (DV)'!O121)^2+('Mall Dataset'!$F$3:$F$157-'Resale flat dataset (DV)'!P121)^2), 0))</f>
        <v>Buangkok Square</v>
      </c>
      <c r="S121" s="38" t="str" cm="1">
        <f t="array" ref="S121">INDEX('Schools dataset'!$B$3:$B$187, MATCH(MIN(SQRT(('Schools dataset'!$J$3:$J$187-'Resale flat dataset (DV)'!O121)^2+('Schools dataset'!$K$3:$K$187-'Resale flat dataset (DV)'!P121)^2)), SQRT(('Schools dataset'!$J$3:$J$187-'Resale flat dataset (DV)'!O121)^2+('Schools dataset'!$K$3:$K$187-'Resale flat dataset (DV)'!P121)^2), 0))</f>
        <v>HOUGANG PRIMARY SCHOOL</v>
      </c>
      <c r="T121" s="39">
        <f>ACOS(COS(RADIANS(90-O121))*COS(RADIANS(90-_xlfn.XLOOKUP(Q121,'MRT station dataset'!$C$3:$C$179,'MRT station dataset'!$E$3:$E$179)))+SIN(RADIANS(90-O121))*SIN(RADIANS(90-_xlfn.XLOOKUP(Q121,'MRT station dataset'!$C$3:$C$179,'MRT station dataset'!$E$3:$E$179)))*COS(RADIANS(P121-_xlfn.XLOOKUP('Resale flat dataset (DV)'!Q121,'MRT station dataset'!$C$3:$C$179,'MRT station dataset'!$F$3:$F$179))))*6371*1000</f>
        <v>696.41804014465708</v>
      </c>
      <c r="U121" s="39">
        <f>ACOS(COS(RADIANS(90-O121))*COS(RADIANS(90-_xlfn.XLOOKUP(R121,'Mall Dataset'!$B$3:$B$157,'Mall Dataset'!$E$3:$E$157,,0)))+SIN(RADIANS(90-O121))*SIN(RADIANS(90-_xlfn.XLOOKUP(R121,'Mall Dataset'!$B$3:$B$157,'Mall Dataset'!$E$3:$E$157,,0)))*COS(RADIANS(P121-_xlfn.XLOOKUP(R121,'Mall Dataset'!$B$3:$B$157,'Mall Dataset'!$F$3:$F$157,,0))))*6371*1000</f>
        <v>103.53185013659383</v>
      </c>
      <c r="V121" s="39">
        <f>ACOS(COS(RADIANS(90-O121))*COS(RADIANS(90-_xlfn.XLOOKUP(S121,'Schools dataset'!$B$3:$B$187,'Schools dataset'!$J$3:$J$187,,0)))+SIN(RADIANS(90-O121))*SIN(RADIANS(90-_xlfn.XLOOKUP(S121,'Schools dataset'!$B$3:$B$187,'Schools dataset'!$J$3:$J$187,,0)))*COS(RADIANS(P121-_xlfn.XLOOKUP(S121,'Schools dataset'!$B$3:$B$187,'Schools dataset'!$K$3:$K$187,,0))))*6371*1000</f>
        <v>755.79772932210278</v>
      </c>
      <c r="W121" s="20">
        <f>_xlfn.XLOOKUP(T121,'HDB Recommender'!$P$10:$P$39,'HDB Recommender'!$Q$10:$Q$39,"&gt;30mins",1)</f>
        <v>10</v>
      </c>
      <c r="X121" s="20">
        <f>_xlfn.XLOOKUP(U121,'HDB Recommender'!$P$10:$P$39,'HDB Recommender'!$Q$10:$Q$39,"&gt;30mins",1)</f>
        <v>2</v>
      </c>
      <c r="Y121" s="20">
        <f>_xlfn.XLOOKUP(V121,'HDB Recommender'!$P$10:$P$39,'HDB Recommender'!$Q$10:$Q$39,"&gt;30mins",1)</f>
        <v>11</v>
      </c>
      <c r="Z121" s="39">
        <f t="shared" si="2"/>
        <v>7.666666666666667</v>
      </c>
      <c r="AA121" s="20" t="str">
        <f t="shared" si="3"/>
        <v>Within 1km</v>
      </c>
    </row>
    <row r="122" spans="2:27">
      <c r="B122" s="35" t="s">
        <v>317</v>
      </c>
      <c r="C122" s="35" t="s">
        <v>531</v>
      </c>
      <c r="D122" s="35" t="s">
        <v>318</v>
      </c>
      <c r="E122" s="35">
        <v>316</v>
      </c>
      <c r="F122" s="35" t="s">
        <v>535</v>
      </c>
      <c r="G122" s="35" t="s">
        <v>184</v>
      </c>
      <c r="H122" s="35">
        <v>59</v>
      </c>
      <c r="I122" s="35" t="s">
        <v>326</v>
      </c>
      <c r="J122" s="36">
        <v>1993</v>
      </c>
      <c r="K122" s="39">
        <v>68.5833333333333</v>
      </c>
      <c r="L122" s="37">
        <v>370000</v>
      </c>
      <c r="M122" s="35" t="s">
        <v>536</v>
      </c>
      <c r="N122" s="27">
        <v>530316</v>
      </c>
      <c r="O122" s="38">
        <v>1.3649758474204301</v>
      </c>
      <c r="P122" s="38">
        <v>103.896809883055</v>
      </c>
      <c r="Q122" s="38" t="str" cm="1">
        <f t="array" ref="Q122">INDEX('MRT station dataset'!$C$3:$C$179, MATCH(MIN(SQRT(('MRT station dataset'!$E$3:$E$179-'Resale flat dataset (DV)'!O122)^2+('MRT station dataset'!$F$3:$F$179-'Resale flat dataset (DV)'!P122)^2)), SQRT(('MRT station dataset'!$E$3:$E$179-'Resale flat dataset (DV)'!O122)^2+('MRT station dataset'!$F$3:$F$179-'Resale flat dataset (DV)'!P122)^2), 0))</f>
        <v>HOUGANG MRT STATION</v>
      </c>
      <c r="R122" s="38" t="str" cm="1">
        <f t="array" ref="R122">INDEX('Mall Dataset'!$B$3:$B$157, MATCH(MIN(SQRT(('Mall Dataset'!$E$3:$E$157-'Resale flat dataset (DV)'!O122)^2+('Mall Dataset'!$F$3:$F$157-'Resale flat dataset (DV)'!P122)^2)), SQRT(('Mall Dataset'!$E$3:$E$157-'Resale flat dataset (DV)'!O122)^2+('Mall Dataset'!$F$3:$F$157-'Resale flat dataset (DV)'!P122)^2), 0))</f>
        <v>Hougang Rivercourt</v>
      </c>
      <c r="S122" s="38" t="str" cm="1">
        <f t="array" ref="S122">INDEX('Schools dataset'!$B$3:$B$187, MATCH(MIN(SQRT(('Schools dataset'!$J$3:$J$187-'Resale flat dataset (DV)'!O122)^2+('Schools dataset'!$K$3:$K$187-'Resale flat dataset (DV)'!P122)^2)), SQRT(('Schools dataset'!$J$3:$J$187-'Resale flat dataset (DV)'!O122)^2+('Schools dataset'!$K$3:$K$187-'Resale flat dataset (DV)'!P122)^2), 0))</f>
        <v>HOLY INNOCENTS' PRIMARY SCHOOL</v>
      </c>
      <c r="T122" s="39">
        <f>ACOS(COS(RADIANS(90-O122))*COS(RADIANS(90-_xlfn.XLOOKUP(Q122,'MRT station dataset'!$C$3:$C$179,'MRT station dataset'!$E$3:$E$179)))+SIN(RADIANS(90-O122))*SIN(RADIANS(90-_xlfn.XLOOKUP(Q122,'MRT station dataset'!$C$3:$C$179,'MRT station dataset'!$E$3:$E$179)))*COS(RADIANS(P122-_xlfn.XLOOKUP('Resale flat dataset (DV)'!Q122,'MRT station dataset'!$C$3:$C$179,'MRT station dataset'!$F$3:$F$179))))*6371*1000</f>
        <v>857.2176046825391</v>
      </c>
      <c r="U122" s="39">
        <f>ACOS(COS(RADIANS(90-O122))*COS(RADIANS(90-_xlfn.XLOOKUP(R122,'Mall Dataset'!$B$3:$B$157,'Mall Dataset'!$E$3:$E$157,,0)))+SIN(RADIANS(90-O122))*SIN(RADIANS(90-_xlfn.XLOOKUP(R122,'Mall Dataset'!$B$3:$B$157,'Mall Dataset'!$E$3:$E$157,,0)))*COS(RADIANS(P122-_xlfn.XLOOKUP(R122,'Mall Dataset'!$B$3:$B$157,'Mall Dataset'!$F$3:$F$157,,0))))*6371*1000</f>
        <v>384.31871205283039</v>
      </c>
      <c r="V122" s="39">
        <f>ACOS(COS(RADIANS(90-O122))*COS(RADIANS(90-_xlfn.XLOOKUP(S122,'Schools dataset'!$B$3:$B$187,'Schools dataset'!$J$3:$J$187,,0)))+SIN(RADIANS(90-O122))*SIN(RADIANS(90-_xlfn.XLOOKUP(S122,'Schools dataset'!$B$3:$B$187,'Schools dataset'!$J$3:$J$187,,0)))*COS(RADIANS(P122-_xlfn.XLOOKUP(S122,'Schools dataset'!$B$3:$B$187,'Schools dataset'!$K$3:$K$187,,0))))*6371*1000</f>
        <v>370.63226676756858</v>
      </c>
      <c r="W122" s="20">
        <f>_xlfn.XLOOKUP(T122,'HDB Recommender'!$P$10:$P$39,'HDB Recommender'!$Q$10:$Q$39,"&gt;30mins",1)</f>
        <v>12</v>
      </c>
      <c r="X122" s="20">
        <f>_xlfn.XLOOKUP(U122,'HDB Recommender'!$P$10:$P$39,'HDB Recommender'!$Q$10:$Q$39,"&gt;30mins",1)</f>
        <v>6</v>
      </c>
      <c r="Y122" s="20">
        <f>_xlfn.XLOOKUP(V122,'HDB Recommender'!$P$10:$P$39,'HDB Recommender'!$Q$10:$Q$39,"&gt;30mins",1)</f>
        <v>5</v>
      </c>
      <c r="Z122" s="39">
        <f t="shared" si="2"/>
        <v>7.666666666666667</v>
      </c>
      <c r="AA122" s="20" t="str">
        <f t="shared" si="3"/>
        <v>Within 1km</v>
      </c>
    </row>
    <row r="123" spans="2:27">
      <c r="B123" s="35" t="s">
        <v>317</v>
      </c>
      <c r="C123" s="35" t="s">
        <v>531</v>
      </c>
      <c r="D123" s="35" t="s">
        <v>318</v>
      </c>
      <c r="E123" s="35">
        <v>652</v>
      </c>
      <c r="F123" s="35" t="s">
        <v>537</v>
      </c>
      <c r="G123" s="35" t="s">
        <v>189</v>
      </c>
      <c r="H123" s="35">
        <v>60</v>
      </c>
      <c r="I123" s="35" t="s">
        <v>326</v>
      </c>
      <c r="J123" s="36">
        <v>1988</v>
      </c>
      <c r="K123" s="39">
        <v>63.6666666666666</v>
      </c>
      <c r="L123" s="37">
        <v>338000</v>
      </c>
      <c r="M123" s="35" t="s">
        <v>538</v>
      </c>
      <c r="N123" s="27">
        <v>530652</v>
      </c>
      <c r="O123" s="38">
        <v>1.3724080431072201</v>
      </c>
      <c r="P123" s="38">
        <v>103.88159824870399</v>
      </c>
      <c r="Q123" s="38" t="str" cm="1">
        <f t="array" ref="Q123">INDEX('MRT station dataset'!$C$3:$C$179, MATCH(MIN(SQRT(('MRT station dataset'!$E$3:$E$179-'Resale flat dataset (DV)'!O123)^2+('MRT station dataset'!$F$3:$F$179-'Resale flat dataset (DV)'!P123)^2)), SQRT(('MRT station dataset'!$E$3:$E$179-'Resale flat dataset (DV)'!O123)^2+('MRT station dataset'!$F$3:$F$179-'Resale flat dataset (DV)'!P123)^2), 0))</f>
        <v>HOUGANG MRT STATION</v>
      </c>
      <c r="R123" s="38" t="str" cm="1">
        <f t="array" ref="R123">INDEX('Mall Dataset'!$B$3:$B$157, MATCH(MIN(SQRT(('Mall Dataset'!$E$3:$E$157-'Resale flat dataset (DV)'!O123)^2+('Mall Dataset'!$F$3:$F$157-'Resale flat dataset (DV)'!P123)^2)), SQRT(('Mall Dataset'!$E$3:$E$157-'Resale flat dataset (DV)'!O123)^2+('Mall Dataset'!$F$3:$F$157-'Resale flat dataset (DV)'!P123)^2), 0))</f>
        <v>Hougang Green Shopping Mall</v>
      </c>
      <c r="S123" s="38" t="str" cm="1">
        <f t="array" ref="S123">INDEX('Schools dataset'!$B$3:$B$187, MATCH(MIN(SQRT(('Schools dataset'!$J$3:$J$187-'Resale flat dataset (DV)'!O123)^2+('Schools dataset'!$K$3:$K$187-'Resale flat dataset (DV)'!P123)^2)), SQRT(('Schools dataset'!$J$3:$J$187-'Resale flat dataset (DV)'!O123)^2+('Schools dataset'!$K$3:$K$187-'Resale flat dataset (DV)'!P123)^2), 0))</f>
        <v>XINMIN PRIMARY SCHOOL</v>
      </c>
      <c r="T123" s="39">
        <f>ACOS(COS(RADIANS(90-O123))*COS(RADIANS(90-_xlfn.XLOOKUP(Q123,'MRT station dataset'!$C$3:$C$179,'MRT station dataset'!$E$3:$E$179)))+SIN(RADIANS(90-O123))*SIN(RADIANS(90-_xlfn.XLOOKUP(Q123,'MRT station dataset'!$C$3:$C$179,'MRT station dataset'!$E$3:$E$179)))*COS(RADIANS(P123-_xlfn.XLOOKUP('Resale flat dataset (DV)'!Q123,'MRT station dataset'!$C$3:$C$179,'MRT station dataset'!$F$3:$F$179))))*6371*1000</f>
        <v>1207.0603050022528</v>
      </c>
      <c r="U123" s="39">
        <f>ACOS(COS(RADIANS(90-O123))*COS(RADIANS(90-_xlfn.XLOOKUP(R123,'Mall Dataset'!$B$3:$B$157,'Mall Dataset'!$E$3:$E$157,,0)))+SIN(RADIANS(90-O123))*SIN(RADIANS(90-_xlfn.XLOOKUP(R123,'Mall Dataset'!$B$3:$B$157,'Mall Dataset'!$E$3:$E$157,,0)))*COS(RADIANS(P123-_xlfn.XLOOKUP(R123,'Mall Dataset'!$B$3:$B$157,'Mall Dataset'!$F$3:$F$157,,0))))*6371*1000</f>
        <v>1035.7896759812043</v>
      </c>
      <c r="V123" s="39">
        <f>ACOS(COS(RADIANS(90-O123))*COS(RADIANS(90-_xlfn.XLOOKUP(S123,'Schools dataset'!$B$3:$B$187,'Schools dataset'!$J$3:$J$187,,0)))+SIN(RADIANS(90-O123))*SIN(RADIANS(90-_xlfn.XLOOKUP(S123,'Schools dataset'!$B$3:$B$187,'Schools dataset'!$J$3:$J$187,,0)))*COS(RADIANS(P123-_xlfn.XLOOKUP(S123,'Schools dataset'!$B$3:$B$187,'Schools dataset'!$K$3:$K$187,,0))))*6371*1000</f>
        <v>199.59001158797273</v>
      </c>
      <c r="W123" s="20">
        <f>_xlfn.XLOOKUP(T123,'HDB Recommender'!$P$10:$P$39,'HDB Recommender'!$Q$10:$Q$39,"&gt;30mins",1)</f>
        <v>17</v>
      </c>
      <c r="X123" s="20">
        <f>_xlfn.XLOOKUP(U123,'HDB Recommender'!$P$10:$P$39,'HDB Recommender'!$Q$10:$Q$39,"&gt;30mins",1)</f>
        <v>14</v>
      </c>
      <c r="Y123" s="20">
        <f>_xlfn.XLOOKUP(V123,'HDB Recommender'!$P$10:$P$39,'HDB Recommender'!$Q$10:$Q$39,"&gt;30mins",1)</f>
        <v>3</v>
      </c>
      <c r="Z123" s="39">
        <f t="shared" si="2"/>
        <v>11.333333333333334</v>
      </c>
      <c r="AA123" s="20" t="str">
        <f t="shared" si="3"/>
        <v>Within 1km</v>
      </c>
    </row>
    <row r="124" spans="2:27">
      <c r="B124" s="35" t="s">
        <v>317</v>
      </c>
      <c r="C124" s="35" t="s">
        <v>531</v>
      </c>
      <c r="D124" s="35" t="s">
        <v>318</v>
      </c>
      <c r="E124" s="35">
        <v>644</v>
      </c>
      <c r="F124" s="35" t="s">
        <v>537</v>
      </c>
      <c r="G124" s="35" t="s">
        <v>189</v>
      </c>
      <c r="H124" s="35">
        <v>69</v>
      </c>
      <c r="I124" s="35" t="s">
        <v>326</v>
      </c>
      <c r="J124" s="36">
        <v>1987</v>
      </c>
      <c r="K124" s="39">
        <v>62.3333333333333</v>
      </c>
      <c r="L124" s="37">
        <v>395000</v>
      </c>
      <c r="M124" s="35" t="s">
        <v>539</v>
      </c>
      <c r="N124" s="27">
        <v>530644</v>
      </c>
      <c r="O124" s="38">
        <v>1.3714373646390301</v>
      </c>
      <c r="P124" s="38">
        <v>103.88126107892001</v>
      </c>
      <c r="Q124" s="38" t="str" cm="1">
        <f t="array" ref="Q124">INDEX('MRT station dataset'!$C$3:$C$179, MATCH(MIN(SQRT(('MRT station dataset'!$E$3:$E$179-'Resale flat dataset (DV)'!O124)^2+('MRT station dataset'!$F$3:$F$179-'Resale flat dataset (DV)'!P124)^2)), SQRT(('MRT station dataset'!$E$3:$E$179-'Resale flat dataset (DV)'!O124)^2+('MRT station dataset'!$F$3:$F$179-'Resale flat dataset (DV)'!P124)^2), 0))</f>
        <v>HOUGANG MRT STATION</v>
      </c>
      <c r="R124" s="38" t="str" cm="1">
        <f t="array" ref="R124">INDEX('Mall Dataset'!$B$3:$B$157, MATCH(MIN(SQRT(('Mall Dataset'!$E$3:$E$157-'Resale flat dataset (DV)'!O124)^2+('Mall Dataset'!$F$3:$F$157-'Resale flat dataset (DV)'!P124)^2)), SQRT(('Mall Dataset'!$E$3:$E$157-'Resale flat dataset (DV)'!O124)^2+('Mall Dataset'!$F$3:$F$157-'Resale flat dataset (DV)'!P124)^2), 0))</f>
        <v>Hougang Green Shopping Mall</v>
      </c>
      <c r="S124" s="38" t="str" cm="1">
        <f t="array" ref="S124">INDEX('Schools dataset'!$B$3:$B$187, MATCH(MIN(SQRT(('Schools dataset'!$J$3:$J$187-'Resale flat dataset (DV)'!O124)^2+('Schools dataset'!$K$3:$K$187-'Resale flat dataset (DV)'!P124)^2)), SQRT(('Schools dataset'!$J$3:$J$187-'Resale flat dataset (DV)'!O124)^2+('Schools dataset'!$K$3:$K$187-'Resale flat dataset (DV)'!P124)^2), 0))</f>
        <v>XINMIN PRIMARY SCHOOL</v>
      </c>
      <c r="T124" s="39">
        <f>ACOS(COS(RADIANS(90-O124))*COS(RADIANS(90-_xlfn.XLOOKUP(Q124,'MRT station dataset'!$C$3:$C$179,'MRT station dataset'!$E$3:$E$179)))+SIN(RADIANS(90-O124))*SIN(RADIANS(90-_xlfn.XLOOKUP(Q124,'MRT station dataset'!$C$3:$C$179,'MRT station dataset'!$E$3:$E$179)))*COS(RADIANS(P124-_xlfn.XLOOKUP('Resale flat dataset (DV)'!Q124,'MRT station dataset'!$C$3:$C$179,'MRT station dataset'!$F$3:$F$179))))*6371*1000</f>
        <v>1238.3309521445603</v>
      </c>
      <c r="U124" s="39">
        <f>ACOS(COS(RADIANS(90-O124))*COS(RADIANS(90-_xlfn.XLOOKUP(R124,'Mall Dataset'!$B$3:$B$157,'Mall Dataset'!$E$3:$E$157,,0)))+SIN(RADIANS(90-O124))*SIN(RADIANS(90-_xlfn.XLOOKUP(R124,'Mall Dataset'!$B$3:$B$157,'Mall Dataset'!$E$3:$E$157,,0)))*COS(RADIANS(P124-_xlfn.XLOOKUP(R124,'Mall Dataset'!$B$3:$B$157,'Mall Dataset'!$F$3:$F$157,,0))))*6371*1000</f>
        <v>1141.8606834436034</v>
      </c>
      <c r="V124" s="39">
        <f>ACOS(COS(RADIANS(90-O124))*COS(RADIANS(90-_xlfn.XLOOKUP(S124,'Schools dataset'!$B$3:$B$187,'Schools dataset'!$J$3:$J$187,,0)))+SIN(RADIANS(90-O124))*SIN(RADIANS(90-_xlfn.XLOOKUP(S124,'Schools dataset'!$B$3:$B$187,'Schools dataset'!$J$3:$J$187,,0)))*COS(RADIANS(P124-_xlfn.XLOOKUP(S124,'Schools dataset'!$B$3:$B$187,'Schools dataset'!$K$3:$K$187,,0))))*6371*1000</f>
        <v>202.3357856413075</v>
      </c>
      <c r="W124" s="20">
        <f>_xlfn.XLOOKUP(T124,'HDB Recommender'!$P$10:$P$39,'HDB Recommender'!$Q$10:$Q$39,"&gt;30mins",1)</f>
        <v>17</v>
      </c>
      <c r="X124" s="20">
        <f>_xlfn.XLOOKUP(U124,'HDB Recommender'!$P$10:$P$39,'HDB Recommender'!$Q$10:$Q$39,"&gt;30mins",1)</f>
        <v>16</v>
      </c>
      <c r="Y124" s="20">
        <f>_xlfn.XLOOKUP(V124,'HDB Recommender'!$P$10:$P$39,'HDB Recommender'!$Q$10:$Q$39,"&gt;30mins",1)</f>
        <v>3</v>
      </c>
      <c r="Z124" s="39">
        <f t="shared" si="2"/>
        <v>12</v>
      </c>
      <c r="AA124" s="20" t="str">
        <f t="shared" si="3"/>
        <v>Within 1km</v>
      </c>
    </row>
    <row r="125" spans="2:27">
      <c r="B125" s="35" t="s">
        <v>317</v>
      </c>
      <c r="C125" s="35" t="s">
        <v>531</v>
      </c>
      <c r="D125" s="35" t="s">
        <v>318</v>
      </c>
      <c r="E125" s="35">
        <v>696</v>
      </c>
      <c r="F125" s="35" t="s">
        <v>540</v>
      </c>
      <c r="G125" s="35" t="s">
        <v>349</v>
      </c>
      <c r="H125" s="35">
        <v>74</v>
      </c>
      <c r="I125" s="35" t="s">
        <v>335</v>
      </c>
      <c r="J125" s="36">
        <v>1987</v>
      </c>
      <c r="K125" s="39">
        <v>63.0833333333333</v>
      </c>
      <c r="L125" s="37">
        <v>390000</v>
      </c>
      <c r="M125" s="35" t="s">
        <v>541</v>
      </c>
      <c r="N125" s="27">
        <v>530696</v>
      </c>
      <c r="O125" s="38">
        <v>1.37596449465842</v>
      </c>
      <c r="P125" s="38">
        <v>103.88742358325899</v>
      </c>
      <c r="Q125" s="38" t="str" cm="1">
        <f t="array" ref="Q125">INDEX('MRT station dataset'!$C$3:$C$179, MATCH(MIN(SQRT(('MRT station dataset'!$E$3:$E$179-'Resale flat dataset (DV)'!O125)^2+('MRT station dataset'!$F$3:$F$179-'Resale flat dataset (DV)'!P125)^2)), SQRT(('MRT station dataset'!$E$3:$E$179-'Resale flat dataset (DV)'!O125)^2+('MRT station dataset'!$F$3:$F$179-'Resale flat dataset (DV)'!P125)^2), 0))</f>
        <v>HOUGANG MRT STATION</v>
      </c>
      <c r="R125" s="38" t="str" cm="1">
        <f t="array" ref="R125">INDEX('Mall Dataset'!$B$3:$B$157, MATCH(MIN(SQRT(('Mall Dataset'!$E$3:$E$157-'Resale flat dataset (DV)'!O125)^2+('Mall Dataset'!$F$3:$F$157-'Resale flat dataset (DV)'!P125)^2)), SQRT(('Mall Dataset'!$E$3:$E$157-'Resale flat dataset (DV)'!O125)^2+('Mall Dataset'!$F$3:$F$157-'Resale flat dataset (DV)'!P125)^2), 0))</f>
        <v>Hougang Green Shopping Mall</v>
      </c>
      <c r="S125" s="38" t="str" cm="1">
        <f t="array" ref="S125">INDEX('Schools dataset'!$B$3:$B$187, MATCH(MIN(SQRT(('Schools dataset'!$J$3:$J$187-'Resale flat dataset (DV)'!O125)^2+('Schools dataset'!$K$3:$K$187-'Resale flat dataset (DV)'!P125)^2)), SQRT(('Schools dataset'!$J$3:$J$187-'Resale flat dataset (DV)'!O125)^2+('Schools dataset'!$K$3:$K$187-'Resale flat dataset (DV)'!P125)^2), 0))</f>
        <v>YIO CHU KANG PRIMARY SCHOOL</v>
      </c>
      <c r="T125" s="39">
        <f>ACOS(COS(RADIANS(90-O125))*COS(RADIANS(90-_xlfn.XLOOKUP(Q125,'MRT station dataset'!$C$3:$C$179,'MRT station dataset'!$E$3:$E$179)))+SIN(RADIANS(90-O125))*SIN(RADIANS(90-_xlfn.XLOOKUP(Q125,'MRT station dataset'!$C$3:$C$179,'MRT station dataset'!$E$3:$E$179)))*COS(RADIANS(P125-_xlfn.XLOOKUP('Resale flat dataset (DV)'!Q125,'MRT station dataset'!$C$3:$C$179,'MRT station dataset'!$F$3:$F$179))))*6371*1000</f>
        <v>758.31354919312923</v>
      </c>
      <c r="U125" s="39">
        <f>ACOS(COS(RADIANS(90-O125))*COS(RADIANS(90-_xlfn.XLOOKUP(R125,'Mall Dataset'!$B$3:$B$157,'Mall Dataset'!$E$3:$E$157,,0)))+SIN(RADIANS(90-O125))*SIN(RADIANS(90-_xlfn.XLOOKUP(R125,'Mall Dataset'!$B$3:$B$157,'Mall Dataset'!$E$3:$E$157,,0)))*COS(RADIANS(P125-_xlfn.XLOOKUP(R125,'Mall Dataset'!$B$3:$B$157,'Mall Dataset'!$F$3:$F$157,,0))))*6371*1000</f>
        <v>375.83466049096569</v>
      </c>
      <c r="V125" s="39">
        <f>ACOS(COS(RADIANS(90-O125))*COS(RADIANS(90-_xlfn.XLOOKUP(S125,'Schools dataset'!$B$3:$B$187,'Schools dataset'!$J$3:$J$187,,0)))+SIN(RADIANS(90-O125))*SIN(RADIANS(90-_xlfn.XLOOKUP(S125,'Schools dataset'!$B$3:$B$187,'Schools dataset'!$J$3:$J$187,,0)))*COS(RADIANS(P125-_xlfn.XLOOKUP(S125,'Schools dataset'!$B$3:$B$187,'Schools dataset'!$K$3:$K$187,,0))))*6371*1000</f>
        <v>291.90507756979753</v>
      </c>
      <c r="W125" s="20">
        <f>_xlfn.XLOOKUP(T125,'HDB Recommender'!$P$10:$P$39,'HDB Recommender'!$Q$10:$Q$39,"&gt;30mins",1)</f>
        <v>11</v>
      </c>
      <c r="X125" s="20">
        <f>_xlfn.XLOOKUP(U125,'HDB Recommender'!$P$10:$P$39,'HDB Recommender'!$Q$10:$Q$39,"&gt;30mins",1)</f>
        <v>6</v>
      </c>
      <c r="Y125" s="20">
        <f>_xlfn.XLOOKUP(V125,'HDB Recommender'!$P$10:$P$39,'HDB Recommender'!$Q$10:$Q$39,"&gt;30mins",1)</f>
        <v>4</v>
      </c>
      <c r="Z125" s="39">
        <f t="shared" si="2"/>
        <v>7</v>
      </c>
      <c r="AA125" s="20" t="str">
        <f t="shared" si="3"/>
        <v>Within 1km</v>
      </c>
    </row>
    <row r="126" spans="2:27">
      <c r="B126" s="35" t="s">
        <v>317</v>
      </c>
      <c r="C126" s="35" t="s">
        <v>531</v>
      </c>
      <c r="D126" s="35" t="s">
        <v>20</v>
      </c>
      <c r="E126" s="35">
        <v>678</v>
      </c>
      <c r="F126" s="35" t="s">
        <v>537</v>
      </c>
      <c r="G126" s="35" t="s">
        <v>349</v>
      </c>
      <c r="H126" s="35">
        <v>89</v>
      </c>
      <c r="I126" s="35" t="s">
        <v>369</v>
      </c>
      <c r="J126" s="36">
        <v>1988</v>
      </c>
      <c r="K126" s="39">
        <v>64.4166666666666</v>
      </c>
      <c r="L126" s="37">
        <v>458000</v>
      </c>
      <c r="M126" s="35" t="s">
        <v>542</v>
      </c>
      <c r="N126" s="27">
        <v>530678</v>
      </c>
      <c r="O126" s="38">
        <v>1.3708407639457301</v>
      </c>
      <c r="P126" s="38">
        <v>103.88423638207701</v>
      </c>
      <c r="Q126" s="38" t="str" cm="1">
        <f t="array" ref="Q126">INDEX('MRT station dataset'!$C$3:$C$179, MATCH(MIN(SQRT(('MRT station dataset'!$E$3:$E$179-'Resale flat dataset (DV)'!O126)^2+('MRT station dataset'!$F$3:$F$179-'Resale flat dataset (DV)'!P126)^2)), SQRT(('MRT station dataset'!$E$3:$E$179-'Resale flat dataset (DV)'!O126)^2+('MRT station dataset'!$F$3:$F$179-'Resale flat dataset (DV)'!P126)^2), 0))</f>
        <v>HOUGANG MRT STATION</v>
      </c>
      <c r="R126" s="38" t="str" cm="1">
        <f t="array" ref="R126">INDEX('Mall Dataset'!$B$3:$B$157, MATCH(MIN(SQRT(('Mall Dataset'!$E$3:$E$157-'Resale flat dataset (DV)'!O126)^2+('Mall Dataset'!$F$3:$F$157-'Resale flat dataset (DV)'!P126)^2)), SQRT(('Mall Dataset'!$E$3:$E$157-'Resale flat dataset (DV)'!O126)^2+('Mall Dataset'!$F$3:$F$157-'Resale flat dataset (DV)'!P126)^2), 0))</f>
        <v>Hougang 1</v>
      </c>
      <c r="S126" s="38" t="str" cm="1">
        <f t="array" ref="S126">INDEX('Schools dataset'!$B$3:$B$187, MATCH(MIN(SQRT(('Schools dataset'!$J$3:$J$187-'Resale flat dataset (DV)'!O126)^2+('Schools dataset'!$K$3:$K$187-'Resale flat dataset (DV)'!P126)^2)), SQRT(('Schools dataset'!$J$3:$J$187-'Resale flat dataset (DV)'!O126)^2+('Schools dataset'!$K$3:$K$187-'Resale flat dataset (DV)'!P126)^2), 0))</f>
        <v>XINMIN PRIMARY SCHOOL</v>
      </c>
      <c r="T126" s="39">
        <f>ACOS(COS(RADIANS(90-O126))*COS(RADIANS(90-_xlfn.XLOOKUP(Q126,'MRT station dataset'!$C$3:$C$179,'MRT station dataset'!$E$3:$E$179)))+SIN(RADIANS(90-O126))*SIN(RADIANS(90-_xlfn.XLOOKUP(Q126,'MRT station dataset'!$C$3:$C$179,'MRT station dataset'!$E$3:$E$179)))*COS(RADIANS(P126-_xlfn.XLOOKUP('Resale flat dataset (DV)'!Q126,'MRT station dataset'!$C$3:$C$179,'MRT station dataset'!$F$3:$F$179))))*6371*1000</f>
        <v>908.9285754717398</v>
      </c>
      <c r="U126" s="39">
        <f>ACOS(COS(RADIANS(90-O126))*COS(RADIANS(90-_xlfn.XLOOKUP(R126,'Mall Dataset'!$B$3:$B$157,'Mall Dataset'!$E$3:$E$157,,0)))+SIN(RADIANS(90-O126))*SIN(RADIANS(90-_xlfn.XLOOKUP(R126,'Mall Dataset'!$B$3:$B$157,'Mall Dataset'!$E$3:$E$157,,0)))*COS(RADIANS(P126-_xlfn.XLOOKUP(R126,'Mall Dataset'!$B$3:$B$157,'Mall Dataset'!$F$3:$F$157,,0))))*6371*1000</f>
        <v>986.27090915900203</v>
      </c>
      <c r="V126" s="39">
        <f>ACOS(COS(RADIANS(90-O126))*COS(RADIANS(90-_xlfn.XLOOKUP(S126,'Schools dataset'!$B$3:$B$187,'Schools dataset'!$J$3:$J$187,,0)))+SIN(RADIANS(90-O126))*SIN(RADIANS(90-_xlfn.XLOOKUP(S126,'Schools dataset'!$B$3:$B$187,'Schools dataset'!$J$3:$J$187,,0)))*COS(RADIANS(P126-_xlfn.XLOOKUP(S126,'Schools dataset'!$B$3:$B$187,'Schools dataset'!$K$3:$K$187,,0))))*6371*1000</f>
        <v>142.50319498464404</v>
      </c>
      <c r="W126" s="20">
        <f>_xlfn.XLOOKUP(T126,'HDB Recommender'!$P$10:$P$39,'HDB Recommender'!$Q$10:$Q$39,"&gt;30mins",1)</f>
        <v>13</v>
      </c>
      <c r="X126" s="20">
        <f>_xlfn.XLOOKUP(U126,'HDB Recommender'!$P$10:$P$39,'HDB Recommender'!$Q$10:$Q$39,"&gt;30mins",1)</f>
        <v>14</v>
      </c>
      <c r="Y126" s="20">
        <f>_xlfn.XLOOKUP(V126,'HDB Recommender'!$P$10:$P$39,'HDB Recommender'!$Q$10:$Q$39,"&gt;30mins",1)</f>
        <v>2</v>
      </c>
      <c r="Z126" s="39">
        <f t="shared" si="2"/>
        <v>9.6666666666666661</v>
      </c>
      <c r="AA126" s="20" t="str">
        <f t="shared" si="3"/>
        <v>Within 1km</v>
      </c>
    </row>
    <row r="127" spans="2:27">
      <c r="B127" s="35" t="s">
        <v>317</v>
      </c>
      <c r="C127" s="35" t="s">
        <v>531</v>
      </c>
      <c r="D127" s="35" t="s">
        <v>20</v>
      </c>
      <c r="E127" s="35">
        <v>929</v>
      </c>
      <c r="F127" s="35" t="s">
        <v>543</v>
      </c>
      <c r="G127" s="35" t="s">
        <v>349</v>
      </c>
      <c r="H127" s="35">
        <v>100</v>
      </c>
      <c r="I127" s="35" t="s">
        <v>335</v>
      </c>
      <c r="J127" s="36">
        <v>1998</v>
      </c>
      <c r="K127" s="39">
        <v>73.8333333333333</v>
      </c>
      <c r="L127" s="37">
        <v>520000</v>
      </c>
      <c r="M127" s="35" t="s">
        <v>544</v>
      </c>
      <c r="N127" s="27">
        <v>530929</v>
      </c>
      <c r="O127" s="38">
        <v>1.3760320430939801</v>
      </c>
      <c r="P127" s="38">
        <v>103.88149788857901</v>
      </c>
      <c r="Q127" s="38" t="str" cm="1">
        <f t="array" ref="Q127">INDEX('MRT station dataset'!$C$3:$C$179, MATCH(MIN(SQRT(('MRT station dataset'!$E$3:$E$179-'Resale flat dataset (DV)'!O127)^2+('MRT station dataset'!$F$3:$F$179-'Resale flat dataset (DV)'!P127)^2)), SQRT(('MRT station dataset'!$E$3:$E$179-'Resale flat dataset (DV)'!O127)^2+('MRT station dataset'!$F$3:$F$179-'Resale flat dataset (DV)'!P127)^2), 0))</f>
        <v>HOUGANG MRT STATION</v>
      </c>
      <c r="R127" s="38" t="str" cm="1">
        <f t="array" ref="R127">INDEX('Mall Dataset'!$B$3:$B$157, MATCH(MIN(SQRT(('Mall Dataset'!$E$3:$E$157-'Resale flat dataset (DV)'!O127)^2+('Mall Dataset'!$F$3:$F$157-'Resale flat dataset (DV)'!P127)^2)), SQRT(('Mall Dataset'!$E$3:$E$157-'Resale flat dataset (DV)'!O127)^2+('Mall Dataset'!$F$3:$F$157-'Resale flat dataset (DV)'!P127)^2), 0))</f>
        <v>Hougang Green Shopping Mall</v>
      </c>
      <c r="S127" s="38" t="str" cm="1">
        <f t="array" ref="S127">INDEX('Schools dataset'!$B$3:$B$187, MATCH(MIN(SQRT(('Schools dataset'!$J$3:$J$187-'Resale flat dataset (DV)'!O127)^2+('Schools dataset'!$K$3:$K$187-'Resale flat dataset (DV)'!P127)^2)), SQRT(('Schools dataset'!$J$3:$J$187-'Resale flat dataset (DV)'!O127)^2+('Schools dataset'!$K$3:$K$187-'Resale flat dataset (DV)'!P127)^2), 0))</f>
        <v>HOUGANG PRIMARY SCHOOL</v>
      </c>
      <c r="T127" s="39">
        <f>ACOS(COS(RADIANS(90-O127))*COS(RADIANS(90-_xlfn.XLOOKUP(Q127,'MRT station dataset'!$C$3:$C$179,'MRT station dataset'!$E$3:$E$179)))+SIN(RADIANS(90-O127))*SIN(RADIANS(90-_xlfn.XLOOKUP(Q127,'MRT station dataset'!$C$3:$C$179,'MRT station dataset'!$E$3:$E$179)))*COS(RADIANS(P127-_xlfn.XLOOKUP('Resale flat dataset (DV)'!Q127,'MRT station dataset'!$C$3:$C$179,'MRT station dataset'!$F$3:$F$179))))*6371*1000</f>
        <v>1321.2089266137464</v>
      </c>
      <c r="U127" s="39">
        <f>ACOS(COS(RADIANS(90-O127))*COS(RADIANS(90-_xlfn.XLOOKUP(R127,'Mall Dataset'!$B$3:$B$157,'Mall Dataset'!$E$3:$E$157,,0)))+SIN(RADIANS(90-O127))*SIN(RADIANS(90-_xlfn.XLOOKUP(R127,'Mall Dataset'!$B$3:$B$157,'Mall Dataset'!$E$3:$E$157,,0)))*COS(RADIANS(P127-_xlfn.XLOOKUP(R127,'Mall Dataset'!$B$3:$B$157,'Mall Dataset'!$F$3:$F$157,,0))))*6371*1000</f>
        <v>794.75579037375894</v>
      </c>
      <c r="V127" s="39">
        <f>ACOS(COS(RADIANS(90-O127))*COS(RADIANS(90-_xlfn.XLOOKUP(S127,'Schools dataset'!$B$3:$B$187,'Schools dataset'!$J$3:$J$187,,0)))+SIN(RADIANS(90-O127))*SIN(RADIANS(90-_xlfn.XLOOKUP(S127,'Schools dataset'!$B$3:$B$187,'Schools dataset'!$J$3:$J$187,,0)))*COS(RADIANS(P127-_xlfn.XLOOKUP(S127,'Schools dataset'!$B$3:$B$187,'Schools dataset'!$K$3:$K$187,,0))))*6371*1000</f>
        <v>163.48324159098104</v>
      </c>
      <c r="W127" s="20">
        <f>_xlfn.XLOOKUP(T127,'HDB Recommender'!$P$10:$P$39,'HDB Recommender'!$Q$10:$Q$39,"&gt;30mins",1)</f>
        <v>18</v>
      </c>
      <c r="X127" s="20">
        <f>_xlfn.XLOOKUP(U127,'HDB Recommender'!$P$10:$P$39,'HDB Recommender'!$Q$10:$Q$39,"&gt;30mins",1)</f>
        <v>11</v>
      </c>
      <c r="Y127" s="20">
        <f>_xlfn.XLOOKUP(V127,'HDB Recommender'!$P$10:$P$39,'HDB Recommender'!$Q$10:$Q$39,"&gt;30mins",1)</f>
        <v>3</v>
      </c>
      <c r="Z127" s="39">
        <f t="shared" si="2"/>
        <v>10.666666666666666</v>
      </c>
      <c r="AA127" s="20" t="str">
        <f t="shared" si="3"/>
        <v>Within 1km</v>
      </c>
    </row>
    <row r="128" spans="2:27">
      <c r="B128" s="35" t="s">
        <v>317</v>
      </c>
      <c r="C128" s="35" t="s">
        <v>531</v>
      </c>
      <c r="D128" s="35" t="s">
        <v>20</v>
      </c>
      <c r="E128" s="35">
        <v>137</v>
      </c>
      <c r="F128" s="35" t="s">
        <v>545</v>
      </c>
      <c r="G128" s="35" t="s">
        <v>349</v>
      </c>
      <c r="H128" s="35">
        <v>106</v>
      </c>
      <c r="I128" s="35" t="s">
        <v>335</v>
      </c>
      <c r="J128" s="36">
        <v>1985</v>
      </c>
      <c r="K128" s="39">
        <v>60.5833333333333</v>
      </c>
      <c r="L128" s="37">
        <v>600000</v>
      </c>
      <c r="M128" s="35" t="s">
        <v>546</v>
      </c>
      <c r="N128" s="27">
        <v>530137</v>
      </c>
      <c r="O128" s="38">
        <v>1.3490532162175699</v>
      </c>
      <c r="P128" s="38">
        <v>103.88664017294001</v>
      </c>
      <c r="Q128" s="38" t="str" cm="1">
        <f t="array" ref="Q128">INDEX('MRT station dataset'!$C$3:$C$179, MATCH(MIN(SQRT(('MRT station dataset'!$E$3:$E$179-'Resale flat dataset (DV)'!O128)^2+('MRT station dataset'!$F$3:$F$179-'Resale flat dataset (DV)'!P128)^2)), SQRT(('MRT station dataset'!$E$3:$E$179-'Resale flat dataset (DV)'!O128)^2+('MRT station dataset'!$F$3:$F$179-'Resale flat dataset (DV)'!P128)^2), 0))</f>
        <v>BARTLEY MRT STATION</v>
      </c>
      <c r="R128" s="38" t="str" cm="1">
        <f t="array" ref="R128">INDEX('Mall Dataset'!$B$3:$B$157, MATCH(MIN(SQRT(('Mall Dataset'!$E$3:$E$157-'Resale flat dataset (DV)'!O128)^2+('Mall Dataset'!$F$3:$F$157-'Resale flat dataset (DV)'!P128)^2)), SQRT(('Mall Dataset'!$E$3:$E$157-'Resale flat dataset (DV)'!O128)^2+('Mall Dataset'!$F$3:$F$157-'Resale flat dataset (DV)'!P128)^2), 0))</f>
        <v>Upper Serangoon Shopping Centre</v>
      </c>
      <c r="S128" s="38" t="str" cm="1">
        <f t="array" ref="S128">INDEX('Schools dataset'!$B$3:$B$187, MATCH(MIN(SQRT(('Schools dataset'!$J$3:$J$187-'Resale flat dataset (DV)'!O128)^2+('Schools dataset'!$K$3:$K$187-'Resale flat dataset (DV)'!P128)^2)), SQRT(('Schools dataset'!$J$3:$J$187-'Resale flat dataset (DV)'!O128)^2+('Schools dataset'!$K$3:$K$187-'Resale flat dataset (DV)'!P128)^2), 0))</f>
        <v>PAYA LEBAR METHODIST GIRLS' SCHOOL (PRIMARY)</v>
      </c>
      <c r="T128" s="39">
        <f>ACOS(COS(RADIANS(90-O128))*COS(RADIANS(90-_xlfn.XLOOKUP(Q128,'MRT station dataset'!$C$3:$C$179,'MRT station dataset'!$E$3:$E$179)))+SIN(RADIANS(90-O128))*SIN(RADIANS(90-_xlfn.XLOOKUP(Q128,'MRT station dataset'!$C$3:$C$179,'MRT station dataset'!$E$3:$E$179)))*COS(RADIANS(P128-_xlfn.XLOOKUP('Resale flat dataset (DV)'!Q128,'MRT station dataset'!$C$3:$C$179,'MRT station dataset'!$F$3:$F$179))))*6371*1000</f>
        <v>1030.3688460100934</v>
      </c>
      <c r="U128" s="39">
        <f>ACOS(COS(RADIANS(90-O128))*COS(RADIANS(90-_xlfn.XLOOKUP(R128,'Mall Dataset'!$B$3:$B$157,'Mall Dataset'!$E$3:$E$157,,0)))+SIN(RADIANS(90-O128))*SIN(RADIANS(90-_xlfn.XLOOKUP(R128,'Mall Dataset'!$B$3:$B$157,'Mall Dataset'!$E$3:$E$157,,0)))*COS(RADIANS(P128-_xlfn.XLOOKUP(R128,'Mall Dataset'!$B$3:$B$157,'Mall Dataset'!$F$3:$F$157,,0))))*6371*1000</f>
        <v>998.26604304577177</v>
      </c>
      <c r="V128" s="39">
        <f>ACOS(COS(RADIANS(90-O128))*COS(RADIANS(90-_xlfn.XLOOKUP(S128,'Schools dataset'!$B$3:$B$187,'Schools dataset'!$J$3:$J$187,,0)))+SIN(RADIANS(90-O128))*SIN(RADIANS(90-_xlfn.XLOOKUP(S128,'Schools dataset'!$B$3:$B$187,'Schools dataset'!$J$3:$J$187,,0)))*COS(RADIANS(P128-_xlfn.XLOOKUP(S128,'Schools dataset'!$B$3:$B$187,'Schools dataset'!$K$3:$K$187,,0))))*6371*1000</f>
        <v>239.96875473230796</v>
      </c>
      <c r="W128" s="20">
        <f>_xlfn.XLOOKUP(T128,'HDB Recommender'!$P$10:$P$39,'HDB Recommender'!$Q$10:$Q$39,"&gt;30mins",1)</f>
        <v>14</v>
      </c>
      <c r="X128" s="20">
        <f>_xlfn.XLOOKUP(U128,'HDB Recommender'!$P$10:$P$39,'HDB Recommender'!$Q$10:$Q$39,"&gt;30mins",1)</f>
        <v>14</v>
      </c>
      <c r="Y128" s="20">
        <f>_xlfn.XLOOKUP(V128,'HDB Recommender'!$P$10:$P$39,'HDB Recommender'!$Q$10:$Q$39,"&gt;30mins",1)</f>
        <v>4</v>
      </c>
      <c r="Z128" s="39">
        <f t="shared" si="2"/>
        <v>10.666666666666666</v>
      </c>
      <c r="AA128" s="20" t="str">
        <f t="shared" si="3"/>
        <v>Within 1km</v>
      </c>
    </row>
    <row r="129" spans="2:27">
      <c r="B129" s="35" t="s">
        <v>317</v>
      </c>
      <c r="C129" s="35" t="s">
        <v>531</v>
      </c>
      <c r="D129" s="35" t="s">
        <v>341</v>
      </c>
      <c r="E129" s="35"/>
      <c r="F129" s="35" t="s">
        <v>547</v>
      </c>
      <c r="G129" s="35" t="s">
        <v>349</v>
      </c>
      <c r="H129" s="35">
        <v>110</v>
      </c>
      <c r="I129" s="35" t="s">
        <v>326</v>
      </c>
      <c r="J129" s="36">
        <v>2003</v>
      </c>
      <c r="K129" s="39">
        <v>78.6666666666666</v>
      </c>
      <c r="L129" s="37">
        <v>535000</v>
      </c>
      <c r="M129" s="35" t="s">
        <v>548</v>
      </c>
      <c r="N129" s="27">
        <v>531981</v>
      </c>
      <c r="O129" s="38">
        <v>1.3804866172177199</v>
      </c>
      <c r="P129" s="38">
        <v>103.88070970616801</v>
      </c>
      <c r="Q129" s="38" t="str" cm="1">
        <f t="array" ref="Q129">INDEX('MRT station dataset'!$C$3:$C$179, MATCH(MIN(SQRT(('MRT station dataset'!$E$3:$E$179-'Resale flat dataset (DV)'!O129)^2+('MRT station dataset'!$F$3:$F$179-'Resale flat dataset (DV)'!P129)^2)), SQRT(('MRT station dataset'!$E$3:$E$179-'Resale flat dataset (DV)'!O129)^2+('MRT station dataset'!$F$3:$F$179-'Resale flat dataset (DV)'!P129)^2), 0))</f>
        <v>TONGKANG LRT STATION</v>
      </c>
      <c r="R129" s="38" t="str" cm="1">
        <f t="array" ref="R129">INDEX('Mall Dataset'!$B$3:$B$157, MATCH(MIN(SQRT(('Mall Dataset'!$E$3:$E$157-'Resale flat dataset (DV)'!O129)^2+('Mall Dataset'!$F$3:$F$157-'Resale flat dataset (DV)'!P129)^2)), SQRT(('Mall Dataset'!$E$3:$E$157-'Resale flat dataset (DV)'!O129)^2+('Mall Dataset'!$F$3:$F$157-'Resale flat dataset (DV)'!P129)^2), 0))</f>
        <v>Buangkok Square</v>
      </c>
      <c r="S129" s="38" t="str" cm="1">
        <f t="array" ref="S129">INDEX('Schools dataset'!$B$3:$B$187, MATCH(MIN(SQRT(('Schools dataset'!$J$3:$J$187-'Resale flat dataset (DV)'!O129)^2+('Schools dataset'!$K$3:$K$187-'Resale flat dataset (DV)'!P129)^2)), SQRT(('Schools dataset'!$J$3:$J$187-'Resale flat dataset (DV)'!O129)^2+('Schools dataset'!$K$3:$K$187-'Resale flat dataset (DV)'!P129)^2), 0))</f>
        <v>HOUGANG PRIMARY SCHOOL</v>
      </c>
      <c r="T129" s="39">
        <f>ACOS(COS(RADIANS(90-O129))*COS(RADIANS(90-_xlfn.XLOOKUP(Q129,'MRT station dataset'!$C$3:$C$179,'MRT station dataset'!$E$3:$E$179)))+SIN(RADIANS(90-O129))*SIN(RADIANS(90-_xlfn.XLOOKUP(Q129,'MRT station dataset'!$C$3:$C$179,'MRT station dataset'!$E$3:$E$179)))*COS(RADIANS(P129-_xlfn.XLOOKUP('Resale flat dataset (DV)'!Q129,'MRT station dataset'!$C$3:$C$179,'MRT station dataset'!$F$3:$F$179))))*6371*1000</f>
        <v>1131.6326438297656</v>
      </c>
      <c r="U129" s="39">
        <f>ACOS(COS(RADIANS(90-O129))*COS(RADIANS(90-_xlfn.XLOOKUP(R129,'Mall Dataset'!$B$3:$B$157,'Mall Dataset'!$E$3:$E$157,,0)))+SIN(RADIANS(90-O129))*SIN(RADIANS(90-_xlfn.XLOOKUP(R129,'Mall Dataset'!$B$3:$B$157,'Mall Dataset'!$E$3:$E$157,,0)))*COS(RADIANS(P129-_xlfn.XLOOKUP(R129,'Mall Dataset'!$B$3:$B$157,'Mall Dataset'!$F$3:$F$157,,0))))*6371*1000</f>
        <v>439.72147471792857</v>
      </c>
      <c r="V129" s="39">
        <f>ACOS(COS(RADIANS(90-O129))*COS(RADIANS(90-_xlfn.XLOOKUP(S129,'Schools dataset'!$B$3:$B$187,'Schools dataset'!$J$3:$J$187,,0)))+SIN(RADIANS(90-O129))*SIN(RADIANS(90-_xlfn.XLOOKUP(S129,'Schools dataset'!$B$3:$B$187,'Schools dataset'!$J$3:$J$187,,0)))*COS(RADIANS(P129-_xlfn.XLOOKUP(S129,'Schools dataset'!$B$3:$B$187,'Schools dataset'!$K$3:$K$187,,0))))*6371*1000</f>
        <v>346.60786282633359</v>
      </c>
      <c r="W129" s="20">
        <f>_xlfn.XLOOKUP(T129,'HDB Recommender'!$P$10:$P$39,'HDB Recommender'!$Q$10:$Q$39,"&gt;30mins",1)</f>
        <v>16</v>
      </c>
      <c r="X129" s="20">
        <f>_xlfn.XLOOKUP(U129,'HDB Recommender'!$P$10:$P$39,'HDB Recommender'!$Q$10:$Q$39,"&gt;30mins",1)</f>
        <v>6</v>
      </c>
      <c r="Y129" s="20">
        <f>_xlfn.XLOOKUP(V129,'HDB Recommender'!$P$10:$P$39,'HDB Recommender'!$Q$10:$Q$39,"&gt;30mins",1)</f>
        <v>5</v>
      </c>
      <c r="Z129" s="39">
        <f t="shared" si="2"/>
        <v>9</v>
      </c>
      <c r="AA129" s="20" t="str">
        <f t="shared" si="3"/>
        <v>Within 1km</v>
      </c>
    </row>
    <row r="130" spans="2:27">
      <c r="B130" s="35" t="s">
        <v>317</v>
      </c>
      <c r="C130" s="35" t="s">
        <v>531</v>
      </c>
      <c r="D130" s="35" t="s">
        <v>341</v>
      </c>
      <c r="E130" s="35"/>
      <c r="F130" s="35" t="s">
        <v>547</v>
      </c>
      <c r="G130" s="35" t="s">
        <v>323</v>
      </c>
      <c r="H130" s="35">
        <v>113</v>
      </c>
      <c r="I130" s="35" t="s">
        <v>326</v>
      </c>
      <c r="J130" s="36">
        <v>2018</v>
      </c>
      <c r="K130" s="39">
        <v>94.1666666666666</v>
      </c>
      <c r="L130" s="37">
        <v>783888</v>
      </c>
      <c r="M130" s="35" t="s">
        <v>549</v>
      </c>
      <c r="N130" s="27">
        <v>532997</v>
      </c>
      <c r="O130" s="38">
        <v>1.3859015678119899</v>
      </c>
      <c r="P130" s="38">
        <v>103.8813870478</v>
      </c>
      <c r="Q130" s="38" t="str" cm="1">
        <f t="array" ref="Q130">INDEX('MRT station dataset'!$C$3:$C$179, MATCH(MIN(SQRT(('MRT station dataset'!$E$3:$E$179-'Resale flat dataset (DV)'!O130)^2+('MRT station dataset'!$F$3:$F$179-'Resale flat dataset (DV)'!P130)^2)), SQRT(('MRT station dataset'!$E$3:$E$179-'Resale flat dataset (DV)'!O130)^2+('MRT station dataset'!$F$3:$F$179-'Resale flat dataset (DV)'!P130)^2), 0))</f>
        <v>TONGKANG LRT STATION</v>
      </c>
      <c r="R130" s="38" t="str" cm="1">
        <f t="array" ref="R130">INDEX('Mall Dataset'!$B$3:$B$157, MATCH(MIN(SQRT(('Mall Dataset'!$E$3:$E$157-'Resale flat dataset (DV)'!O130)^2+('Mall Dataset'!$F$3:$F$157-'Resale flat dataset (DV)'!P130)^2)), SQRT(('Mall Dataset'!$E$3:$E$157-'Resale flat dataset (DV)'!O130)^2+('Mall Dataset'!$F$3:$F$157-'Resale flat dataset (DV)'!P130)^2), 0))</f>
        <v>Buangkok Square</v>
      </c>
      <c r="S130" s="38" t="str" cm="1">
        <f t="array" ref="S130">INDEX('Schools dataset'!$B$3:$B$187, MATCH(MIN(SQRT(('Schools dataset'!$J$3:$J$187-'Resale flat dataset (DV)'!O130)^2+('Schools dataset'!$K$3:$K$187-'Resale flat dataset (DV)'!P130)^2)), SQRT(('Schools dataset'!$J$3:$J$187-'Resale flat dataset (DV)'!O130)^2+('Schools dataset'!$K$3:$K$187-'Resale flat dataset (DV)'!P130)^2), 0))</f>
        <v>ANCHOR GREEN PRIMARY SCHOOL</v>
      </c>
      <c r="T130" s="39">
        <f>ACOS(COS(RADIANS(90-O130))*COS(RADIANS(90-_xlfn.XLOOKUP(Q130,'MRT station dataset'!$C$3:$C$179,'MRT station dataset'!$E$3:$E$179)))+SIN(RADIANS(90-O130))*SIN(RADIANS(90-_xlfn.XLOOKUP(Q130,'MRT station dataset'!$C$3:$C$179,'MRT station dataset'!$E$3:$E$179)))*COS(RADIANS(P130-_xlfn.XLOOKUP('Resale flat dataset (DV)'!Q130,'MRT station dataset'!$C$3:$C$179,'MRT station dataset'!$F$3:$F$179))))*6371*1000</f>
        <v>619.22764730819586</v>
      </c>
      <c r="U130" s="39">
        <f>ACOS(COS(RADIANS(90-O130))*COS(RADIANS(90-_xlfn.XLOOKUP(R130,'Mall Dataset'!$B$3:$B$157,'Mall Dataset'!$E$3:$E$157,,0)))+SIN(RADIANS(90-O130))*SIN(RADIANS(90-_xlfn.XLOOKUP(R130,'Mall Dataset'!$B$3:$B$157,'Mall Dataset'!$E$3:$E$157,,0)))*COS(RADIANS(P130-_xlfn.XLOOKUP(R130,'Mall Dataset'!$B$3:$B$157,'Mall Dataset'!$F$3:$F$157,,0))))*6371*1000</f>
        <v>176.23985703096957</v>
      </c>
      <c r="V130" s="39">
        <f>ACOS(COS(RADIANS(90-O130))*COS(RADIANS(90-_xlfn.XLOOKUP(S130,'Schools dataset'!$B$3:$B$187,'Schools dataset'!$J$3:$J$187,,0)))+SIN(RADIANS(90-O130))*SIN(RADIANS(90-_xlfn.XLOOKUP(S130,'Schools dataset'!$B$3:$B$187,'Schools dataset'!$J$3:$J$187,,0)))*COS(RADIANS(P130-_xlfn.XLOOKUP(S130,'Schools dataset'!$B$3:$B$187,'Schools dataset'!$K$3:$K$187,,0))))*6371*1000</f>
        <v>819.36102194535204</v>
      </c>
      <c r="W130" s="20">
        <f>_xlfn.XLOOKUP(T130,'HDB Recommender'!$P$10:$P$39,'HDB Recommender'!$Q$10:$Q$39,"&gt;30mins",1)</f>
        <v>9</v>
      </c>
      <c r="X130" s="20">
        <f>_xlfn.XLOOKUP(U130,'HDB Recommender'!$P$10:$P$39,'HDB Recommender'!$Q$10:$Q$39,"&gt;30mins",1)</f>
        <v>3</v>
      </c>
      <c r="Y130" s="20">
        <f>_xlfn.XLOOKUP(V130,'HDB Recommender'!$P$10:$P$39,'HDB Recommender'!$Q$10:$Q$39,"&gt;30mins",1)</f>
        <v>11</v>
      </c>
      <c r="Z130" s="39">
        <f t="shared" si="2"/>
        <v>7.666666666666667</v>
      </c>
      <c r="AA130" s="20" t="str">
        <f t="shared" si="3"/>
        <v>Within 1km</v>
      </c>
    </row>
    <row r="131" spans="2:27">
      <c r="B131" s="35" t="s">
        <v>317</v>
      </c>
      <c r="C131" s="35" t="s">
        <v>531</v>
      </c>
      <c r="D131" s="35" t="s">
        <v>341</v>
      </c>
      <c r="E131" s="35"/>
      <c r="F131" s="35" t="s">
        <v>547</v>
      </c>
      <c r="G131" s="35" t="s">
        <v>323</v>
      </c>
      <c r="H131" s="35">
        <v>110</v>
      </c>
      <c r="I131" s="35" t="s">
        <v>326</v>
      </c>
      <c r="J131" s="36">
        <v>2004</v>
      </c>
      <c r="K131" s="39">
        <v>79.5833333333333</v>
      </c>
      <c r="L131" s="37">
        <v>582000</v>
      </c>
      <c r="M131" s="35" t="s">
        <v>550</v>
      </c>
      <c r="N131" s="27">
        <v>532985</v>
      </c>
      <c r="O131" s="38">
        <v>1.38118357442086</v>
      </c>
      <c r="P131" s="38">
        <v>103.879840037584</v>
      </c>
      <c r="Q131" s="38" t="str" cm="1">
        <f t="array" ref="Q131">INDEX('MRT station dataset'!$C$3:$C$179, MATCH(MIN(SQRT(('MRT station dataset'!$E$3:$E$179-'Resale flat dataset (DV)'!O131)^2+('MRT station dataset'!$F$3:$F$179-'Resale flat dataset (DV)'!P131)^2)), SQRT(('MRT station dataset'!$E$3:$E$179-'Resale flat dataset (DV)'!O131)^2+('MRT station dataset'!$F$3:$F$179-'Resale flat dataset (DV)'!P131)^2), 0))</f>
        <v>TONGKANG LRT STATION</v>
      </c>
      <c r="R131" s="38" t="str" cm="1">
        <f t="array" ref="R131">INDEX('Mall Dataset'!$B$3:$B$157, MATCH(MIN(SQRT(('Mall Dataset'!$E$3:$E$157-'Resale flat dataset (DV)'!O131)^2+('Mall Dataset'!$F$3:$F$157-'Resale flat dataset (DV)'!P131)^2)), SQRT(('Mall Dataset'!$E$3:$E$157-'Resale flat dataset (DV)'!O131)^2+('Mall Dataset'!$F$3:$F$157-'Resale flat dataset (DV)'!P131)^2), 0))</f>
        <v>Buangkok Square</v>
      </c>
      <c r="S131" s="38" t="str" cm="1">
        <f t="array" ref="S131">INDEX('Schools dataset'!$B$3:$B$187, MATCH(MIN(SQRT(('Schools dataset'!$J$3:$J$187-'Resale flat dataset (DV)'!O131)^2+('Schools dataset'!$K$3:$K$187-'Resale flat dataset (DV)'!P131)^2)), SQRT(('Schools dataset'!$J$3:$J$187-'Resale flat dataset (DV)'!O131)^2+('Schools dataset'!$K$3:$K$187-'Resale flat dataset (DV)'!P131)^2), 0))</f>
        <v>HOUGANG PRIMARY SCHOOL</v>
      </c>
      <c r="T131" s="39">
        <f>ACOS(COS(RADIANS(90-O131))*COS(RADIANS(90-_xlfn.XLOOKUP(Q131,'MRT station dataset'!$C$3:$C$179,'MRT station dataset'!$E$3:$E$179)))+SIN(RADIANS(90-O131))*SIN(RADIANS(90-_xlfn.XLOOKUP(Q131,'MRT station dataset'!$C$3:$C$179,'MRT station dataset'!$E$3:$E$179)))*COS(RADIANS(P131-_xlfn.XLOOKUP('Resale flat dataset (DV)'!Q131,'MRT station dataset'!$C$3:$C$179,'MRT station dataset'!$F$3:$F$179))))*6371*1000</f>
        <v>1119.577520911274</v>
      </c>
      <c r="U131" s="39">
        <f>ACOS(COS(RADIANS(90-O131))*COS(RADIANS(90-_xlfn.XLOOKUP(R131,'Mall Dataset'!$B$3:$B$157,'Mall Dataset'!$E$3:$E$157,,0)))+SIN(RADIANS(90-O131))*SIN(RADIANS(90-_xlfn.XLOOKUP(R131,'Mall Dataset'!$B$3:$B$157,'Mall Dataset'!$E$3:$E$157,,0)))*COS(RADIANS(P131-_xlfn.XLOOKUP(R131,'Mall Dataset'!$B$3:$B$157,'Mall Dataset'!$F$3:$F$157,,0))))*6371*1000</f>
        <v>402.52275268051352</v>
      </c>
      <c r="V131" s="39">
        <f>ACOS(COS(RADIANS(90-O131))*COS(RADIANS(90-_xlfn.XLOOKUP(S131,'Schools dataset'!$B$3:$B$187,'Schools dataset'!$J$3:$J$187,,0)))+SIN(RADIANS(90-O131))*SIN(RADIANS(90-_xlfn.XLOOKUP(S131,'Schools dataset'!$B$3:$B$187,'Schools dataset'!$J$3:$J$187,,0)))*COS(RADIANS(P131-_xlfn.XLOOKUP(S131,'Schools dataset'!$B$3:$B$187,'Schools dataset'!$K$3:$K$187,,0))))*6371*1000</f>
        <v>439.54769232570555</v>
      </c>
      <c r="W131" s="20">
        <f>_xlfn.XLOOKUP(T131,'HDB Recommender'!$P$10:$P$39,'HDB Recommender'!$Q$10:$Q$39,"&gt;30mins",1)</f>
        <v>15</v>
      </c>
      <c r="X131" s="20">
        <f>_xlfn.XLOOKUP(U131,'HDB Recommender'!$P$10:$P$39,'HDB Recommender'!$Q$10:$Q$39,"&gt;30mins",1)</f>
        <v>6</v>
      </c>
      <c r="Y131" s="20">
        <f>_xlfn.XLOOKUP(V131,'HDB Recommender'!$P$10:$P$39,'HDB Recommender'!$Q$10:$Q$39,"&gt;30mins",1)</f>
        <v>6</v>
      </c>
      <c r="Z131" s="39">
        <f t="shared" si="2"/>
        <v>9</v>
      </c>
      <c r="AA131" s="20" t="str">
        <f t="shared" si="3"/>
        <v>Within 1km</v>
      </c>
    </row>
    <row r="132" spans="2:27">
      <c r="B132" s="35" t="s">
        <v>317</v>
      </c>
      <c r="C132" s="35" t="s">
        <v>531</v>
      </c>
      <c r="D132" s="35" t="s">
        <v>341</v>
      </c>
      <c r="E132" s="35">
        <v>440</v>
      </c>
      <c r="F132" s="35" t="s">
        <v>537</v>
      </c>
      <c r="G132" s="35" t="s">
        <v>191</v>
      </c>
      <c r="H132" s="35">
        <v>131</v>
      </c>
      <c r="I132" s="35" t="s">
        <v>326</v>
      </c>
      <c r="J132" s="36">
        <v>1990</v>
      </c>
      <c r="K132" s="39">
        <v>66.0833333333333</v>
      </c>
      <c r="L132" s="37">
        <v>720000</v>
      </c>
      <c r="M132" s="35" t="s">
        <v>551</v>
      </c>
      <c r="N132" s="27">
        <v>530440</v>
      </c>
      <c r="O132" s="38">
        <v>1.37913196653041</v>
      </c>
      <c r="P132" s="38">
        <v>103.89353076946099</v>
      </c>
      <c r="Q132" s="38" t="str" cm="1">
        <f t="array" ref="Q132">INDEX('MRT station dataset'!$C$3:$C$179, MATCH(MIN(SQRT(('MRT station dataset'!$E$3:$E$179-'Resale flat dataset (DV)'!O132)^2+('MRT station dataset'!$F$3:$F$179-'Resale flat dataset (DV)'!P132)^2)), SQRT(('MRT station dataset'!$E$3:$E$179-'Resale flat dataset (DV)'!O132)^2+('MRT station dataset'!$F$3:$F$179-'Resale flat dataset (DV)'!P132)^2), 0))</f>
        <v>BUANGKOK MRT STATION</v>
      </c>
      <c r="R132" s="38" t="str" cm="1">
        <f t="array" ref="R132">INDEX('Mall Dataset'!$B$3:$B$157, MATCH(MIN(SQRT(('Mall Dataset'!$E$3:$E$157-'Resale flat dataset (DV)'!O132)^2+('Mall Dataset'!$F$3:$F$157-'Resale flat dataset (DV)'!P132)^2)), SQRT(('Mall Dataset'!$E$3:$E$157-'Resale flat dataset (DV)'!O132)^2+('Mall Dataset'!$F$3:$F$157-'Resale flat dataset (DV)'!P132)^2), 0))</f>
        <v>Hougang Green Shopping Mall</v>
      </c>
      <c r="S132" s="38" t="str" cm="1">
        <f t="array" ref="S132">INDEX('Schools dataset'!$B$3:$B$187, MATCH(MIN(SQRT(('Schools dataset'!$J$3:$J$187-'Resale flat dataset (DV)'!O132)^2+('Schools dataset'!$K$3:$K$187-'Resale flat dataset (DV)'!P132)^2)), SQRT(('Schools dataset'!$J$3:$J$187-'Resale flat dataset (DV)'!O132)^2+('Schools dataset'!$K$3:$K$187-'Resale flat dataset (DV)'!P132)^2), 0))</f>
        <v>PUNGGOL PRIMARY SCHOOL</v>
      </c>
      <c r="T132" s="39">
        <f>ACOS(COS(RADIANS(90-O132))*COS(RADIANS(90-_xlfn.XLOOKUP(Q132,'MRT station dataset'!$C$3:$C$179,'MRT station dataset'!$E$3:$E$179)))+SIN(RADIANS(90-O132))*SIN(RADIANS(90-_xlfn.XLOOKUP(Q132,'MRT station dataset'!$C$3:$C$179,'MRT station dataset'!$E$3:$E$179)))*COS(RADIANS(P132-_xlfn.XLOOKUP('Resale flat dataset (DV)'!Q132,'MRT station dataset'!$C$3:$C$179,'MRT station dataset'!$F$3:$F$179))))*6371*1000</f>
        <v>421.71370703809316</v>
      </c>
      <c r="U132" s="39">
        <f>ACOS(COS(RADIANS(90-O132))*COS(RADIANS(90-_xlfn.XLOOKUP(R132,'Mall Dataset'!$B$3:$B$157,'Mall Dataset'!$E$3:$E$157,,0)))+SIN(RADIANS(90-O132))*SIN(RADIANS(90-_xlfn.XLOOKUP(R132,'Mall Dataset'!$B$3:$B$157,'Mall Dataset'!$E$3:$E$157,,0)))*COS(RADIANS(P132-_xlfn.XLOOKUP(R132,'Mall Dataset'!$B$3:$B$157,'Mall Dataset'!$F$3:$F$157,,0))))*6371*1000</f>
        <v>632.15123136977297</v>
      </c>
      <c r="V132" s="39">
        <f>ACOS(COS(RADIANS(90-O132))*COS(RADIANS(90-_xlfn.XLOOKUP(S132,'Schools dataset'!$B$3:$B$187,'Schools dataset'!$J$3:$J$187,,0)))+SIN(RADIANS(90-O132))*SIN(RADIANS(90-_xlfn.XLOOKUP(S132,'Schools dataset'!$B$3:$B$187,'Schools dataset'!$J$3:$J$187,,0)))*COS(RADIANS(P132-_xlfn.XLOOKUP(S132,'Schools dataset'!$B$3:$B$187,'Schools dataset'!$K$3:$K$187,,0))))*6371*1000</f>
        <v>163.34798111619375</v>
      </c>
      <c r="W132" s="20">
        <f>_xlfn.XLOOKUP(T132,'HDB Recommender'!$P$10:$P$39,'HDB Recommender'!$Q$10:$Q$39,"&gt;30mins",1)</f>
        <v>6</v>
      </c>
      <c r="X132" s="20">
        <f>_xlfn.XLOOKUP(U132,'HDB Recommender'!$P$10:$P$39,'HDB Recommender'!$Q$10:$Q$39,"&gt;30mins",1)</f>
        <v>9</v>
      </c>
      <c r="Y132" s="20">
        <f>_xlfn.XLOOKUP(V132,'HDB Recommender'!$P$10:$P$39,'HDB Recommender'!$Q$10:$Q$39,"&gt;30mins",1)</f>
        <v>3</v>
      </c>
      <c r="Z132" s="39">
        <f t="shared" ref="Z132:Z195" si="4">AVERAGE(W132:Y132)</f>
        <v>6</v>
      </c>
      <c r="AA132" s="20" t="str">
        <f t="shared" ref="AA132:AA195" si="5">IF(V132&lt;1000, "Within 1km", IF(V132&lt;=2000, "between 1km and 2km", "more than 2km"))</f>
        <v>Within 1km</v>
      </c>
    </row>
    <row r="133" spans="2:27">
      <c r="B133" s="35" t="s">
        <v>317</v>
      </c>
      <c r="C133" s="35" t="s">
        <v>531</v>
      </c>
      <c r="D133" s="35" t="s">
        <v>341</v>
      </c>
      <c r="E133" s="35">
        <v>570</v>
      </c>
      <c r="F133" s="35" t="s">
        <v>552</v>
      </c>
      <c r="G133" s="35" t="s">
        <v>346</v>
      </c>
      <c r="H133" s="35">
        <v>117</v>
      </c>
      <c r="I133" s="35" t="s">
        <v>326</v>
      </c>
      <c r="J133" s="36">
        <v>1997</v>
      </c>
      <c r="K133" s="39">
        <v>72.6666666666666</v>
      </c>
      <c r="L133" s="37">
        <v>708000</v>
      </c>
      <c r="M133" s="35" t="s">
        <v>553</v>
      </c>
      <c r="N133" s="27">
        <v>530570</v>
      </c>
      <c r="O133" s="38">
        <v>1.37796504160946</v>
      </c>
      <c r="P133" s="38">
        <v>103.88821998313099</v>
      </c>
      <c r="Q133" s="38" t="str" cm="1">
        <f t="array" ref="Q133">INDEX('MRT station dataset'!$C$3:$C$179, MATCH(MIN(SQRT(('MRT station dataset'!$E$3:$E$179-'Resale flat dataset (DV)'!O133)^2+('MRT station dataset'!$F$3:$F$179-'Resale flat dataset (DV)'!P133)^2)), SQRT(('MRT station dataset'!$E$3:$E$179-'Resale flat dataset (DV)'!O133)^2+('MRT station dataset'!$F$3:$F$179-'Resale flat dataset (DV)'!P133)^2), 0))</f>
        <v>BUANGKOK MRT STATION</v>
      </c>
      <c r="R133" s="38" t="str" cm="1">
        <f t="array" ref="R133">INDEX('Mall Dataset'!$B$3:$B$157, MATCH(MIN(SQRT(('Mall Dataset'!$E$3:$E$157-'Resale flat dataset (DV)'!O133)^2+('Mall Dataset'!$F$3:$F$157-'Resale flat dataset (DV)'!P133)^2)), SQRT(('Mall Dataset'!$E$3:$E$157-'Resale flat dataset (DV)'!O133)^2+('Mall Dataset'!$F$3:$F$157-'Resale flat dataset (DV)'!P133)^2), 0))</f>
        <v>Hougang Green Shopping Mall</v>
      </c>
      <c r="S133" s="38" t="str" cm="1">
        <f t="array" ref="S133">INDEX('Schools dataset'!$B$3:$B$187, MATCH(MIN(SQRT(('Schools dataset'!$J$3:$J$187-'Resale flat dataset (DV)'!O133)^2+('Schools dataset'!$K$3:$K$187-'Resale flat dataset (DV)'!P133)^2)), SQRT(('Schools dataset'!$J$3:$J$187-'Resale flat dataset (DV)'!O133)^2+('Schools dataset'!$K$3:$K$187-'Resale flat dataset (DV)'!P133)^2), 0))</f>
        <v>YIO CHU KANG PRIMARY SCHOOL</v>
      </c>
      <c r="T133" s="39">
        <f>ACOS(COS(RADIANS(90-O133))*COS(RADIANS(90-_xlfn.XLOOKUP(Q133,'MRT station dataset'!$C$3:$C$179,'MRT station dataset'!$E$3:$E$179)))+SIN(RADIANS(90-O133))*SIN(RADIANS(90-_xlfn.XLOOKUP(Q133,'MRT station dataset'!$C$3:$C$179,'MRT station dataset'!$E$3:$E$179)))*COS(RADIANS(P133-_xlfn.XLOOKUP('Resale flat dataset (DV)'!Q133,'MRT station dataset'!$C$3:$C$179,'MRT station dataset'!$F$3:$F$179))))*6371*1000</f>
        <v>771.62034897885314</v>
      </c>
      <c r="U133" s="39">
        <f>ACOS(COS(RADIANS(90-O133))*COS(RADIANS(90-_xlfn.XLOOKUP(R133,'Mall Dataset'!$B$3:$B$157,'Mall Dataset'!$E$3:$E$157,,0)))+SIN(RADIANS(90-O133))*SIN(RADIANS(90-_xlfn.XLOOKUP(R133,'Mall Dataset'!$B$3:$B$157,'Mall Dataset'!$E$3:$E$157,,0)))*COS(RADIANS(P133-_xlfn.XLOOKUP(R133,'Mall Dataset'!$B$3:$B$157,'Mall Dataset'!$F$3:$F$157,,0))))*6371*1000</f>
        <v>156.03066052450697</v>
      </c>
      <c r="V133" s="39">
        <f>ACOS(COS(RADIANS(90-O133))*COS(RADIANS(90-_xlfn.XLOOKUP(S133,'Schools dataset'!$B$3:$B$187,'Schools dataset'!$J$3:$J$187,,0)))+SIN(RADIANS(90-O133))*SIN(RADIANS(90-_xlfn.XLOOKUP(S133,'Schools dataset'!$B$3:$B$187,'Schools dataset'!$J$3:$J$187,,0)))*COS(RADIANS(P133-_xlfn.XLOOKUP(S133,'Schools dataset'!$B$3:$B$187,'Schools dataset'!$K$3:$K$187,,0))))*6371*1000</f>
        <v>295.14646695309699</v>
      </c>
      <c r="W133" s="20">
        <f>_xlfn.XLOOKUP(T133,'HDB Recommender'!$P$10:$P$39,'HDB Recommender'!$Q$10:$Q$39,"&gt;30mins",1)</f>
        <v>11</v>
      </c>
      <c r="X133" s="20">
        <f>_xlfn.XLOOKUP(U133,'HDB Recommender'!$P$10:$P$39,'HDB Recommender'!$Q$10:$Q$39,"&gt;30mins",1)</f>
        <v>3</v>
      </c>
      <c r="Y133" s="20">
        <f>_xlfn.XLOOKUP(V133,'HDB Recommender'!$P$10:$P$39,'HDB Recommender'!$Q$10:$Q$39,"&gt;30mins",1)</f>
        <v>4</v>
      </c>
      <c r="Z133" s="39">
        <f t="shared" si="4"/>
        <v>6</v>
      </c>
      <c r="AA133" s="20" t="str">
        <f t="shared" si="5"/>
        <v>Within 1km</v>
      </c>
    </row>
    <row r="134" spans="2:27">
      <c r="B134" s="35" t="s">
        <v>317</v>
      </c>
      <c r="C134" s="35" t="s">
        <v>531</v>
      </c>
      <c r="D134" s="35" t="s">
        <v>341</v>
      </c>
      <c r="E134" s="35">
        <v>956</v>
      </c>
      <c r="F134" s="35" t="s">
        <v>543</v>
      </c>
      <c r="G134" s="35" t="s">
        <v>191</v>
      </c>
      <c r="H134" s="35">
        <v>115</v>
      </c>
      <c r="I134" s="35" t="s">
        <v>326</v>
      </c>
      <c r="J134" s="36">
        <v>1999</v>
      </c>
      <c r="K134" s="39">
        <v>74.6666666666666</v>
      </c>
      <c r="L134" s="37">
        <v>615000</v>
      </c>
      <c r="M134" s="35" t="s">
        <v>554</v>
      </c>
      <c r="N134" s="27">
        <v>530956</v>
      </c>
      <c r="O134" s="38">
        <v>1.3766282446793201</v>
      </c>
      <c r="P134" s="38">
        <v>103.878798899667</v>
      </c>
      <c r="Q134" s="38" t="str" cm="1">
        <f t="array" ref="Q134">INDEX('MRT station dataset'!$C$3:$C$179, MATCH(MIN(SQRT(('MRT station dataset'!$E$3:$E$179-'Resale flat dataset (DV)'!O134)^2+('MRT station dataset'!$F$3:$F$179-'Resale flat dataset (DV)'!P134)^2)), SQRT(('MRT station dataset'!$E$3:$E$179-'Resale flat dataset (DV)'!O134)^2+('MRT station dataset'!$F$3:$F$179-'Resale flat dataset (DV)'!P134)^2), 0))</f>
        <v>TONGKANG LRT STATION</v>
      </c>
      <c r="R134" s="38" t="str" cm="1">
        <f t="array" ref="R134">INDEX('Mall Dataset'!$B$3:$B$157, MATCH(MIN(SQRT(('Mall Dataset'!$E$3:$E$157-'Resale flat dataset (DV)'!O134)^2+('Mall Dataset'!$F$3:$F$157-'Resale flat dataset (DV)'!P134)^2)), SQRT(('Mall Dataset'!$E$3:$E$157-'Resale flat dataset (DV)'!O134)^2+('Mall Dataset'!$F$3:$F$157-'Resale flat dataset (DV)'!P134)^2), 0))</f>
        <v>Buangkok Square</v>
      </c>
      <c r="S134" s="38" t="str" cm="1">
        <f t="array" ref="S134">INDEX('Schools dataset'!$B$3:$B$187, MATCH(MIN(SQRT(('Schools dataset'!$J$3:$J$187-'Resale flat dataset (DV)'!O134)^2+('Schools dataset'!$K$3:$K$187-'Resale flat dataset (DV)'!P134)^2)), SQRT(('Schools dataset'!$J$3:$J$187-'Resale flat dataset (DV)'!O134)^2+('Schools dataset'!$K$3:$K$187-'Resale flat dataset (DV)'!P134)^2), 0))</f>
        <v>HOUGANG PRIMARY SCHOOL</v>
      </c>
      <c r="T134" s="39">
        <f>ACOS(COS(RADIANS(90-O134))*COS(RADIANS(90-_xlfn.XLOOKUP(Q134,'MRT station dataset'!$C$3:$C$179,'MRT station dataset'!$E$3:$E$179)))+SIN(RADIANS(90-O134))*SIN(RADIANS(90-_xlfn.XLOOKUP(Q134,'MRT station dataset'!$C$3:$C$179,'MRT station dataset'!$E$3:$E$179)))*COS(RADIANS(P134-_xlfn.XLOOKUP('Resale flat dataset (DV)'!Q134,'MRT station dataset'!$C$3:$C$179,'MRT station dataset'!$F$3:$F$179))))*6371*1000</f>
        <v>1609.6795019767371</v>
      </c>
      <c r="U134" s="39">
        <f>ACOS(COS(RADIANS(90-O134))*COS(RADIANS(90-_xlfn.XLOOKUP(R134,'Mall Dataset'!$B$3:$B$157,'Mall Dataset'!$E$3:$E$157,,0)))+SIN(RADIANS(90-O134))*SIN(RADIANS(90-_xlfn.XLOOKUP(R134,'Mall Dataset'!$B$3:$B$157,'Mall Dataset'!$E$3:$E$157,,0)))*COS(RADIANS(P134-_xlfn.XLOOKUP(R134,'Mall Dataset'!$B$3:$B$157,'Mall Dataset'!$F$3:$F$157,,0))))*6371*1000</f>
        <v>912.57152634599811</v>
      </c>
      <c r="V134" s="39">
        <f>ACOS(COS(RADIANS(90-O134))*COS(RADIANS(90-_xlfn.XLOOKUP(S134,'Schools dataset'!$B$3:$B$187,'Schools dataset'!$J$3:$J$187,,0)))+SIN(RADIANS(90-O134))*SIN(RADIANS(90-_xlfn.XLOOKUP(S134,'Schools dataset'!$B$3:$B$187,'Schools dataset'!$J$3:$J$187,,0)))*COS(RADIANS(P134-_xlfn.XLOOKUP(S134,'Schools dataset'!$B$3:$B$187,'Schools dataset'!$K$3:$K$187,,0))))*6371*1000</f>
        <v>247.89889587367364</v>
      </c>
      <c r="W134" s="20">
        <f>_xlfn.XLOOKUP(T134,'HDB Recommender'!$P$10:$P$39,'HDB Recommender'!$Q$10:$Q$39,"&gt;30mins",1)</f>
        <v>22</v>
      </c>
      <c r="X134" s="20">
        <f>_xlfn.XLOOKUP(U134,'HDB Recommender'!$P$10:$P$39,'HDB Recommender'!$Q$10:$Q$39,"&gt;30mins",1)</f>
        <v>13</v>
      </c>
      <c r="Y134" s="20">
        <f>_xlfn.XLOOKUP(V134,'HDB Recommender'!$P$10:$P$39,'HDB Recommender'!$Q$10:$Q$39,"&gt;30mins",1)</f>
        <v>4</v>
      </c>
      <c r="Z134" s="39">
        <f t="shared" si="4"/>
        <v>13</v>
      </c>
      <c r="AA134" s="20" t="str">
        <f t="shared" si="5"/>
        <v>Within 1km</v>
      </c>
    </row>
    <row r="135" spans="2:27">
      <c r="B135" s="35" t="s">
        <v>317</v>
      </c>
      <c r="C135" s="35" t="s">
        <v>531</v>
      </c>
      <c r="D135" s="35" t="s">
        <v>341</v>
      </c>
      <c r="E135" s="35"/>
      <c r="F135" s="35" t="s">
        <v>555</v>
      </c>
      <c r="G135" s="35" t="s">
        <v>184</v>
      </c>
      <c r="H135" s="35">
        <v>113</v>
      </c>
      <c r="I135" s="35" t="s">
        <v>326</v>
      </c>
      <c r="J135" s="36">
        <v>2017</v>
      </c>
      <c r="K135" s="39">
        <v>92.8333333333333</v>
      </c>
      <c r="L135" s="37">
        <v>750000</v>
      </c>
      <c r="M135" s="35" t="s">
        <v>556</v>
      </c>
      <c r="N135" s="27">
        <v>538473</v>
      </c>
      <c r="O135" s="38">
        <v>1.3766737176041199</v>
      </c>
      <c r="P135" s="38">
        <v>103.901954069082</v>
      </c>
      <c r="Q135" s="38" t="str" cm="1">
        <f t="array" ref="Q135">INDEX('MRT station dataset'!$C$3:$C$179, MATCH(MIN(SQRT(('MRT station dataset'!$E$3:$E$179-'Resale flat dataset (DV)'!O135)^2+('MRT station dataset'!$F$3:$F$179-'Resale flat dataset (DV)'!P135)^2)), SQRT(('MRT station dataset'!$E$3:$E$179-'Resale flat dataset (DV)'!O135)^2+('MRT station dataset'!$F$3:$F$179-'Resale flat dataset (DV)'!P135)^2), 0))</f>
        <v>KANGKAR LRT STATION</v>
      </c>
      <c r="R135" s="38" t="str" cm="1">
        <f t="array" ref="R135">INDEX('Mall Dataset'!$B$3:$B$157, MATCH(MIN(SQRT(('Mall Dataset'!$E$3:$E$157-'Resale flat dataset (DV)'!O135)^2+('Mall Dataset'!$F$3:$F$157-'Resale flat dataset (DV)'!P135)^2)), SQRT(('Mall Dataset'!$E$3:$E$157-'Resale flat dataset (DV)'!O135)^2+('Mall Dataset'!$F$3:$F$157-'Resale flat dataset (DV)'!P135)^2), 0))</f>
        <v>Rivervale Plaza</v>
      </c>
      <c r="S135" s="38" t="str" cm="1">
        <f t="array" ref="S135">INDEX('Schools dataset'!$B$3:$B$187, MATCH(MIN(SQRT(('Schools dataset'!$J$3:$J$187-'Resale flat dataset (DV)'!O135)^2+('Schools dataset'!$K$3:$K$187-'Resale flat dataset (DV)'!P135)^2)), SQRT(('Schools dataset'!$J$3:$J$187-'Resale flat dataset (DV)'!O135)^2+('Schools dataset'!$K$3:$K$187-'Resale flat dataset (DV)'!P135)^2), 0))</f>
        <v>CHIJ OUR LADY OF THE NATIVITY</v>
      </c>
      <c r="T135" s="39">
        <f>ACOS(COS(RADIANS(90-O135))*COS(RADIANS(90-_xlfn.XLOOKUP(Q135,'MRT station dataset'!$C$3:$C$179,'MRT station dataset'!$E$3:$E$179)))+SIN(RADIANS(90-O135))*SIN(RADIANS(90-_xlfn.XLOOKUP(Q135,'MRT station dataset'!$C$3:$C$179,'MRT station dataset'!$E$3:$E$179)))*COS(RADIANS(P135-_xlfn.XLOOKUP('Resale flat dataset (DV)'!Q135,'MRT station dataset'!$C$3:$C$179,'MRT station dataset'!$F$3:$F$179))))*6371*1000</f>
        <v>815.10402550006904</v>
      </c>
      <c r="U135" s="39">
        <f>ACOS(COS(RADIANS(90-O135))*COS(RADIANS(90-_xlfn.XLOOKUP(R135,'Mall Dataset'!$B$3:$B$157,'Mall Dataset'!$E$3:$E$157,,0)))+SIN(RADIANS(90-O135))*SIN(RADIANS(90-_xlfn.XLOOKUP(R135,'Mall Dataset'!$B$3:$B$157,'Mall Dataset'!$E$3:$E$157,,0)))*COS(RADIANS(P135-_xlfn.XLOOKUP(R135,'Mall Dataset'!$B$3:$B$157,'Mall Dataset'!$F$3:$F$157,,0))))*6371*1000</f>
        <v>981.91313059680613</v>
      </c>
      <c r="V135" s="39">
        <f>ACOS(COS(RADIANS(90-O135))*COS(RADIANS(90-_xlfn.XLOOKUP(S135,'Schools dataset'!$B$3:$B$187,'Schools dataset'!$J$3:$J$187,,0)))+SIN(RADIANS(90-O135))*SIN(RADIANS(90-_xlfn.XLOOKUP(S135,'Schools dataset'!$B$3:$B$187,'Schools dataset'!$J$3:$J$187,,0)))*COS(RADIANS(P135-_xlfn.XLOOKUP(S135,'Schools dataset'!$B$3:$B$187,'Schools dataset'!$K$3:$K$187,,0))))*6371*1000</f>
        <v>578.99055143228509</v>
      </c>
      <c r="W135" s="20">
        <f>_xlfn.XLOOKUP(T135,'HDB Recommender'!$P$10:$P$39,'HDB Recommender'!$Q$10:$Q$39,"&gt;30mins",1)</f>
        <v>11</v>
      </c>
      <c r="X135" s="20">
        <f>_xlfn.XLOOKUP(U135,'HDB Recommender'!$P$10:$P$39,'HDB Recommender'!$Q$10:$Q$39,"&gt;30mins",1)</f>
        <v>14</v>
      </c>
      <c r="Y135" s="20">
        <f>_xlfn.XLOOKUP(V135,'HDB Recommender'!$P$10:$P$39,'HDB Recommender'!$Q$10:$Q$39,"&gt;30mins",1)</f>
        <v>8</v>
      </c>
      <c r="Z135" s="39">
        <f t="shared" si="4"/>
        <v>11</v>
      </c>
      <c r="AA135" s="20" t="str">
        <f t="shared" si="5"/>
        <v>Within 1km</v>
      </c>
    </row>
    <row r="136" spans="2:27">
      <c r="B136" s="35" t="s">
        <v>317</v>
      </c>
      <c r="C136" s="35" t="s">
        <v>557</v>
      </c>
      <c r="D136" s="35" t="s">
        <v>318</v>
      </c>
      <c r="E136" s="35">
        <v>110</v>
      </c>
      <c r="F136" s="35" t="s">
        <v>558</v>
      </c>
      <c r="G136" s="35" t="s">
        <v>184</v>
      </c>
      <c r="H136" s="35">
        <v>68</v>
      </c>
      <c r="I136" s="35" t="s">
        <v>320</v>
      </c>
      <c r="J136" s="36">
        <v>1982</v>
      </c>
      <c r="K136" s="39">
        <v>57.5</v>
      </c>
      <c r="L136" s="37">
        <v>373000</v>
      </c>
      <c r="M136" s="35" t="s">
        <v>559</v>
      </c>
      <c r="N136" s="27">
        <v>600110</v>
      </c>
      <c r="O136" s="38">
        <v>1.3388708824640301</v>
      </c>
      <c r="P136" s="38">
        <v>103.736218506114</v>
      </c>
      <c r="Q136" s="38" t="str" cm="1">
        <f t="array" ref="Q136">INDEX('MRT station dataset'!$C$3:$C$179, MATCH(MIN(SQRT(('MRT station dataset'!$E$3:$E$179-'Resale flat dataset (DV)'!O136)^2+('MRT station dataset'!$F$3:$F$179-'Resale flat dataset (DV)'!P136)^2)), SQRT(('MRT station dataset'!$E$3:$E$179-'Resale flat dataset (DV)'!O136)^2+('MRT station dataset'!$F$3:$F$179-'Resale flat dataset (DV)'!P136)^2), 0))</f>
        <v>CHINESE GARDEN MRT STATION</v>
      </c>
      <c r="R136" s="38" t="str" cm="1">
        <f t="array" ref="R136">INDEX('Mall Dataset'!$B$3:$B$157, MATCH(MIN(SQRT(('Mall Dataset'!$E$3:$E$157-'Resale flat dataset (DV)'!O136)^2+('Mall Dataset'!$F$3:$F$157-'Resale flat dataset (DV)'!P136)^2)), SQRT(('Mall Dataset'!$E$3:$E$157-'Resale flat dataset (DV)'!O136)^2+('Mall Dataset'!$F$3:$F$157-'Resale flat dataset (DV)'!P136)^2), 0))</f>
        <v>Westgate</v>
      </c>
      <c r="S136" s="38" t="str" cm="1">
        <f t="array" ref="S136">INDEX('Schools dataset'!$B$3:$B$187, MATCH(MIN(SQRT(('Schools dataset'!$J$3:$J$187-'Resale flat dataset (DV)'!O136)^2+('Schools dataset'!$K$3:$K$187-'Resale flat dataset (DV)'!P136)^2)), SQRT(('Schools dataset'!$J$3:$J$187-'Resale flat dataset (DV)'!O136)^2+('Schools dataset'!$K$3:$K$187-'Resale flat dataset (DV)'!P136)^2), 0))</f>
        <v>FUHUA PRIMARY SCHOOL</v>
      </c>
      <c r="T136" s="39">
        <f>ACOS(COS(RADIANS(90-O136))*COS(RADIANS(90-_xlfn.XLOOKUP(Q136,'MRT station dataset'!$C$3:$C$179,'MRT station dataset'!$E$3:$E$179)))+SIN(RADIANS(90-O136))*SIN(RADIANS(90-_xlfn.XLOOKUP(Q136,'MRT station dataset'!$C$3:$C$179,'MRT station dataset'!$E$3:$E$179)))*COS(RADIANS(P136-_xlfn.XLOOKUP('Resale flat dataset (DV)'!Q136,'MRT station dataset'!$C$3:$C$179,'MRT station dataset'!$F$3:$F$179))))*6371*1000</f>
        <v>561.95906987088472</v>
      </c>
      <c r="U136" s="39">
        <f>ACOS(COS(RADIANS(90-O136))*COS(RADIANS(90-_xlfn.XLOOKUP(R136,'Mall Dataset'!$B$3:$B$157,'Mall Dataset'!$E$3:$E$157,,0)))+SIN(RADIANS(90-O136))*SIN(RADIANS(90-_xlfn.XLOOKUP(R136,'Mall Dataset'!$B$3:$B$157,'Mall Dataset'!$E$3:$E$157,,0)))*COS(RADIANS(P136-_xlfn.XLOOKUP(R136,'Mall Dataset'!$B$3:$B$157,'Mall Dataset'!$F$3:$F$157,,0))))*6371*1000</f>
        <v>896.94415915378215</v>
      </c>
      <c r="V136" s="39">
        <f>ACOS(COS(RADIANS(90-O136))*COS(RADIANS(90-_xlfn.XLOOKUP(S136,'Schools dataset'!$B$3:$B$187,'Schools dataset'!$J$3:$J$187,,0)))+SIN(RADIANS(90-O136))*SIN(RADIANS(90-_xlfn.XLOOKUP(S136,'Schools dataset'!$B$3:$B$187,'Schools dataset'!$J$3:$J$187,,0)))*COS(RADIANS(P136-_xlfn.XLOOKUP(S136,'Schools dataset'!$B$3:$B$187,'Schools dataset'!$K$3:$K$187,,0))))*6371*1000</f>
        <v>263.50011524954999</v>
      </c>
      <c r="W136" s="20">
        <f>_xlfn.XLOOKUP(T136,'HDB Recommender'!$P$10:$P$39,'HDB Recommender'!$Q$10:$Q$39,"&gt;30mins",1)</f>
        <v>8</v>
      </c>
      <c r="X136" s="20">
        <f>_xlfn.XLOOKUP(U136,'HDB Recommender'!$P$10:$P$39,'HDB Recommender'!$Q$10:$Q$39,"&gt;30mins",1)</f>
        <v>12</v>
      </c>
      <c r="Y136" s="20">
        <f>_xlfn.XLOOKUP(V136,'HDB Recommender'!$P$10:$P$39,'HDB Recommender'!$Q$10:$Q$39,"&gt;30mins",1)</f>
        <v>4</v>
      </c>
      <c r="Z136" s="39">
        <f t="shared" si="4"/>
        <v>8</v>
      </c>
      <c r="AA136" s="20" t="str">
        <f t="shared" si="5"/>
        <v>Within 1km</v>
      </c>
    </row>
    <row r="137" spans="2:27">
      <c r="B137" s="35" t="s">
        <v>317</v>
      </c>
      <c r="C137" s="35" t="s">
        <v>557</v>
      </c>
      <c r="D137" s="35" t="s">
        <v>318</v>
      </c>
      <c r="E137" s="35">
        <v>306</v>
      </c>
      <c r="F137" s="35" t="s">
        <v>560</v>
      </c>
      <c r="G137" s="35" t="s">
        <v>189</v>
      </c>
      <c r="H137" s="35">
        <v>68</v>
      </c>
      <c r="I137" s="35" t="s">
        <v>320</v>
      </c>
      <c r="J137" s="36">
        <v>1983</v>
      </c>
      <c r="K137" s="39">
        <v>59</v>
      </c>
      <c r="L137" s="37">
        <v>365000</v>
      </c>
      <c r="M137" s="35" t="s">
        <v>561</v>
      </c>
      <c r="N137" s="27">
        <v>600306</v>
      </c>
      <c r="O137" s="38">
        <v>1.3460704657740299</v>
      </c>
      <c r="P137" s="38">
        <v>103.73525269146801</v>
      </c>
      <c r="Q137" s="38" t="str" cm="1">
        <f t="array" ref="Q137">INDEX('MRT station dataset'!$C$3:$C$179, MATCH(MIN(SQRT(('MRT station dataset'!$E$3:$E$179-'Resale flat dataset (DV)'!O137)^2+('MRT station dataset'!$F$3:$F$179-'Resale flat dataset (DV)'!P137)^2)), SQRT(('MRT station dataset'!$E$3:$E$179-'Resale flat dataset (DV)'!O137)^2+('MRT station dataset'!$F$3:$F$179-'Resale flat dataset (DV)'!P137)^2), 0))</f>
        <v>CHINESE GARDEN MRT STATION</v>
      </c>
      <c r="R137" s="38" t="str" cm="1">
        <f t="array" ref="R137">INDEX('Mall Dataset'!$B$3:$B$157, MATCH(MIN(SQRT(('Mall Dataset'!$E$3:$E$157-'Resale flat dataset (DV)'!O137)^2+('Mall Dataset'!$F$3:$F$157-'Resale flat dataset (DV)'!P137)^2)), SQRT(('Mall Dataset'!$E$3:$E$157-'Resale flat dataset (DV)'!O137)^2+('Mall Dataset'!$F$3:$F$157-'Resale flat dataset (DV)'!P137)^2), 0))</f>
        <v>Westgate</v>
      </c>
      <c r="S137" s="38" t="str" cm="1">
        <f t="array" ref="S137">INDEX('Schools dataset'!$B$3:$B$187, MATCH(MIN(SQRT(('Schools dataset'!$J$3:$J$187-'Resale flat dataset (DV)'!O137)^2+('Schools dataset'!$K$3:$K$187-'Resale flat dataset (DV)'!P137)^2)), SQRT(('Schools dataset'!$J$3:$J$187-'Resale flat dataset (DV)'!O137)^2+('Schools dataset'!$K$3:$K$187-'Resale flat dataset (DV)'!P137)^2), 0))</f>
        <v>JURONG PRIMARY SCHOOL</v>
      </c>
      <c r="T137" s="39">
        <f>ACOS(COS(RADIANS(90-O137))*COS(RADIANS(90-_xlfn.XLOOKUP(Q137,'MRT station dataset'!$C$3:$C$179,'MRT station dataset'!$E$3:$E$179)))+SIN(RADIANS(90-O137))*SIN(RADIANS(90-_xlfn.XLOOKUP(Q137,'MRT station dataset'!$C$3:$C$179,'MRT station dataset'!$E$3:$E$179)))*COS(RADIANS(P137-_xlfn.XLOOKUP('Resale flat dataset (DV)'!Q137,'MRT station dataset'!$C$3:$C$179,'MRT station dataset'!$F$3:$F$179))))*6371*1000</f>
        <v>503.52051446138944</v>
      </c>
      <c r="U137" s="39">
        <f>ACOS(COS(RADIANS(90-O137))*COS(RADIANS(90-_xlfn.XLOOKUP(R137,'Mall Dataset'!$B$3:$B$157,'Mall Dataset'!$E$3:$E$157,,0)))+SIN(RADIANS(90-O137))*SIN(RADIANS(90-_xlfn.XLOOKUP(R137,'Mall Dataset'!$B$3:$B$157,'Mall Dataset'!$E$3:$E$157,,0)))*COS(RADIANS(P137-_xlfn.XLOOKUP(R137,'Mall Dataset'!$B$3:$B$157,'Mall Dataset'!$F$3:$F$157,,0))))*6371*1000</f>
        <v>1565.9971793849534</v>
      </c>
      <c r="V137" s="39">
        <f>ACOS(COS(RADIANS(90-O137))*COS(RADIANS(90-_xlfn.XLOOKUP(S137,'Schools dataset'!$B$3:$B$187,'Schools dataset'!$J$3:$J$187,,0)))+SIN(RADIANS(90-O137))*SIN(RADIANS(90-_xlfn.XLOOKUP(S137,'Schools dataset'!$B$3:$B$187,'Schools dataset'!$J$3:$J$187,,0)))*COS(RADIANS(P137-_xlfn.XLOOKUP(S137,'Schools dataset'!$B$3:$B$187,'Schools dataset'!$K$3:$K$187,,0))))*6371*1000</f>
        <v>381.10716811351432</v>
      </c>
      <c r="W137" s="20">
        <f>_xlfn.XLOOKUP(T137,'HDB Recommender'!$P$10:$P$39,'HDB Recommender'!$Q$10:$Q$39,"&gt;30mins",1)</f>
        <v>7</v>
      </c>
      <c r="X137" s="20">
        <f>_xlfn.XLOOKUP(U137,'HDB Recommender'!$P$10:$P$39,'HDB Recommender'!$Q$10:$Q$39,"&gt;30mins",1)</f>
        <v>21</v>
      </c>
      <c r="Y137" s="20">
        <f>_xlfn.XLOOKUP(V137,'HDB Recommender'!$P$10:$P$39,'HDB Recommender'!$Q$10:$Q$39,"&gt;30mins",1)</f>
        <v>6</v>
      </c>
      <c r="Z137" s="39">
        <f t="shared" si="4"/>
        <v>11.333333333333334</v>
      </c>
      <c r="AA137" s="20" t="str">
        <f t="shared" si="5"/>
        <v>Within 1km</v>
      </c>
    </row>
    <row r="138" spans="2:27">
      <c r="B138" s="35" t="s">
        <v>317</v>
      </c>
      <c r="C138" s="35" t="s">
        <v>557</v>
      </c>
      <c r="D138" s="35" t="s">
        <v>318</v>
      </c>
      <c r="E138" s="35">
        <v>47</v>
      </c>
      <c r="F138" s="35" t="s">
        <v>562</v>
      </c>
      <c r="G138" s="35" t="s">
        <v>184</v>
      </c>
      <c r="H138" s="35">
        <v>68</v>
      </c>
      <c r="I138" s="35" t="s">
        <v>320</v>
      </c>
      <c r="J138" s="36">
        <v>1985</v>
      </c>
      <c r="K138" s="39">
        <v>60.9166666666666</v>
      </c>
      <c r="L138" s="37">
        <v>348000</v>
      </c>
      <c r="M138" s="35" t="s">
        <v>563</v>
      </c>
      <c r="N138" s="27">
        <v>600047</v>
      </c>
      <c r="O138" s="38">
        <v>1.3201262784916801</v>
      </c>
      <c r="P138" s="38">
        <v>103.739888486506</v>
      </c>
      <c r="Q138" s="38" t="str" cm="1">
        <f t="array" ref="Q138">INDEX('MRT station dataset'!$C$3:$C$179, MATCH(MIN(SQRT(('MRT station dataset'!$E$3:$E$179-'Resale flat dataset (DV)'!O138)^2+('MRT station dataset'!$F$3:$F$179-'Resale flat dataset (DV)'!P138)^2)), SQRT(('MRT station dataset'!$E$3:$E$179-'Resale flat dataset (DV)'!O138)^2+('MRT station dataset'!$F$3:$F$179-'Resale flat dataset (DV)'!P138)^2), 0))</f>
        <v>JURONG EAST MRT STATION</v>
      </c>
      <c r="R138" s="38" t="str" cm="1">
        <f t="array" ref="R138">INDEX('Mall Dataset'!$B$3:$B$157, MATCH(MIN(SQRT(('Mall Dataset'!$E$3:$E$157-'Resale flat dataset (DV)'!O138)^2+('Mall Dataset'!$F$3:$F$157-'Resale flat dataset (DV)'!P138)^2)), SQRT(('Mall Dataset'!$E$3:$E$157-'Resale flat dataset (DV)'!O138)^2+('Mall Dataset'!$F$3:$F$157-'Resale flat dataset (DV)'!P138)^2), 0))</f>
        <v>Jem</v>
      </c>
      <c r="S138" s="38" t="str" cm="1">
        <f t="array" ref="S138">INDEX('Schools dataset'!$B$3:$B$187, MATCH(MIN(SQRT(('Schools dataset'!$J$3:$J$187-'Resale flat dataset (DV)'!O138)^2+('Schools dataset'!$K$3:$K$187-'Resale flat dataset (DV)'!P138)^2)), SQRT(('Schools dataset'!$J$3:$J$187-'Resale flat dataset (DV)'!O138)^2+('Schools dataset'!$K$3:$K$187-'Resale flat dataset (DV)'!P138)^2), 0))</f>
        <v>FUHUA PRIMARY SCHOOL</v>
      </c>
      <c r="T138" s="39">
        <f>ACOS(COS(RADIANS(90-O138))*COS(RADIANS(90-_xlfn.XLOOKUP(Q138,'MRT station dataset'!$C$3:$C$179,'MRT station dataset'!$E$3:$E$179)))+SIN(RADIANS(90-O138))*SIN(RADIANS(90-_xlfn.XLOOKUP(Q138,'MRT station dataset'!$C$3:$C$179,'MRT station dataset'!$E$3:$E$179)))*COS(RADIANS(P138-_xlfn.XLOOKUP('Resale flat dataset (DV)'!Q138,'MRT station dataset'!$C$3:$C$179,'MRT station dataset'!$F$3:$F$179))))*6371*1000</f>
        <v>1478.2422439123379</v>
      </c>
      <c r="U138" s="39">
        <f>ACOS(COS(RADIANS(90-O138))*COS(RADIANS(90-_xlfn.XLOOKUP(R138,'Mall Dataset'!$B$3:$B$157,'Mall Dataset'!$E$3:$E$157,,0)))+SIN(RADIANS(90-O138))*SIN(RADIANS(90-_xlfn.XLOOKUP(R138,'Mall Dataset'!$B$3:$B$157,'Mall Dataset'!$E$3:$E$157,,0)))*COS(RADIANS(P138-_xlfn.XLOOKUP(R138,'Mall Dataset'!$B$3:$B$157,'Mall Dataset'!$F$3:$F$157,,0))))*6371*1000</f>
        <v>1493.2604548180886</v>
      </c>
      <c r="V138" s="39">
        <f>ACOS(COS(RADIANS(90-O138))*COS(RADIANS(90-_xlfn.XLOOKUP(S138,'Schools dataset'!$B$3:$B$187,'Schools dataset'!$J$3:$J$187,,0)))+SIN(RADIANS(90-O138))*SIN(RADIANS(90-_xlfn.XLOOKUP(S138,'Schools dataset'!$B$3:$B$187,'Schools dataset'!$J$3:$J$187,,0)))*COS(RADIANS(P138-_xlfn.XLOOKUP(S138,'Schools dataset'!$B$3:$B$187,'Schools dataset'!$K$3:$K$187,,0))))*6371*1000</f>
        <v>1869.0825992482144</v>
      </c>
      <c r="W138" s="20">
        <f>_xlfn.XLOOKUP(T138,'HDB Recommender'!$P$10:$P$39,'HDB Recommender'!$Q$10:$Q$39,"&gt;30mins",1)</f>
        <v>20</v>
      </c>
      <c r="X138" s="20">
        <f>_xlfn.XLOOKUP(U138,'HDB Recommender'!$P$10:$P$39,'HDB Recommender'!$Q$10:$Q$39,"&gt;30mins",1)</f>
        <v>20</v>
      </c>
      <c r="Y138" s="20">
        <f>_xlfn.XLOOKUP(V138,'HDB Recommender'!$P$10:$P$39,'HDB Recommender'!$Q$10:$Q$39,"&gt;30mins",1)</f>
        <v>25</v>
      </c>
      <c r="Z138" s="39">
        <f t="shared" si="4"/>
        <v>21.666666666666668</v>
      </c>
      <c r="AA138" s="20" t="str">
        <f t="shared" si="5"/>
        <v>between 1km and 2km</v>
      </c>
    </row>
    <row r="139" spans="2:27">
      <c r="B139" s="35" t="s">
        <v>317</v>
      </c>
      <c r="C139" s="35" t="s">
        <v>557</v>
      </c>
      <c r="D139" s="35" t="s">
        <v>20</v>
      </c>
      <c r="E139" s="35">
        <v>57</v>
      </c>
      <c r="F139" s="35" t="s">
        <v>562</v>
      </c>
      <c r="G139" s="35" t="s">
        <v>411</v>
      </c>
      <c r="H139" s="35">
        <v>92</v>
      </c>
      <c r="I139" s="35" t="s">
        <v>335</v>
      </c>
      <c r="J139" s="36">
        <v>2016</v>
      </c>
      <c r="K139" s="39">
        <v>92.1666666666666</v>
      </c>
      <c r="L139" s="37">
        <v>585000</v>
      </c>
      <c r="M139" s="35" t="s">
        <v>564</v>
      </c>
      <c r="N139" s="27">
        <v>600057</v>
      </c>
      <c r="O139" s="38">
        <v>1.3225422654425401</v>
      </c>
      <c r="P139" s="38">
        <v>103.737560699176</v>
      </c>
      <c r="Q139" s="38" t="str" cm="1">
        <f t="array" ref="Q139">INDEX('MRT station dataset'!$C$3:$C$179, MATCH(MIN(SQRT(('MRT station dataset'!$E$3:$E$179-'Resale flat dataset (DV)'!O139)^2+('MRT station dataset'!$F$3:$F$179-'Resale flat dataset (DV)'!P139)^2)), SQRT(('MRT station dataset'!$E$3:$E$179-'Resale flat dataset (DV)'!O139)^2+('MRT station dataset'!$F$3:$F$179-'Resale flat dataset (DV)'!P139)^2), 0))</f>
        <v>JURONG EAST MRT STATION</v>
      </c>
      <c r="R139" s="38" t="str" cm="1">
        <f t="array" ref="R139">INDEX('Mall Dataset'!$B$3:$B$157, MATCH(MIN(SQRT(('Mall Dataset'!$E$3:$E$157-'Resale flat dataset (DV)'!O139)^2+('Mall Dataset'!$F$3:$F$157-'Resale flat dataset (DV)'!P139)^2)), SQRT(('Mall Dataset'!$E$3:$E$157-'Resale flat dataset (DV)'!O139)^2+('Mall Dataset'!$F$3:$F$157-'Resale flat dataset (DV)'!P139)^2), 0))</f>
        <v>Jem</v>
      </c>
      <c r="S139" s="38" t="str" cm="1">
        <f t="array" ref="S139">INDEX('Schools dataset'!$B$3:$B$187, MATCH(MIN(SQRT(('Schools dataset'!$J$3:$J$187-'Resale flat dataset (DV)'!O139)^2+('Schools dataset'!$K$3:$K$187-'Resale flat dataset (DV)'!P139)^2)), SQRT(('Schools dataset'!$J$3:$J$187-'Resale flat dataset (DV)'!O139)^2+('Schools dataset'!$K$3:$K$187-'Resale flat dataset (DV)'!P139)^2), 0))</f>
        <v>FUHUA PRIMARY SCHOOL</v>
      </c>
      <c r="T139" s="39">
        <f>ACOS(COS(RADIANS(90-O139))*COS(RADIANS(90-_xlfn.XLOOKUP(Q139,'MRT station dataset'!$C$3:$C$179,'MRT station dataset'!$E$3:$E$179)))+SIN(RADIANS(90-O139))*SIN(RADIANS(90-_xlfn.XLOOKUP(Q139,'MRT station dataset'!$C$3:$C$179,'MRT station dataset'!$E$3:$E$179)))*COS(RADIANS(P139-_xlfn.XLOOKUP('Resale flat dataset (DV)'!Q139,'MRT station dataset'!$C$3:$C$179,'MRT station dataset'!$F$3:$F$179))))*6371*1000</f>
        <v>1296.9171849597665</v>
      </c>
      <c r="U139" s="39">
        <f>ACOS(COS(RADIANS(90-O139))*COS(RADIANS(90-_xlfn.XLOOKUP(R139,'Mall Dataset'!$B$3:$B$157,'Mall Dataset'!$E$3:$E$157,,0)))+SIN(RADIANS(90-O139))*SIN(RADIANS(90-_xlfn.XLOOKUP(R139,'Mall Dataset'!$B$3:$B$157,'Mall Dataset'!$E$3:$E$157,,0)))*COS(RADIANS(P139-_xlfn.XLOOKUP(R139,'Mall Dataset'!$B$3:$B$157,'Mall Dataset'!$F$3:$F$157,,0))))*6371*1000</f>
        <v>1343.2189647184559</v>
      </c>
      <c r="V139" s="39">
        <f>ACOS(COS(RADIANS(90-O139))*COS(RADIANS(90-_xlfn.XLOOKUP(S139,'Schools dataset'!$B$3:$B$187,'Schools dataset'!$J$3:$J$187,,0)))+SIN(RADIANS(90-O139))*SIN(RADIANS(90-_xlfn.XLOOKUP(S139,'Schools dataset'!$B$3:$B$187,'Schools dataset'!$J$3:$J$187,,0)))*COS(RADIANS(P139-_xlfn.XLOOKUP(S139,'Schools dataset'!$B$3:$B$187,'Schools dataset'!$K$3:$K$187,,0))))*6371*1000</f>
        <v>1560.8937981834188</v>
      </c>
      <c r="W139" s="20">
        <f>_xlfn.XLOOKUP(T139,'HDB Recommender'!$P$10:$P$39,'HDB Recommender'!$Q$10:$Q$39,"&gt;30mins",1)</f>
        <v>18</v>
      </c>
      <c r="X139" s="20">
        <f>_xlfn.XLOOKUP(U139,'HDB Recommender'!$P$10:$P$39,'HDB Recommender'!$Q$10:$Q$39,"&gt;30mins",1)</f>
        <v>18</v>
      </c>
      <c r="Y139" s="20">
        <f>_xlfn.XLOOKUP(V139,'HDB Recommender'!$P$10:$P$39,'HDB Recommender'!$Q$10:$Q$39,"&gt;30mins",1)</f>
        <v>21</v>
      </c>
      <c r="Z139" s="39">
        <f t="shared" si="4"/>
        <v>19</v>
      </c>
      <c r="AA139" s="20" t="str">
        <f t="shared" si="5"/>
        <v>between 1km and 2km</v>
      </c>
    </row>
    <row r="140" spans="2:27">
      <c r="B140" s="35" t="s">
        <v>317</v>
      </c>
      <c r="C140" s="35" t="s">
        <v>557</v>
      </c>
      <c r="D140" s="35" t="s">
        <v>20</v>
      </c>
      <c r="E140" s="35">
        <v>25</v>
      </c>
      <c r="F140" s="35" t="s">
        <v>562</v>
      </c>
      <c r="G140" s="35" t="s">
        <v>184</v>
      </c>
      <c r="H140" s="35">
        <v>99</v>
      </c>
      <c r="I140" s="35" t="s">
        <v>335</v>
      </c>
      <c r="J140" s="36">
        <v>1993</v>
      </c>
      <c r="K140" s="39">
        <v>68.8333333333333</v>
      </c>
      <c r="L140" s="37">
        <v>480000</v>
      </c>
      <c r="M140" s="35" t="s">
        <v>565</v>
      </c>
      <c r="N140" s="27">
        <v>600025</v>
      </c>
      <c r="O140" s="38">
        <v>1.3230792938609699</v>
      </c>
      <c r="P140" s="38">
        <v>103.737791107104</v>
      </c>
      <c r="Q140" s="38" t="str" cm="1">
        <f t="array" ref="Q140">INDEX('MRT station dataset'!$C$3:$C$179, MATCH(MIN(SQRT(('MRT station dataset'!$E$3:$E$179-'Resale flat dataset (DV)'!O140)^2+('MRT station dataset'!$F$3:$F$179-'Resale flat dataset (DV)'!P140)^2)), SQRT(('MRT station dataset'!$E$3:$E$179-'Resale flat dataset (DV)'!O140)^2+('MRT station dataset'!$F$3:$F$179-'Resale flat dataset (DV)'!P140)^2), 0))</f>
        <v>JURONG EAST MRT STATION</v>
      </c>
      <c r="R140" s="38" t="str" cm="1">
        <f t="array" ref="R140">INDEX('Mall Dataset'!$B$3:$B$157, MATCH(MIN(SQRT(('Mall Dataset'!$E$3:$E$157-'Resale flat dataset (DV)'!O140)^2+('Mall Dataset'!$F$3:$F$157-'Resale flat dataset (DV)'!P140)^2)), SQRT(('Mall Dataset'!$E$3:$E$157-'Resale flat dataset (DV)'!O140)^2+('Mall Dataset'!$F$3:$F$157-'Resale flat dataset (DV)'!P140)^2), 0))</f>
        <v>Jem</v>
      </c>
      <c r="S140" s="38" t="str" cm="1">
        <f t="array" ref="S140">INDEX('Schools dataset'!$B$3:$B$187, MATCH(MIN(SQRT(('Schools dataset'!$J$3:$J$187-'Resale flat dataset (DV)'!O140)^2+('Schools dataset'!$K$3:$K$187-'Resale flat dataset (DV)'!P140)^2)), SQRT(('Schools dataset'!$J$3:$J$187-'Resale flat dataset (DV)'!O140)^2+('Schools dataset'!$K$3:$K$187-'Resale flat dataset (DV)'!P140)^2), 0))</f>
        <v>FUHUA PRIMARY SCHOOL</v>
      </c>
      <c r="T140" s="39">
        <f>ACOS(COS(RADIANS(90-O140))*COS(RADIANS(90-_xlfn.XLOOKUP(Q140,'MRT station dataset'!$C$3:$C$179,'MRT station dataset'!$E$3:$E$179)))+SIN(RADIANS(90-O140))*SIN(RADIANS(90-_xlfn.XLOOKUP(Q140,'MRT station dataset'!$C$3:$C$179,'MRT station dataset'!$E$3:$E$179)))*COS(RADIANS(P140-_xlfn.XLOOKUP('Resale flat dataset (DV)'!Q140,'MRT station dataset'!$C$3:$C$179,'MRT station dataset'!$F$3:$F$179))))*6371*1000</f>
        <v>1231.9468834371539</v>
      </c>
      <c r="U140" s="39">
        <f>ACOS(COS(RADIANS(90-O140))*COS(RADIANS(90-_xlfn.XLOOKUP(R140,'Mall Dataset'!$B$3:$B$157,'Mall Dataset'!$E$3:$E$157,,0)))+SIN(RADIANS(90-O140))*SIN(RADIANS(90-_xlfn.XLOOKUP(R140,'Mall Dataset'!$B$3:$B$157,'Mall Dataset'!$E$3:$E$157,,0)))*COS(RADIANS(P140-_xlfn.XLOOKUP(R140,'Mall Dataset'!$B$3:$B$157,'Mall Dataset'!$F$3:$F$157,,0))))*6371*1000</f>
        <v>1278.6480023469744</v>
      </c>
      <c r="V140" s="39">
        <f>ACOS(COS(RADIANS(90-O140))*COS(RADIANS(90-_xlfn.XLOOKUP(S140,'Schools dataset'!$B$3:$B$187,'Schools dataset'!$J$3:$J$187,,0)))+SIN(RADIANS(90-O140))*SIN(RADIANS(90-_xlfn.XLOOKUP(S140,'Schools dataset'!$B$3:$B$187,'Schools dataset'!$J$3:$J$187,,0)))*COS(RADIANS(P140-_xlfn.XLOOKUP(S140,'Schools dataset'!$B$3:$B$187,'Schools dataset'!$K$3:$K$187,,0))))*6371*1000</f>
        <v>1504.4923849783581</v>
      </c>
      <c r="W140" s="20">
        <f>_xlfn.XLOOKUP(T140,'HDB Recommender'!$P$10:$P$39,'HDB Recommender'!$Q$10:$Q$39,"&gt;30mins",1)</f>
        <v>17</v>
      </c>
      <c r="X140" s="20">
        <f>_xlfn.XLOOKUP(U140,'HDB Recommender'!$P$10:$P$39,'HDB Recommender'!$Q$10:$Q$39,"&gt;30mins",1)</f>
        <v>18</v>
      </c>
      <c r="Y140" s="20">
        <f>_xlfn.XLOOKUP(V140,'HDB Recommender'!$P$10:$P$39,'HDB Recommender'!$Q$10:$Q$39,"&gt;30mins",1)</f>
        <v>21</v>
      </c>
      <c r="Z140" s="39">
        <f t="shared" si="4"/>
        <v>18.666666666666668</v>
      </c>
      <c r="AA140" s="20" t="str">
        <f t="shared" si="5"/>
        <v>between 1km and 2km</v>
      </c>
    </row>
    <row r="141" spans="2:27">
      <c r="B141" s="35" t="s">
        <v>317</v>
      </c>
      <c r="C141" s="35" t="s">
        <v>566</v>
      </c>
      <c r="D141" s="35" t="s">
        <v>318</v>
      </c>
      <c r="E141" s="35">
        <v>187</v>
      </c>
      <c r="F141" s="35" t="s">
        <v>567</v>
      </c>
      <c r="G141" s="35" t="s">
        <v>411</v>
      </c>
      <c r="H141" s="35">
        <v>59</v>
      </c>
      <c r="I141" s="35" t="s">
        <v>326</v>
      </c>
      <c r="J141" s="36">
        <v>1978</v>
      </c>
      <c r="K141" s="39">
        <v>53.8333333333333</v>
      </c>
      <c r="L141" s="37">
        <v>300000</v>
      </c>
      <c r="M141" s="35" t="s">
        <v>568</v>
      </c>
      <c r="N141" s="27">
        <v>640187</v>
      </c>
      <c r="O141" s="38">
        <v>1.3450577358893301</v>
      </c>
      <c r="P141" s="38">
        <v>103.710699802755</v>
      </c>
      <c r="Q141" s="38" t="str" cm="1">
        <f t="array" ref="Q141">INDEX('MRT station dataset'!$C$3:$C$179, MATCH(MIN(SQRT(('MRT station dataset'!$E$3:$E$179-'Resale flat dataset (DV)'!O141)^2+('MRT station dataset'!$F$3:$F$179-'Resale flat dataset (DV)'!P141)^2)), SQRT(('MRT station dataset'!$E$3:$E$179-'Resale flat dataset (DV)'!O141)^2+('MRT station dataset'!$F$3:$F$179-'Resale flat dataset (DV)'!P141)^2), 0))</f>
        <v>BOON LAY MRT STATION</v>
      </c>
      <c r="R141" s="38" t="str" cm="1">
        <f t="array" ref="R141">INDEX('Mall Dataset'!$B$3:$B$157, MATCH(MIN(SQRT(('Mall Dataset'!$E$3:$E$157-'Resale flat dataset (DV)'!O141)^2+('Mall Dataset'!$F$3:$F$157-'Resale flat dataset (DV)'!P141)^2)), SQRT(('Mall Dataset'!$E$3:$E$157-'Resale flat dataset (DV)'!O141)^2+('Mall Dataset'!$F$3:$F$157-'Resale flat dataset (DV)'!P141)^2), 0))</f>
        <v>Boon Lay Shopping Centre</v>
      </c>
      <c r="S141" s="38" t="str" cm="1">
        <f t="array" ref="S141">INDEX('Schools dataset'!$B$3:$B$187, MATCH(MIN(SQRT(('Schools dataset'!$J$3:$J$187-'Resale flat dataset (DV)'!O141)^2+('Schools dataset'!$K$3:$K$187-'Resale flat dataset (DV)'!P141)^2)), SQRT(('Schools dataset'!$J$3:$J$187-'Resale flat dataset (DV)'!O141)^2+('Schools dataset'!$K$3:$K$187-'Resale flat dataset (DV)'!P141)^2), 0))</f>
        <v>RIVER VALLEY HIGH SCHOOL</v>
      </c>
      <c r="T141" s="39">
        <f>ACOS(COS(RADIANS(90-O141))*COS(RADIANS(90-_xlfn.XLOOKUP(Q141,'MRT station dataset'!$C$3:$C$179,'MRT station dataset'!$E$3:$E$179)))+SIN(RADIANS(90-O141))*SIN(RADIANS(90-_xlfn.XLOOKUP(Q141,'MRT station dataset'!$C$3:$C$179,'MRT station dataset'!$E$3:$E$179)))*COS(RADIANS(P141-_xlfn.XLOOKUP('Resale flat dataset (DV)'!Q141,'MRT station dataset'!$C$3:$C$179,'MRT station dataset'!$F$3:$F$179))))*6371*1000</f>
        <v>881.52357968445233</v>
      </c>
      <c r="U141" s="39">
        <f>ACOS(COS(RADIANS(90-O141))*COS(RADIANS(90-_xlfn.XLOOKUP(R141,'Mall Dataset'!$B$3:$B$157,'Mall Dataset'!$E$3:$E$157,,0)))+SIN(RADIANS(90-O141))*SIN(RADIANS(90-_xlfn.XLOOKUP(R141,'Mall Dataset'!$B$3:$B$157,'Mall Dataset'!$E$3:$E$157,,0)))*COS(RADIANS(P141-_xlfn.XLOOKUP(R141,'Mall Dataset'!$B$3:$B$157,'Mall Dataset'!$F$3:$F$157,,0))))*6371*1000</f>
        <v>245.48116681886566</v>
      </c>
      <c r="V141" s="39">
        <f>ACOS(COS(RADIANS(90-O141))*COS(RADIANS(90-_xlfn.XLOOKUP(S141,'Schools dataset'!$B$3:$B$187,'Schools dataset'!$J$3:$J$187,,0)))+SIN(RADIANS(90-O141))*SIN(RADIANS(90-_xlfn.XLOOKUP(S141,'Schools dataset'!$B$3:$B$187,'Schools dataset'!$J$3:$J$187,,0)))*COS(RADIANS(P141-_xlfn.XLOOKUP(S141,'Schools dataset'!$B$3:$B$187,'Schools dataset'!$K$3:$K$187,,0))))*6371*1000</f>
        <v>283.61312915602355</v>
      </c>
      <c r="W141" s="20">
        <f>_xlfn.XLOOKUP(T141,'HDB Recommender'!$P$10:$P$39,'HDB Recommender'!$Q$10:$Q$39,"&gt;30mins",1)</f>
        <v>12</v>
      </c>
      <c r="X141" s="20">
        <f>_xlfn.XLOOKUP(U141,'HDB Recommender'!$P$10:$P$39,'HDB Recommender'!$Q$10:$Q$39,"&gt;30mins",1)</f>
        <v>4</v>
      </c>
      <c r="Y141" s="20">
        <f>_xlfn.XLOOKUP(V141,'HDB Recommender'!$P$10:$P$39,'HDB Recommender'!$Q$10:$Q$39,"&gt;30mins",1)</f>
        <v>4</v>
      </c>
      <c r="Z141" s="39">
        <f t="shared" si="4"/>
        <v>6.666666666666667</v>
      </c>
      <c r="AA141" s="20" t="str">
        <f t="shared" si="5"/>
        <v>Within 1km</v>
      </c>
    </row>
    <row r="142" spans="2:27">
      <c r="B142" s="35" t="s">
        <v>317</v>
      </c>
      <c r="C142" s="35" t="s">
        <v>566</v>
      </c>
      <c r="D142" s="35" t="s">
        <v>318</v>
      </c>
      <c r="E142" s="35"/>
      <c r="F142" s="35" t="s">
        <v>569</v>
      </c>
      <c r="G142" s="35" t="s">
        <v>184</v>
      </c>
      <c r="H142" s="35">
        <v>68</v>
      </c>
      <c r="I142" s="35" t="s">
        <v>335</v>
      </c>
      <c r="J142" s="36">
        <v>2015</v>
      </c>
      <c r="K142" s="39">
        <v>90.5833333333333</v>
      </c>
      <c r="L142" s="37">
        <v>410000</v>
      </c>
      <c r="M142" s="35" t="s">
        <v>570</v>
      </c>
      <c r="N142" s="27">
        <v>641197</v>
      </c>
      <c r="O142" s="38">
        <v>1.3441061022631999</v>
      </c>
      <c r="P142" s="38">
        <v>103.713719208827</v>
      </c>
      <c r="Q142" s="38" t="str" cm="1">
        <f t="array" ref="Q142">INDEX('MRT station dataset'!$C$3:$C$179, MATCH(MIN(SQRT(('MRT station dataset'!$E$3:$E$179-'Resale flat dataset (DV)'!O142)^2+('MRT station dataset'!$F$3:$F$179-'Resale flat dataset (DV)'!P142)^2)), SQRT(('MRT station dataset'!$E$3:$E$179-'Resale flat dataset (DV)'!O142)^2+('MRT station dataset'!$F$3:$F$179-'Resale flat dataset (DV)'!P142)^2), 0))</f>
        <v>LAKESIDE MRT STATION</v>
      </c>
      <c r="R142" s="38" t="str" cm="1">
        <f t="array" ref="R142">INDEX('Mall Dataset'!$B$3:$B$157, MATCH(MIN(SQRT(('Mall Dataset'!$E$3:$E$157-'Resale flat dataset (DV)'!O142)^2+('Mall Dataset'!$F$3:$F$157-'Resale flat dataset (DV)'!P142)^2)), SQRT(('Mall Dataset'!$E$3:$E$157-'Resale flat dataset (DV)'!O142)^2+('Mall Dataset'!$F$3:$F$157-'Resale flat dataset (DV)'!P142)^2), 0))</f>
        <v>Boon Lay Shopping Centre</v>
      </c>
      <c r="S142" s="38" t="str" cm="1">
        <f t="array" ref="S142">INDEX('Schools dataset'!$B$3:$B$187, MATCH(MIN(SQRT(('Schools dataset'!$J$3:$J$187-'Resale flat dataset (DV)'!O142)^2+('Schools dataset'!$K$3:$K$187-'Resale flat dataset (DV)'!P142)^2)), SQRT(('Schools dataset'!$J$3:$J$187-'Resale flat dataset (DV)'!O142)^2+('Schools dataset'!$K$3:$K$187-'Resale flat dataset (DV)'!P142)^2), 0))</f>
        <v>BOON LAY GARDEN PRIMARY SCHOOL</v>
      </c>
      <c r="T142" s="39">
        <f>ACOS(COS(RADIANS(90-O142))*COS(RADIANS(90-_xlfn.XLOOKUP(Q142,'MRT station dataset'!$C$3:$C$179,'MRT station dataset'!$E$3:$E$179)))+SIN(RADIANS(90-O142))*SIN(RADIANS(90-_xlfn.XLOOKUP(Q142,'MRT station dataset'!$C$3:$C$179,'MRT station dataset'!$E$3:$E$179)))*COS(RADIANS(P142-_xlfn.XLOOKUP('Resale flat dataset (DV)'!Q142,'MRT station dataset'!$C$3:$C$179,'MRT station dataset'!$F$3:$F$179))))*6371*1000</f>
        <v>798.53892971349796</v>
      </c>
      <c r="U142" s="39">
        <f>ACOS(COS(RADIANS(90-O142))*COS(RADIANS(90-_xlfn.XLOOKUP(R142,'Mall Dataset'!$B$3:$B$157,'Mall Dataset'!$E$3:$E$157,,0)))+SIN(RADIANS(90-O142))*SIN(RADIANS(90-_xlfn.XLOOKUP(R142,'Mall Dataset'!$B$3:$B$157,'Mall Dataset'!$E$3:$E$157,,0)))*COS(RADIANS(P142-_xlfn.XLOOKUP(R142,'Mall Dataset'!$B$3:$B$157,'Mall Dataset'!$F$3:$F$157,,0))))*6371*1000</f>
        <v>287.71180117943243</v>
      </c>
      <c r="V142" s="39">
        <f>ACOS(COS(RADIANS(90-O142))*COS(RADIANS(90-_xlfn.XLOOKUP(S142,'Schools dataset'!$B$3:$B$187,'Schools dataset'!$J$3:$J$187,,0)))+SIN(RADIANS(90-O142))*SIN(RADIANS(90-_xlfn.XLOOKUP(S142,'Schools dataset'!$B$3:$B$187,'Schools dataset'!$J$3:$J$187,,0)))*COS(RADIANS(P142-_xlfn.XLOOKUP(S142,'Schools dataset'!$B$3:$B$187,'Schools dataset'!$K$3:$K$187,,0))))*6371*1000</f>
        <v>170.21475338648128</v>
      </c>
      <c r="W142" s="20">
        <f>_xlfn.XLOOKUP(T142,'HDB Recommender'!$P$10:$P$39,'HDB Recommender'!$Q$10:$Q$39,"&gt;30mins",1)</f>
        <v>11</v>
      </c>
      <c r="X142" s="20">
        <f>_xlfn.XLOOKUP(U142,'HDB Recommender'!$P$10:$P$39,'HDB Recommender'!$Q$10:$Q$39,"&gt;30mins",1)</f>
        <v>4</v>
      </c>
      <c r="Y142" s="20">
        <f>_xlfn.XLOOKUP(V142,'HDB Recommender'!$P$10:$P$39,'HDB Recommender'!$Q$10:$Q$39,"&gt;30mins",1)</f>
        <v>3</v>
      </c>
      <c r="Z142" s="39">
        <f t="shared" si="4"/>
        <v>6</v>
      </c>
      <c r="AA142" s="20" t="str">
        <f t="shared" si="5"/>
        <v>Within 1km</v>
      </c>
    </row>
    <row r="143" spans="2:27">
      <c r="B143" s="35" t="s">
        <v>317</v>
      </c>
      <c r="C143" s="35" t="s">
        <v>566</v>
      </c>
      <c r="D143" s="35" t="s">
        <v>318</v>
      </c>
      <c r="E143" s="35">
        <v>213</v>
      </c>
      <c r="F143" s="35" t="s">
        <v>571</v>
      </c>
      <c r="G143" s="35" t="s">
        <v>349</v>
      </c>
      <c r="H143" s="35">
        <v>66</v>
      </c>
      <c r="I143" s="35" t="s">
        <v>326</v>
      </c>
      <c r="J143" s="36">
        <v>1974</v>
      </c>
      <c r="K143" s="39">
        <v>50.0833333333333</v>
      </c>
      <c r="L143" s="37">
        <v>298000</v>
      </c>
      <c r="M143" s="35" t="s">
        <v>572</v>
      </c>
      <c r="N143" s="27">
        <v>640213</v>
      </c>
      <c r="O143" s="38">
        <v>1.3494593418737699</v>
      </c>
      <c r="P143" s="38">
        <v>103.712840315508</v>
      </c>
      <c r="Q143" s="38" t="str" cm="1">
        <f t="array" ref="Q143">INDEX('MRT station dataset'!$C$3:$C$179, MATCH(MIN(SQRT(('MRT station dataset'!$E$3:$E$179-'Resale flat dataset (DV)'!O143)^2+('MRT station dataset'!$F$3:$F$179-'Resale flat dataset (DV)'!P143)^2)), SQRT(('MRT station dataset'!$E$3:$E$179-'Resale flat dataset (DV)'!O143)^2+('MRT station dataset'!$F$3:$F$179-'Resale flat dataset (DV)'!P143)^2), 0))</f>
        <v>LAKESIDE MRT STATION</v>
      </c>
      <c r="R143" s="38" t="str" cm="1">
        <f t="array" ref="R143">INDEX('Mall Dataset'!$B$3:$B$157, MATCH(MIN(SQRT(('Mall Dataset'!$E$3:$E$157-'Resale flat dataset (DV)'!O143)^2+('Mall Dataset'!$F$3:$F$157-'Resale flat dataset (DV)'!P143)^2)), SQRT(('Mall Dataset'!$E$3:$E$157-'Resale flat dataset (DV)'!O143)^2+('Mall Dataset'!$F$3:$F$157-'Resale flat dataset (DV)'!P143)^2), 0))</f>
        <v>Boon Lay Shopping Centre</v>
      </c>
      <c r="S143" s="38" t="str" cm="1">
        <f t="array" ref="S143">INDEX('Schools dataset'!$B$3:$B$187, MATCH(MIN(SQRT(('Schools dataset'!$J$3:$J$187-'Resale flat dataset (DV)'!O143)^2+('Schools dataset'!$K$3:$K$187-'Resale flat dataset (DV)'!P143)^2)), SQRT(('Schools dataset'!$J$3:$J$187-'Resale flat dataset (DV)'!O143)^2+('Schools dataset'!$K$3:$K$187-'Resale flat dataset (DV)'!P143)^2), 0))</f>
        <v>CORPORATION PRIMARY SCHOOL</v>
      </c>
      <c r="T143" s="39">
        <f>ACOS(COS(RADIANS(90-O143))*COS(RADIANS(90-_xlfn.XLOOKUP(Q143,'MRT station dataset'!$C$3:$C$179,'MRT station dataset'!$E$3:$E$179)))+SIN(RADIANS(90-O143))*SIN(RADIANS(90-_xlfn.XLOOKUP(Q143,'MRT station dataset'!$C$3:$C$179,'MRT station dataset'!$E$3:$E$179)))*COS(RADIANS(P143-_xlfn.XLOOKUP('Resale flat dataset (DV)'!Q143,'MRT station dataset'!$C$3:$C$179,'MRT station dataset'!$F$3:$F$179))))*6371*1000</f>
        <v>1063.8828906450956</v>
      </c>
      <c r="U143" s="39">
        <f>ACOS(COS(RADIANS(90-O143))*COS(RADIANS(90-_xlfn.XLOOKUP(R143,'Mall Dataset'!$B$3:$B$157,'Mall Dataset'!$E$3:$E$157,,0)))+SIN(RADIANS(90-O143))*SIN(RADIANS(90-_xlfn.XLOOKUP(R143,'Mall Dataset'!$B$3:$B$157,'Mall Dataset'!$E$3:$E$157,,0)))*COS(RADIANS(P143-_xlfn.XLOOKUP(R143,'Mall Dataset'!$B$3:$B$157,'Mall Dataset'!$F$3:$F$157,,0))))*6371*1000</f>
        <v>345.52414782357641</v>
      </c>
      <c r="V143" s="39">
        <f>ACOS(COS(RADIANS(90-O143))*COS(RADIANS(90-_xlfn.XLOOKUP(S143,'Schools dataset'!$B$3:$B$187,'Schools dataset'!$J$3:$J$187,,0)))+SIN(RADIANS(90-O143))*SIN(RADIANS(90-_xlfn.XLOOKUP(S143,'Schools dataset'!$B$3:$B$187,'Schools dataset'!$J$3:$J$187,,0)))*COS(RADIANS(P143-_xlfn.XLOOKUP(S143,'Schools dataset'!$B$3:$B$187,'Schools dataset'!$K$3:$K$187,,0))))*6371*1000</f>
        <v>607.80294394135638</v>
      </c>
      <c r="W143" s="20">
        <f>_xlfn.XLOOKUP(T143,'HDB Recommender'!$P$10:$P$39,'HDB Recommender'!$Q$10:$Q$39,"&gt;30mins",1)</f>
        <v>15</v>
      </c>
      <c r="X143" s="20">
        <f>_xlfn.XLOOKUP(U143,'HDB Recommender'!$P$10:$P$39,'HDB Recommender'!$Q$10:$Q$39,"&gt;30mins",1)</f>
        <v>5</v>
      </c>
      <c r="Y143" s="20">
        <f>_xlfn.XLOOKUP(V143,'HDB Recommender'!$P$10:$P$39,'HDB Recommender'!$Q$10:$Q$39,"&gt;30mins",1)</f>
        <v>9</v>
      </c>
      <c r="Z143" s="39">
        <f t="shared" si="4"/>
        <v>9.6666666666666661</v>
      </c>
      <c r="AA143" s="20" t="str">
        <f t="shared" si="5"/>
        <v>Within 1km</v>
      </c>
    </row>
    <row r="144" spans="2:27">
      <c r="B144" s="35" t="s">
        <v>317</v>
      </c>
      <c r="C144" s="35" t="s">
        <v>566</v>
      </c>
      <c r="D144" s="35" t="s">
        <v>318</v>
      </c>
      <c r="E144" s="35">
        <v>440</v>
      </c>
      <c r="F144" s="35" t="s">
        <v>573</v>
      </c>
      <c r="G144" s="35" t="s">
        <v>349</v>
      </c>
      <c r="H144" s="35">
        <v>74</v>
      </c>
      <c r="I144" s="35" t="s">
        <v>335</v>
      </c>
      <c r="J144" s="36">
        <v>1985</v>
      </c>
      <c r="K144" s="39">
        <v>60.75</v>
      </c>
      <c r="L144" s="37">
        <v>350000</v>
      </c>
      <c r="M144" s="35" t="s">
        <v>574</v>
      </c>
      <c r="N144" s="27">
        <v>640440</v>
      </c>
      <c r="O144" s="38">
        <v>1.35131146892729</v>
      </c>
      <c r="P144" s="38">
        <v>103.72283625905899</v>
      </c>
      <c r="Q144" s="38" t="str" cm="1">
        <f t="array" ref="Q144">INDEX('MRT station dataset'!$C$3:$C$179, MATCH(MIN(SQRT(('MRT station dataset'!$E$3:$E$179-'Resale flat dataset (DV)'!O144)^2+('MRT station dataset'!$F$3:$F$179-'Resale flat dataset (DV)'!P144)^2)), SQRT(('MRT station dataset'!$E$3:$E$179-'Resale flat dataset (DV)'!O144)^2+('MRT station dataset'!$F$3:$F$179-'Resale flat dataset (DV)'!P144)^2), 0))</f>
        <v>LAKESIDE MRT STATION</v>
      </c>
      <c r="R144" s="38" t="str" cm="1">
        <f t="array" ref="R144">INDEX('Mall Dataset'!$B$3:$B$157, MATCH(MIN(SQRT(('Mall Dataset'!$E$3:$E$157-'Resale flat dataset (DV)'!O144)^2+('Mall Dataset'!$F$3:$F$157-'Resale flat dataset (DV)'!P144)^2)), SQRT(('Mall Dataset'!$E$3:$E$157-'Resale flat dataset (DV)'!O144)^2+('Mall Dataset'!$F$3:$F$157-'Resale flat dataset (DV)'!P144)^2), 0))</f>
        <v>Boon Lay Shopping Centre</v>
      </c>
      <c r="S144" s="38" t="str" cm="1">
        <f t="array" ref="S144">INDEX('Schools dataset'!$B$3:$B$187, MATCH(MIN(SQRT(('Schools dataset'!$J$3:$J$187-'Resale flat dataset (DV)'!O144)^2+('Schools dataset'!$K$3:$K$187-'Resale flat dataset (DV)'!P144)^2)), SQRT(('Schools dataset'!$J$3:$J$187-'Resale flat dataset (DV)'!O144)^2+('Schools dataset'!$K$3:$K$187-'Resale flat dataset (DV)'!P144)^2), 0))</f>
        <v>SHUQUN PRIMARY SCHOOL</v>
      </c>
      <c r="T144" s="39">
        <f>ACOS(COS(RADIANS(90-O144))*COS(RADIANS(90-_xlfn.XLOOKUP(Q144,'MRT station dataset'!$C$3:$C$179,'MRT station dataset'!$E$3:$E$179)))+SIN(RADIANS(90-O144))*SIN(RADIANS(90-_xlfn.XLOOKUP(Q144,'MRT station dataset'!$C$3:$C$179,'MRT station dataset'!$E$3:$E$179)))*COS(RADIANS(P144-_xlfn.XLOOKUP('Resale flat dataset (DV)'!Q144,'MRT station dataset'!$C$3:$C$179,'MRT station dataset'!$F$3:$F$179))))*6371*1000</f>
        <v>808.80625120825948</v>
      </c>
      <c r="U144" s="39">
        <f>ACOS(COS(RADIANS(90-O144))*COS(RADIANS(90-_xlfn.XLOOKUP(R144,'Mall Dataset'!$B$3:$B$157,'Mall Dataset'!$E$3:$E$157,,0)))+SIN(RADIANS(90-O144))*SIN(RADIANS(90-_xlfn.XLOOKUP(R144,'Mall Dataset'!$B$3:$B$157,'Mall Dataset'!$E$3:$E$157,,0)))*COS(RADIANS(P144-_xlfn.XLOOKUP(R144,'Mall Dataset'!$B$3:$B$157,'Mall Dataset'!$F$3:$F$157,,0))))*6371*1000</f>
        <v>1276.1878786874518</v>
      </c>
      <c r="V144" s="39">
        <f>ACOS(COS(RADIANS(90-O144))*COS(RADIANS(90-_xlfn.XLOOKUP(S144,'Schools dataset'!$B$3:$B$187,'Schools dataset'!$J$3:$J$187,,0)))+SIN(RADIANS(90-O144))*SIN(RADIANS(90-_xlfn.XLOOKUP(S144,'Schools dataset'!$B$3:$B$187,'Schools dataset'!$J$3:$J$187,,0)))*COS(RADIANS(P144-_xlfn.XLOOKUP(S144,'Schools dataset'!$B$3:$B$187,'Schools dataset'!$K$3:$K$187,,0))))*6371*1000</f>
        <v>439.8623649525972</v>
      </c>
      <c r="W144" s="20">
        <f>_xlfn.XLOOKUP(T144,'HDB Recommender'!$P$10:$P$39,'HDB Recommender'!$Q$10:$Q$39,"&gt;30mins",1)</f>
        <v>11</v>
      </c>
      <c r="X144" s="20">
        <f>_xlfn.XLOOKUP(U144,'HDB Recommender'!$P$10:$P$39,'HDB Recommender'!$Q$10:$Q$39,"&gt;30mins",1)</f>
        <v>18</v>
      </c>
      <c r="Y144" s="20">
        <f>_xlfn.XLOOKUP(V144,'HDB Recommender'!$P$10:$P$39,'HDB Recommender'!$Q$10:$Q$39,"&gt;30mins",1)</f>
        <v>6</v>
      </c>
      <c r="Z144" s="39">
        <f t="shared" si="4"/>
        <v>11.666666666666666</v>
      </c>
      <c r="AA144" s="20" t="str">
        <f t="shared" si="5"/>
        <v>Within 1km</v>
      </c>
    </row>
    <row r="145" spans="2:27">
      <c r="B145" s="35" t="s">
        <v>317</v>
      </c>
      <c r="C145" s="35" t="s">
        <v>566</v>
      </c>
      <c r="D145" s="35" t="s">
        <v>20</v>
      </c>
      <c r="E145" s="35">
        <v>488</v>
      </c>
      <c r="F145" s="35" t="s">
        <v>573</v>
      </c>
      <c r="G145" s="35" t="s">
        <v>184</v>
      </c>
      <c r="H145" s="35">
        <v>92</v>
      </c>
      <c r="I145" s="35" t="s">
        <v>320</v>
      </c>
      <c r="J145" s="36">
        <v>1985</v>
      </c>
      <c r="K145" s="39">
        <v>60.4166666666666</v>
      </c>
      <c r="L145" s="37">
        <v>485000</v>
      </c>
      <c r="M145" s="35" t="s">
        <v>575</v>
      </c>
      <c r="N145" s="27">
        <v>640488</v>
      </c>
      <c r="O145" s="38">
        <v>1.3490819484302701</v>
      </c>
      <c r="P145" s="38">
        <v>103.72619549188001</v>
      </c>
      <c r="Q145" s="38" t="str" cm="1">
        <f t="array" ref="Q145">INDEX('MRT station dataset'!$C$3:$C$179, MATCH(MIN(SQRT(('MRT station dataset'!$E$3:$E$179-'Resale flat dataset (DV)'!O145)^2+('MRT station dataset'!$F$3:$F$179-'Resale flat dataset (DV)'!P145)^2)), SQRT(('MRT station dataset'!$E$3:$E$179-'Resale flat dataset (DV)'!O145)^2+('MRT station dataset'!$F$3:$F$179-'Resale flat dataset (DV)'!P145)^2), 0))</f>
        <v>LAKESIDE MRT STATION</v>
      </c>
      <c r="R145" s="38" t="str" cm="1">
        <f t="array" ref="R145">INDEX('Mall Dataset'!$B$3:$B$157, MATCH(MIN(SQRT(('Mall Dataset'!$E$3:$E$157-'Resale flat dataset (DV)'!O145)^2+('Mall Dataset'!$F$3:$F$157-'Resale flat dataset (DV)'!P145)^2)), SQRT(('Mall Dataset'!$E$3:$E$157-'Resale flat dataset (DV)'!O145)^2+('Mall Dataset'!$F$3:$F$157-'Resale flat dataset (DV)'!P145)^2), 0))</f>
        <v>Boon Lay Shopping Centre</v>
      </c>
      <c r="S145" s="38" t="str" cm="1">
        <f t="array" ref="S145">INDEX('Schools dataset'!$B$3:$B$187, MATCH(MIN(SQRT(('Schools dataset'!$J$3:$J$187-'Resale flat dataset (DV)'!O145)^2+('Schools dataset'!$K$3:$K$187-'Resale flat dataset (DV)'!P145)^2)), SQRT(('Schools dataset'!$J$3:$J$187-'Resale flat dataset (DV)'!O145)^2+('Schools dataset'!$K$3:$K$187-'Resale flat dataset (DV)'!P145)^2), 0))</f>
        <v>SHUQUN PRIMARY SCHOOL</v>
      </c>
      <c r="T145" s="39">
        <f>ACOS(COS(RADIANS(90-O145))*COS(RADIANS(90-_xlfn.XLOOKUP(Q145,'MRT station dataset'!$C$3:$C$179,'MRT station dataset'!$E$3:$E$179)))+SIN(RADIANS(90-O145))*SIN(RADIANS(90-_xlfn.XLOOKUP(Q145,'MRT station dataset'!$C$3:$C$179,'MRT station dataset'!$E$3:$E$179)))*COS(RADIANS(P145-_xlfn.XLOOKUP('Resale flat dataset (DV)'!Q145,'MRT station dataset'!$C$3:$C$179,'MRT station dataset'!$F$3:$F$179))))*6371*1000</f>
        <v>793.26320001642353</v>
      </c>
      <c r="U145" s="39">
        <f>ACOS(COS(RADIANS(90-O145))*COS(RADIANS(90-_xlfn.XLOOKUP(R145,'Mall Dataset'!$B$3:$B$157,'Mall Dataset'!$E$3:$E$157,,0)))+SIN(RADIANS(90-O145))*SIN(RADIANS(90-_xlfn.XLOOKUP(R145,'Mall Dataset'!$B$3:$B$157,'Mall Dataset'!$E$3:$E$157,,0)))*COS(RADIANS(P145-_xlfn.XLOOKUP(R145,'Mall Dataset'!$B$3:$B$157,'Mall Dataset'!$F$3:$F$157,,0))))*6371*1000</f>
        <v>1554.908373639769</v>
      </c>
      <c r="V145" s="39">
        <f>ACOS(COS(RADIANS(90-O145))*COS(RADIANS(90-_xlfn.XLOOKUP(S145,'Schools dataset'!$B$3:$B$187,'Schools dataset'!$J$3:$J$187,,0)))+SIN(RADIANS(90-O145))*SIN(RADIANS(90-_xlfn.XLOOKUP(S145,'Schools dataset'!$B$3:$B$187,'Schools dataset'!$J$3:$J$187,,0)))*COS(RADIANS(P145-_xlfn.XLOOKUP(S145,'Schools dataset'!$B$3:$B$187,'Schools dataset'!$K$3:$K$187,,0))))*6371*1000</f>
        <v>551.56115627616259</v>
      </c>
      <c r="W145" s="20">
        <f>_xlfn.XLOOKUP(T145,'HDB Recommender'!$P$10:$P$39,'HDB Recommender'!$Q$10:$Q$39,"&gt;30mins",1)</f>
        <v>11</v>
      </c>
      <c r="X145" s="20">
        <f>_xlfn.XLOOKUP(U145,'HDB Recommender'!$P$10:$P$39,'HDB Recommender'!$Q$10:$Q$39,"&gt;30mins",1)</f>
        <v>21</v>
      </c>
      <c r="Y145" s="20">
        <f>_xlfn.XLOOKUP(V145,'HDB Recommender'!$P$10:$P$39,'HDB Recommender'!$Q$10:$Q$39,"&gt;30mins",1)</f>
        <v>8</v>
      </c>
      <c r="Z145" s="39">
        <f t="shared" si="4"/>
        <v>13.333333333333334</v>
      </c>
      <c r="AA145" s="20" t="str">
        <f t="shared" si="5"/>
        <v>Within 1km</v>
      </c>
    </row>
    <row r="146" spans="2:27">
      <c r="B146" s="35" t="s">
        <v>317</v>
      </c>
      <c r="C146" s="35" t="s">
        <v>566</v>
      </c>
      <c r="D146" s="35" t="s">
        <v>20</v>
      </c>
      <c r="E146" s="35">
        <v>538</v>
      </c>
      <c r="F146" s="35" t="s">
        <v>573</v>
      </c>
      <c r="G146" s="35" t="s">
        <v>189</v>
      </c>
      <c r="H146" s="35">
        <v>104</v>
      </c>
      <c r="I146" s="35" t="s">
        <v>335</v>
      </c>
      <c r="J146" s="36">
        <v>1984</v>
      </c>
      <c r="K146" s="39">
        <v>60.0833333333333</v>
      </c>
      <c r="L146" s="37">
        <v>500000</v>
      </c>
      <c r="M146" s="35" t="s">
        <v>576</v>
      </c>
      <c r="N146" s="27">
        <v>640538</v>
      </c>
      <c r="O146" s="38">
        <v>1.34999389867275</v>
      </c>
      <c r="P146" s="38">
        <v>103.71547303846</v>
      </c>
      <c r="Q146" s="38" t="str" cm="1">
        <f t="array" ref="Q146">INDEX('MRT station dataset'!$C$3:$C$179, MATCH(MIN(SQRT(('MRT station dataset'!$E$3:$E$179-'Resale flat dataset (DV)'!O146)^2+('MRT station dataset'!$F$3:$F$179-'Resale flat dataset (DV)'!P146)^2)), SQRT(('MRT station dataset'!$E$3:$E$179-'Resale flat dataset (DV)'!O146)^2+('MRT station dataset'!$F$3:$F$179-'Resale flat dataset (DV)'!P146)^2), 0))</f>
        <v>LAKESIDE MRT STATION</v>
      </c>
      <c r="R146" s="38" t="str" cm="1">
        <f t="array" ref="R146">INDEX('Mall Dataset'!$B$3:$B$157, MATCH(MIN(SQRT(('Mall Dataset'!$E$3:$E$157-'Resale flat dataset (DV)'!O146)^2+('Mall Dataset'!$F$3:$F$157-'Resale flat dataset (DV)'!P146)^2)), SQRT(('Mall Dataset'!$E$3:$E$157-'Resale flat dataset (DV)'!O146)^2+('Mall Dataset'!$F$3:$F$157-'Resale flat dataset (DV)'!P146)^2), 0))</f>
        <v>Boon Lay Shopping Centre</v>
      </c>
      <c r="S146" s="38" t="str" cm="1">
        <f t="array" ref="S146">INDEX('Schools dataset'!$B$3:$B$187, MATCH(MIN(SQRT(('Schools dataset'!$J$3:$J$187-'Resale flat dataset (DV)'!O146)^2+('Schools dataset'!$K$3:$K$187-'Resale flat dataset (DV)'!P146)^2)), SQRT(('Schools dataset'!$J$3:$J$187-'Resale flat dataset (DV)'!O146)^2+('Schools dataset'!$K$3:$K$187-'Resale flat dataset (DV)'!P146)^2), 0))</f>
        <v>RULANG PRIMARY SCHOOL</v>
      </c>
      <c r="T146" s="39">
        <f>ACOS(COS(RADIANS(90-O146))*COS(RADIANS(90-_xlfn.XLOOKUP(Q146,'MRT station dataset'!$C$3:$C$179,'MRT station dataset'!$E$3:$E$179)))+SIN(RADIANS(90-O146))*SIN(RADIANS(90-_xlfn.XLOOKUP(Q146,'MRT station dataset'!$C$3:$C$179,'MRT station dataset'!$E$3:$E$179)))*COS(RADIANS(P146-_xlfn.XLOOKUP('Resale flat dataset (DV)'!Q146,'MRT station dataset'!$C$3:$C$179,'MRT station dataset'!$F$3:$F$179))))*6371*1000</f>
        <v>874.53317550637655</v>
      </c>
      <c r="U146" s="39">
        <f>ACOS(COS(RADIANS(90-O146))*COS(RADIANS(90-_xlfn.XLOOKUP(R146,'Mall Dataset'!$B$3:$B$157,'Mall Dataset'!$E$3:$E$157,,0)))+SIN(RADIANS(90-O146))*SIN(RADIANS(90-_xlfn.XLOOKUP(R146,'Mall Dataset'!$B$3:$B$157,'Mall Dataset'!$E$3:$E$157,,0)))*COS(RADIANS(P146-_xlfn.XLOOKUP(R146,'Mall Dataset'!$B$3:$B$157,'Mall Dataset'!$F$3:$F$157,,0))))*6371*1000</f>
        <v>522.75458719344908</v>
      </c>
      <c r="V146" s="39">
        <f>ACOS(COS(RADIANS(90-O146))*COS(RADIANS(90-_xlfn.XLOOKUP(S146,'Schools dataset'!$B$3:$B$187,'Schools dataset'!$J$3:$J$187,,0)))+SIN(RADIANS(90-O146))*SIN(RADIANS(90-_xlfn.XLOOKUP(S146,'Schools dataset'!$B$3:$B$187,'Schools dataset'!$J$3:$J$187,,0)))*COS(RADIANS(P146-_xlfn.XLOOKUP(S146,'Schools dataset'!$B$3:$B$187,'Schools dataset'!$K$3:$K$187,,0))))*6371*1000</f>
        <v>482.57915723122949</v>
      </c>
      <c r="W146" s="20">
        <f>_xlfn.XLOOKUP(T146,'HDB Recommender'!$P$10:$P$39,'HDB Recommender'!$Q$10:$Q$39,"&gt;30mins",1)</f>
        <v>12</v>
      </c>
      <c r="X146" s="20">
        <f>_xlfn.XLOOKUP(U146,'HDB Recommender'!$P$10:$P$39,'HDB Recommender'!$Q$10:$Q$39,"&gt;30mins",1)</f>
        <v>7</v>
      </c>
      <c r="Y146" s="20">
        <f>_xlfn.XLOOKUP(V146,'HDB Recommender'!$P$10:$P$39,'HDB Recommender'!$Q$10:$Q$39,"&gt;30mins",1)</f>
        <v>7</v>
      </c>
      <c r="Z146" s="39">
        <f t="shared" si="4"/>
        <v>8.6666666666666661</v>
      </c>
      <c r="AA146" s="20" t="str">
        <f t="shared" si="5"/>
        <v>Within 1km</v>
      </c>
    </row>
    <row r="147" spans="2:27">
      <c r="B147" s="35" t="s">
        <v>317</v>
      </c>
      <c r="C147" s="35" t="s">
        <v>566</v>
      </c>
      <c r="D147" s="35" t="s">
        <v>20</v>
      </c>
      <c r="E147" s="35">
        <v>550</v>
      </c>
      <c r="F147" s="35" t="s">
        <v>577</v>
      </c>
      <c r="G147" s="35" t="s">
        <v>189</v>
      </c>
      <c r="H147" s="35">
        <v>106</v>
      </c>
      <c r="I147" s="35" t="s">
        <v>335</v>
      </c>
      <c r="J147" s="36">
        <v>1985</v>
      </c>
      <c r="K147" s="39">
        <v>60.5833333333333</v>
      </c>
      <c r="L147" s="37">
        <v>470000</v>
      </c>
      <c r="M147" s="35" t="s">
        <v>578</v>
      </c>
      <c r="N147" s="27">
        <v>640550</v>
      </c>
      <c r="O147" s="38">
        <v>1.3528049125739301</v>
      </c>
      <c r="P147" s="38">
        <v>103.716740537175</v>
      </c>
      <c r="Q147" s="38" t="str" cm="1">
        <f t="array" ref="Q147">INDEX('MRT station dataset'!$C$3:$C$179, MATCH(MIN(SQRT(('MRT station dataset'!$E$3:$E$179-'Resale flat dataset (DV)'!O147)^2+('MRT station dataset'!$F$3:$F$179-'Resale flat dataset (DV)'!P147)^2)), SQRT(('MRT station dataset'!$E$3:$E$179-'Resale flat dataset (DV)'!O147)^2+('MRT station dataset'!$F$3:$F$179-'Resale flat dataset (DV)'!P147)^2), 0))</f>
        <v>LAKESIDE MRT STATION</v>
      </c>
      <c r="R147" s="38" t="str" cm="1">
        <f t="array" ref="R147">INDEX('Mall Dataset'!$B$3:$B$157, MATCH(MIN(SQRT(('Mall Dataset'!$E$3:$E$157-'Resale flat dataset (DV)'!O147)^2+('Mall Dataset'!$F$3:$F$157-'Resale flat dataset (DV)'!P147)^2)), SQRT(('Mall Dataset'!$E$3:$E$157-'Resale flat dataset (DV)'!O147)^2+('Mall Dataset'!$F$3:$F$157-'Resale flat dataset (DV)'!P147)^2), 0))</f>
        <v>Boon Lay Shopping Centre</v>
      </c>
      <c r="S147" s="38" t="str" cm="1">
        <f t="array" ref="S147">INDEX('Schools dataset'!$B$3:$B$187, MATCH(MIN(SQRT(('Schools dataset'!$J$3:$J$187-'Resale flat dataset (DV)'!O147)^2+('Schools dataset'!$K$3:$K$187-'Resale flat dataset (DV)'!P147)^2)), SQRT(('Schools dataset'!$J$3:$J$187-'Resale flat dataset (DV)'!O147)^2+('Schools dataset'!$K$3:$K$187-'Resale flat dataset (DV)'!P147)^2), 0))</f>
        <v>RULANG PRIMARY SCHOOL</v>
      </c>
      <c r="T147" s="39">
        <f>ACOS(COS(RADIANS(90-O147))*COS(RADIANS(90-_xlfn.XLOOKUP(Q147,'MRT station dataset'!$C$3:$C$179,'MRT station dataset'!$E$3:$E$179)))+SIN(RADIANS(90-O147))*SIN(RADIANS(90-_xlfn.XLOOKUP(Q147,'MRT station dataset'!$C$3:$C$179,'MRT station dataset'!$E$3:$E$179)))*COS(RADIANS(P147-_xlfn.XLOOKUP('Resale flat dataset (DV)'!Q147,'MRT station dataset'!$C$3:$C$179,'MRT station dataset'!$F$3:$F$179))))*6371*1000</f>
        <v>1052.6882237194104</v>
      </c>
      <c r="U147" s="39">
        <f>ACOS(COS(RADIANS(90-O147))*COS(RADIANS(90-_xlfn.XLOOKUP(R147,'Mall Dataset'!$B$3:$B$157,'Mall Dataset'!$E$3:$E$157,,0)))+SIN(RADIANS(90-O147))*SIN(RADIANS(90-_xlfn.XLOOKUP(R147,'Mall Dataset'!$B$3:$B$157,'Mall Dataset'!$E$3:$E$157,,0)))*COS(RADIANS(P147-_xlfn.XLOOKUP(R147,'Mall Dataset'!$B$3:$B$157,'Mall Dataset'!$F$3:$F$157,,0))))*6371*1000</f>
        <v>858.16971524896962</v>
      </c>
      <c r="V147" s="39">
        <f>ACOS(COS(RADIANS(90-O147))*COS(RADIANS(90-_xlfn.XLOOKUP(S147,'Schools dataset'!$B$3:$B$187,'Schools dataset'!$J$3:$J$187,,0)))+SIN(RADIANS(90-O147))*SIN(RADIANS(90-_xlfn.XLOOKUP(S147,'Schools dataset'!$B$3:$B$187,'Schools dataset'!$J$3:$J$187,,0)))*COS(RADIANS(P147-_xlfn.XLOOKUP(S147,'Schools dataset'!$B$3:$B$187,'Schools dataset'!$K$3:$K$187,,0))))*6371*1000</f>
        <v>664.52053077373341</v>
      </c>
      <c r="W147" s="20">
        <f>_xlfn.XLOOKUP(T147,'HDB Recommender'!$P$10:$P$39,'HDB Recommender'!$Q$10:$Q$39,"&gt;30mins",1)</f>
        <v>15</v>
      </c>
      <c r="X147" s="20">
        <f>_xlfn.XLOOKUP(U147,'HDB Recommender'!$P$10:$P$39,'HDB Recommender'!$Q$10:$Q$39,"&gt;30mins",1)</f>
        <v>12</v>
      </c>
      <c r="Y147" s="20">
        <f>_xlfn.XLOOKUP(V147,'HDB Recommender'!$P$10:$P$39,'HDB Recommender'!$Q$10:$Q$39,"&gt;30mins",1)</f>
        <v>9</v>
      </c>
      <c r="Z147" s="39">
        <f t="shared" si="4"/>
        <v>12</v>
      </c>
      <c r="AA147" s="20" t="str">
        <f t="shared" si="5"/>
        <v>Within 1km</v>
      </c>
    </row>
    <row r="148" spans="2:27">
      <c r="B148" s="35" t="s">
        <v>317</v>
      </c>
      <c r="C148" s="35" t="s">
        <v>566</v>
      </c>
      <c r="D148" s="35" t="s">
        <v>20</v>
      </c>
      <c r="E148" s="35">
        <v>640</v>
      </c>
      <c r="F148" s="35" t="s">
        <v>579</v>
      </c>
      <c r="G148" s="35" t="s">
        <v>349</v>
      </c>
      <c r="H148" s="35">
        <v>101</v>
      </c>
      <c r="I148" s="35" t="s">
        <v>335</v>
      </c>
      <c r="J148" s="36">
        <v>1998</v>
      </c>
      <c r="K148" s="39">
        <v>73.8333333333333</v>
      </c>
      <c r="L148" s="37">
        <v>455000</v>
      </c>
      <c r="M148" s="35" t="s">
        <v>580</v>
      </c>
      <c r="N148" s="27">
        <v>640640</v>
      </c>
      <c r="O148" s="38">
        <v>1.3401298268563799</v>
      </c>
      <c r="P148" s="38">
        <v>103.69664826047899</v>
      </c>
      <c r="Q148" s="38" t="str" cm="1">
        <f t="array" ref="Q148">INDEX('MRT station dataset'!$C$3:$C$179, MATCH(MIN(SQRT(('MRT station dataset'!$E$3:$E$179-'Resale flat dataset (DV)'!O148)^2+('MRT station dataset'!$F$3:$F$179-'Resale flat dataset (DV)'!P148)^2)), SQRT(('MRT station dataset'!$E$3:$E$179-'Resale flat dataset (DV)'!O148)^2+('MRT station dataset'!$F$3:$F$179-'Resale flat dataset (DV)'!P148)^2), 0))</f>
        <v>PIONEER MRT STATION</v>
      </c>
      <c r="R148" s="38" t="str" cm="1">
        <f t="array" ref="R148">INDEX('Mall Dataset'!$B$3:$B$157, MATCH(MIN(SQRT(('Mall Dataset'!$E$3:$E$157-'Resale flat dataset (DV)'!O148)^2+('Mall Dataset'!$F$3:$F$157-'Resale flat dataset (DV)'!P148)^2)), SQRT(('Mall Dataset'!$E$3:$E$157-'Resale flat dataset (DV)'!O148)^2+('Mall Dataset'!$F$3:$F$157-'Resale flat dataset (DV)'!P148)^2), 0))</f>
        <v>Pioneer Mall</v>
      </c>
      <c r="S148" s="38" t="str" cm="1">
        <f t="array" ref="S148">INDEX('Schools dataset'!$B$3:$B$187, MATCH(MIN(SQRT(('Schools dataset'!$J$3:$J$187-'Resale flat dataset (DV)'!O148)^2+('Schools dataset'!$K$3:$K$187-'Resale flat dataset (DV)'!P148)^2)), SQRT(('Schools dataset'!$J$3:$J$187-'Resale flat dataset (DV)'!O148)^2+('Schools dataset'!$K$3:$K$187-'Resale flat dataset (DV)'!P148)^2), 0))</f>
        <v>JURONG WEST PRIMARY SCHOOL</v>
      </c>
      <c r="T148" s="39">
        <f>ACOS(COS(RADIANS(90-O148))*COS(RADIANS(90-_xlfn.XLOOKUP(Q148,'MRT station dataset'!$C$3:$C$179,'MRT station dataset'!$E$3:$E$179)))+SIN(RADIANS(90-O148))*SIN(RADIANS(90-_xlfn.XLOOKUP(Q148,'MRT station dataset'!$C$3:$C$179,'MRT station dataset'!$E$3:$E$179)))*COS(RADIANS(P148-_xlfn.XLOOKUP('Resale flat dataset (DV)'!Q148,'MRT station dataset'!$C$3:$C$179,'MRT station dataset'!$F$3:$F$179))))*6371*1000</f>
        <v>290.48398594412328</v>
      </c>
      <c r="U148" s="39">
        <f>ACOS(COS(RADIANS(90-O148))*COS(RADIANS(90-_xlfn.XLOOKUP(R148,'Mall Dataset'!$B$3:$B$157,'Mall Dataset'!$E$3:$E$157,,0)))+SIN(RADIANS(90-O148))*SIN(RADIANS(90-_xlfn.XLOOKUP(R148,'Mall Dataset'!$B$3:$B$157,'Mall Dataset'!$E$3:$E$157,,0)))*COS(RADIANS(P148-_xlfn.XLOOKUP(R148,'Mall Dataset'!$B$3:$B$157,'Mall Dataset'!$F$3:$F$157,,0))))*6371*1000</f>
        <v>183.34513220173611</v>
      </c>
      <c r="V148" s="39">
        <f>ACOS(COS(RADIANS(90-O148))*COS(RADIANS(90-_xlfn.XLOOKUP(S148,'Schools dataset'!$B$3:$B$187,'Schools dataset'!$J$3:$J$187,,0)))+SIN(RADIANS(90-O148))*SIN(RADIANS(90-_xlfn.XLOOKUP(S148,'Schools dataset'!$B$3:$B$187,'Schools dataset'!$J$3:$J$187,,0)))*COS(RADIANS(P148-_xlfn.XLOOKUP(S148,'Schools dataset'!$B$3:$B$187,'Schools dataset'!$K$3:$K$187,,0))))*6371*1000</f>
        <v>262.07196369631845</v>
      </c>
      <c r="W148" s="20">
        <f>_xlfn.XLOOKUP(T148,'HDB Recommender'!$P$10:$P$39,'HDB Recommender'!$Q$10:$Q$39,"&gt;30mins",1)</f>
        <v>4</v>
      </c>
      <c r="X148" s="20">
        <f>_xlfn.XLOOKUP(U148,'HDB Recommender'!$P$10:$P$39,'HDB Recommender'!$Q$10:$Q$39,"&gt;30mins",1)</f>
        <v>3</v>
      </c>
      <c r="Y148" s="20">
        <f>_xlfn.XLOOKUP(V148,'HDB Recommender'!$P$10:$P$39,'HDB Recommender'!$Q$10:$Q$39,"&gt;30mins",1)</f>
        <v>4</v>
      </c>
      <c r="Z148" s="39">
        <f t="shared" si="4"/>
        <v>3.6666666666666665</v>
      </c>
      <c r="AA148" s="20" t="str">
        <f t="shared" si="5"/>
        <v>Within 1km</v>
      </c>
    </row>
    <row r="149" spans="2:27">
      <c r="B149" s="35" t="s">
        <v>317</v>
      </c>
      <c r="C149" s="35" t="s">
        <v>566</v>
      </c>
      <c r="D149" s="35" t="s">
        <v>20</v>
      </c>
      <c r="E149" s="35"/>
      <c r="F149" s="35" t="s">
        <v>579</v>
      </c>
      <c r="G149" s="35" t="s">
        <v>189</v>
      </c>
      <c r="H149" s="35">
        <v>90</v>
      </c>
      <c r="I149" s="35" t="s">
        <v>335</v>
      </c>
      <c r="J149" s="36">
        <v>2000</v>
      </c>
      <c r="K149" s="39">
        <v>76.1666666666666</v>
      </c>
      <c r="L149" s="37">
        <v>500000</v>
      </c>
      <c r="M149" s="35" t="s">
        <v>581</v>
      </c>
      <c r="N149" s="27">
        <v>641650</v>
      </c>
      <c r="O149" s="38">
        <v>1.33801867728359</v>
      </c>
      <c r="P149" s="38">
        <v>103.696904315506</v>
      </c>
      <c r="Q149" s="38" t="str" cm="1">
        <f t="array" ref="Q149">INDEX('MRT station dataset'!$C$3:$C$179, MATCH(MIN(SQRT(('MRT station dataset'!$E$3:$E$179-'Resale flat dataset (DV)'!O149)^2+('MRT station dataset'!$F$3:$F$179-'Resale flat dataset (DV)'!P149)^2)), SQRT(('MRT station dataset'!$E$3:$E$179-'Resale flat dataset (DV)'!O149)^2+('MRT station dataset'!$F$3:$F$179-'Resale flat dataset (DV)'!P149)^2), 0))</f>
        <v>PIONEER MRT STATION</v>
      </c>
      <c r="R149" s="38" t="str" cm="1">
        <f t="array" ref="R149">INDEX('Mall Dataset'!$B$3:$B$157, MATCH(MIN(SQRT(('Mall Dataset'!$E$3:$E$157-'Resale flat dataset (DV)'!O149)^2+('Mall Dataset'!$F$3:$F$157-'Resale flat dataset (DV)'!P149)^2)), SQRT(('Mall Dataset'!$E$3:$E$157-'Resale flat dataset (DV)'!O149)^2+('Mall Dataset'!$F$3:$F$157-'Resale flat dataset (DV)'!P149)^2), 0))</f>
        <v>Pioneer Mall</v>
      </c>
      <c r="S149" s="38" t="str" cm="1">
        <f t="array" ref="S149">INDEX('Schools dataset'!$B$3:$B$187, MATCH(MIN(SQRT(('Schools dataset'!$J$3:$J$187-'Resale flat dataset (DV)'!O149)^2+('Schools dataset'!$K$3:$K$187-'Resale flat dataset (DV)'!P149)^2)), SQRT(('Schools dataset'!$J$3:$J$187-'Resale flat dataset (DV)'!O149)^2+('Schools dataset'!$K$3:$K$187-'Resale flat dataset (DV)'!P149)^2), 0))</f>
        <v>JURONG WEST PRIMARY SCHOOL</v>
      </c>
      <c r="T149" s="39">
        <f>ACOS(COS(RADIANS(90-O149))*COS(RADIANS(90-_xlfn.XLOOKUP(Q149,'MRT station dataset'!$C$3:$C$179,'MRT station dataset'!$E$3:$E$179)))+SIN(RADIANS(90-O149))*SIN(RADIANS(90-_xlfn.XLOOKUP(Q149,'MRT station dataset'!$C$3:$C$179,'MRT station dataset'!$E$3:$E$179)))*COS(RADIANS(P149-_xlfn.XLOOKUP('Resale flat dataset (DV)'!Q149,'MRT station dataset'!$C$3:$C$179,'MRT station dataset'!$F$3:$F$179))))*6371*1000</f>
        <v>64.047843896528178</v>
      </c>
      <c r="U149" s="39">
        <f>ACOS(COS(RADIANS(90-O149))*COS(RADIANS(90-_xlfn.XLOOKUP(R149,'Mall Dataset'!$B$3:$B$157,'Mall Dataset'!$E$3:$E$157,,0)))+SIN(RADIANS(90-O149))*SIN(RADIANS(90-_xlfn.XLOOKUP(R149,'Mall Dataset'!$B$3:$B$157,'Mall Dataset'!$E$3:$E$157,,0)))*COS(RADIANS(P149-_xlfn.XLOOKUP(R149,'Mall Dataset'!$B$3:$B$157,'Mall Dataset'!$F$3:$F$157,,0))))*6371*1000</f>
        <v>409.60391831373943</v>
      </c>
      <c r="V149" s="39">
        <f>ACOS(COS(RADIANS(90-O149))*COS(RADIANS(90-_xlfn.XLOOKUP(S149,'Schools dataset'!$B$3:$B$187,'Schools dataset'!$J$3:$J$187,,0)))+SIN(RADIANS(90-O149))*SIN(RADIANS(90-_xlfn.XLOOKUP(S149,'Schools dataset'!$B$3:$B$187,'Schools dataset'!$J$3:$J$187,,0)))*COS(RADIANS(P149-_xlfn.XLOOKUP(S149,'Schools dataset'!$B$3:$B$187,'Schools dataset'!$K$3:$K$187,,0))))*6371*1000</f>
        <v>247.22699163753381</v>
      </c>
      <c r="W149" s="20">
        <f>_xlfn.XLOOKUP(T149,'HDB Recommender'!$P$10:$P$39,'HDB Recommender'!$Q$10:$Q$39,"&gt;30mins",1)</f>
        <v>2</v>
      </c>
      <c r="X149" s="20">
        <f>_xlfn.XLOOKUP(U149,'HDB Recommender'!$P$10:$P$39,'HDB Recommender'!$Q$10:$Q$39,"&gt;30mins",1)</f>
        <v>6</v>
      </c>
      <c r="Y149" s="20">
        <f>_xlfn.XLOOKUP(V149,'HDB Recommender'!$P$10:$P$39,'HDB Recommender'!$Q$10:$Q$39,"&gt;30mins",1)</f>
        <v>4</v>
      </c>
      <c r="Z149" s="39">
        <f t="shared" si="4"/>
        <v>4</v>
      </c>
      <c r="AA149" s="20" t="str">
        <f t="shared" si="5"/>
        <v>Within 1km</v>
      </c>
    </row>
    <row r="150" spans="2:27">
      <c r="B150" s="35" t="s">
        <v>317</v>
      </c>
      <c r="C150" s="35" t="s">
        <v>566</v>
      </c>
      <c r="D150" s="35" t="s">
        <v>20</v>
      </c>
      <c r="E150" s="35"/>
      <c r="F150" s="35" t="s">
        <v>582</v>
      </c>
      <c r="G150" s="35" t="s">
        <v>346</v>
      </c>
      <c r="H150" s="35">
        <v>93</v>
      </c>
      <c r="I150" s="35" t="s">
        <v>389</v>
      </c>
      <c r="J150" s="36">
        <v>2000</v>
      </c>
      <c r="K150" s="39">
        <v>76</v>
      </c>
      <c r="L150" s="37">
        <v>530000</v>
      </c>
      <c r="M150" s="35" t="s">
        <v>583</v>
      </c>
      <c r="N150" s="27">
        <v>641684</v>
      </c>
      <c r="O150" s="38">
        <v>1.3439983737952099</v>
      </c>
      <c r="P150" s="38">
        <v>103.703927197949</v>
      </c>
      <c r="Q150" s="38" t="str" cm="1">
        <f t="array" ref="Q150">INDEX('MRT station dataset'!$C$3:$C$179, MATCH(MIN(SQRT(('MRT station dataset'!$E$3:$E$179-'Resale flat dataset (DV)'!O150)^2+('MRT station dataset'!$F$3:$F$179-'Resale flat dataset (DV)'!P150)^2)), SQRT(('MRT station dataset'!$E$3:$E$179-'Resale flat dataset (DV)'!O150)^2+('MRT station dataset'!$F$3:$F$179-'Resale flat dataset (DV)'!P150)^2), 0))</f>
        <v>BOON LAY MRT STATION</v>
      </c>
      <c r="R150" s="38" t="str" cm="1">
        <f t="array" ref="R150">INDEX('Mall Dataset'!$B$3:$B$157, MATCH(MIN(SQRT(('Mall Dataset'!$E$3:$E$157-'Resale flat dataset (DV)'!O150)^2+('Mall Dataset'!$F$3:$F$157-'Resale flat dataset (DV)'!P150)^2)), SQRT(('Mall Dataset'!$E$3:$E$157-'Resale flat dataset (DV)'!O150)^2+('Mall Dataset'!$F$3:$F$157-'Resale flat dataset (DV)'!P150)^2), 0))</f>
        <v>Jurong Point</v>
      </c>
      <c r="S150" s="38" t="str" cm="1">
        <f t="array" ref="S150">INDEX('Schools dataset'!$B$3:$B$187, MATCH(MIN(SQRT(('Schools dataset'!$J$3:$J$187-'Resale flat dataset (DV)'!O150)^2+('Schools dataset'!$K$3:$K$187-'Resale flat dataset (DV)'!P150)^2)), SQRT(('Schools dataset'!$J$3:$J$187-'Resale flat dataset (DV)'!O150)^2+('Schools dataset'!$K$3:$K$187-'Resale flat dataset (DV)'!P150)^2), 0))</f>
        <v>RIVER VALLEY HIGH SCHOOL</v>
      </c>
      <c r="T150" s="39">
        <f>ACOS(COS(RADIANS(90-O150))*COS(RADIANS(90-_xlfn.XLOOKUP(Q150,'MRT station dataset'!$C$3:$C$179,'MRT station dataset'!$E$3:$E$179)))+SIN(RADIANS(90-O150))*SIN(RADIANS(90-_xlfn.XLOOKUP(Q150,'MRT station dataset'!$C$3:$C$179,'MRT station dataset'!$E$3:$E$179)))*COS(RADIANS(P150-_xlfn.XLOOKUP('Resale flat dataset (DV)'!Q150,'MRT station dataset'!$C$3:$C$179,'MRT station dataset'!$F$3:$F$179))))*6371*1000</f>
        <v>647.04481026098563</v>
      </c>
      <c r="U150" s="39">
        <f>ACOS(COS(RADIANS(90-O150))*COS(RADIANS(90-_xlfn.XLOOKUP(R150,'Mall Dataset'!$B$3:$B$157,'Mall Dataset'!$E$3:$E$157,,0)))+SIN(RADIANS(90-O150))*SIN(RADIANS(90-_xlfn.XLOOKUP(R150,'Mall Dataset'!$B$3:$B$157,'Mall Dataset'!$E$3:$E$157,,0)))*COS(RADIANS(P150-_xlfn.XLOOKUP(R150,'Mall Dataset'!$B$3:$B$157,'Mall Dataset'!$F$3:$F$157,,0))))*6371*1000</f>
        <v>591.22718880149284</v>
      </c>
      <c r="V150" s="39">
        <f>ACOS(COS(RADIANS(90-O150))*COS(RADIANS(90-_xlfn.XLOOKUP(S150,'Schools dataset'!$B$3:$B$187,'Schools dataset'!$J$3:$J$187,,0)))+SIN(RADIANS(90-O150))*SIN(RADIANS(90-_xlfn.XLOOKUP(S150,'Schools dataset'!$B$3:$B$187,'Schools dataset'!$J$3:$J$187,,0)))*COS(RADIANS(P150-_xlfn.XLOOKUP(S150,'Schools dataset'!$B$3:$B$187,'Schools dataset'!$K$3:$K$187,,0))))*6371*1000</f>
        <v>478.58171850632704</v>
      </c>
      <c r="W150" s="20">
        <f>_xlfn.XLOOKUP(T150,'HDB Recommender'!$P$10:$P$39,'HDB Recommender'!$Q$10:$Q$39,"&gt;30mins",1)</f>
        <v>9</v>
      </c>
      <c r="X150" s="20">
        <f>_xlfn.XLOOKUP(U150,'HDB Recommender'!$P$10:$P$39,'HDB Recommender'!$Q$10:$Q$39,"&gt;30mins",1)</f>
        <v>8</v>
      </c>
      <c r="Y150" s="20">
        <f>_xlfn.XLOOKUP(V150,'HDB Recommender'!$P$10:$P$39,'HDB Recommender'!$Q$10:$Q$39,"&gt;30mins",1)</f>
        <v>7</v>
      </c>
      <c r="Z150" s="39">
        <f t="shared" si="4"/>
        <v>8</v>
      </c>
      <c r="AA150" s="20" t="str">
        <f t="shared" si="5"/>
        <v>Within 1km</v>
      </c>
    </row>
    <row r="151" spans="2:27">
      <c r="B151" s="35" t="s">
        <v>317</v>
      </c>
      <c r="C151" s="35" t="s">
        <v>566</v>
      </c>
      <c r="D151" s="35" t="s">
        <v>20</v>
      </c>
      <c r="E151" s="35"/>
      <c r="F151" s="35" t="s">
        <v>582</v>
      </c>
      <c r="G151" s="35" t="s">
        <v>323</v>
      </c>
      <c r="H151" s="35">
        <v>92</v>
      </c>
      <c r="I151" s="35" t="s">
        <v>389</v>
      </c>
      <c r="J151" s="36">
        <v>2008</v>
      </c>
      <c r="K151" s="39">
        <v>83.75</v>
      </c>
      <c r="L151" s="37">
        <v>490000</v>
      </c>
      <c r="M151" s="35" t="s">
        <v>584</v>
      </c>
      <c r="N151" s="27">
        <v>641675</v>
      </c>
      <c r="O151" s="38">
        <v>1.34542576991263</v>
      </c>
      <c r="P151" s="38">
        <v>103.703464632989</v>
      </c>
      <c r="Q151" s="38" t="str" cm="1">
        <f t="array" ref="Q151">INDEX('MRT station dataset'!$C$3:$C$179, MATCH(MIN(SQRT(('MRT station dataset'!$E$3:$E$179-'Resale flat dataset (DV)'!O151)^2+('MRT station dataset'!$F$3:$F$179-'Resale flat dataset (DV)'!P151)^2)), SQRT(('MRT station dataset'!$E$3:$E$179-'Resale flat dataset (DV)'!O151)^2+('MRT station dataset'!$F$3:$F$179-'Resale flat dataset (DV)'!P151)^2), 0))</f>
        <v>BOON LAY MRT STATION</v>
      </c>
      <c r="R151" s="38" t="str" cm="1">
        <f t="array" ref="R151">INDEX('Mall Dataset'!$B$3:$B$157, MATCH(MIN(SQRT(('Mall Dataset'!$E$3:$E$157-'Resale flat dataset (DV)'!O151)^2+('Mall Dataset'!$F$3:$F$157-'Resale flat dataset (DV)'!P151)^2)), SQRT(('Mall Dataset'!$E$3:$E$157-'Resale flat dataset (DV)'!O151)^2+('Mall Dataset'!$F$3:$F$157-'Resale flat dataset (DV)'!P151)^2), 0))</f>
        <v>Gek Poh Shopping Centre</v>
      </c>
      <c r="S151" s="38" t="str" cm="1">
        <f t="array" ref="S151">INDEX('Schools dataset'!$B$3:$B$187, MATCH(MIN(SQRT(('Schools dataset'!$J$3:$J$187-'Resale flat dataset (DV)'!O151)^2+('Schools dataset'!$K$3:$K$187-'Resale flat dataset (DV)'!P151)^2)), SQRT(('Schools dataset'!$J$3:$J$187-'Resale flat dataset (DV)'!O151)^2+('Schools dataset'!$K$3:$K$187-'Resale flat dataset (DV)'!P151)^2), 0))</f>
        <v>WESTWOOD PRIMARY SCHOOL</v>
      </c>
      <c r="T151" s="39">
        <f>ACOS(COS(RADIANS(90-O151))*COS(RADIANS(90-_xlfn.XLOOKUP(Q151,'MRT station dataset'!$C$3:$C$179,'MRT station dataset'!$E$3:$E$179)))+SIN(RADIANS(90-O151))*SIN(RADIANS(90-_xlfn.XLOOKUP(Q151,'MRT station dataset'!$C$3:$C$179,'MRT station dataset'!$E$3:$E$179)))*COS(RADIANS(P151-_xlfn.XLOOKUP('Resale flat dataset (DV)'!Q151,'MRT station dataset'!$C$3:$C$179,'MRT station dataset'!$F$3:$F$179))))*6371*1000</f>
        <v>813.56765448042552</v>
      </c>
      <c r="U151" s="39">
        <f>ACOS(COS(RADIANS(90-O151))*COS(RADIANS(90-_xlfn.XLOOKUP(R151,'Mall Dataset'!$B$3:$B$157,'Mall Dataset'!$E$3:$E$157,,0)))+SIN(RADIANS(90-O151))*SIN(RADIANS(90-_xlfn.XLOOKUP(R151,'Mall Dataset'!$B$3:$B$157,'Mall Dataset'!$E$3:$E$157,,0)))*COS(RADIANS(P151-_xlfn.XLOOKUP(R151,'Mall Dataset'!$B$3:$B$157,'Mall Dataset'!$F$3:$F$157,,0))))*6371*1000</f>
        <v>735.50705360948473</v>
      </c>
      <c r="V151" s="39">
        <f>ACOS(COS(RADIANS(90-O151))*COS(RADIANS(90-_xlfn.XLOOKUP(S151,'Schools dataset'!$B$3:$B$187,'Schools dataset'!$J$3:$J$187,,0)))+SIN(RADIANS(90-O151))*SIN(RADIANS(90-_xlfn.XLOOKUP(S151,'Schools dataset'!$B$3:$B$187,'Schools dataset'!$J$3:$J$187,,0)))*COS(RADIANS(P151-_xlfn.XLOOKUP(S151,'Schools dataset'!$B$3:$B$187,'Schools dataset'!$K$3:$K$187,,0))))*6371*1000</f>
        <v>378.96934301262041</v>
      </c>
      <c r="W151" s="20">
        <f>_xlfn.XLOOKUP(T151,'HDB Recommender'!$P$10:$P$39,'HDB Recommender'!$Q$10:$Q$39,"&gt;30mins",1)</f>
        <v>11</v>
      </c>
      <c r="X151" s="20">
        <f>_xlfn.XLOOKUP(U151,'HDB Recommender'!$P$10:$P$39,'HDB Recommender'!$Q$10:$Q$39,"&gt;30mins",1)</f>
        <v>10</v>
      </c>
      <c r="Y151" s="20">
        <f>_xlfn.XLOOKUP(V151,'HDB Recommender'!$P$10:$P$39,'HDB Recommender'!$Q$10:$Q$39,"&gt;30mins",1)</f>
        <v>6</v>
      </c>
      <c r="Z151" s="39">
        <f t="shared" si="4"/>
        <v>9</v>
      </c>
      <c r="AA151" s="20" t="str">
        <f t="shared" si="5"/>
        <v>Within 1km</v>
      </c>
    </row>
    <row r="152" spans="2:27">
      <c r="B152" s="35" t="s">
        <v>317</v>
      </c>
      <c r="C152" s="35" t="s">
        <v>566</v>
      </c>
      <c r="D152" s="35" t="s">
        <v>20</v>
      </c>
      <c r="E152" s="35">
        <v>636</v>
      </c>
      <c r="F152" s="35" t="s">
        <v>585</v>
      </c>
      <c r="G152" s="35" t="s">
        <v>189</v>
      </c>
      <c r="H152" s="35">
        <v>91</v>
      </c>
      <c r="I152" s="35" t="s">
        <v>335</v>
      </c>
      <c r="J152" s="36">
        <v>2001</v>
      </c>
      <c r="K152" s="39">
        <v>77.1666666666666</v>
      </c>
      <c r="L152" s="37">
        <v>480000</v>
      </c>
      <c r="M152" s="35" t="s">
        <v>586</v>
      </c>
      <c r="N152" s="27">
        <v>640636</v>
      </c>
      <c r="O152" s="38">
        <v>1.34225166848347</v>
      </c>
      <c r="P152" s="38">
        <v>103.69787057646001</v>
      </c>
      <c r="Q152" s="38" t="str" cm="1">
        <f t="array" ref="Q152">INDEX('MRT station dataset'!$C$3:$C$179, MATCH(MIN(SQRT(('MRT station dataset'!$E$3:$E$179-'Resale flat dataset (DV)'!O152)^2+('MRT station dataset'!$F$3:$F$179-'Resale flat dataset (DV)'!P152)^2)), SQRT(('MRT station dataset'!$E$3:$E$179-'Resale flat dataset (DV)'!O152)^2+('MRT station dataset'!$F$3:$F$179-'Resale flat dataset (DV)'!P152)^2), 0))</f>
        <v>PIONEER MRT STATION</v>
      </c>
      <c r="R152" s="38" t="str" cm="1">
        <f t="array" ref="R152">INDEX('Mall Dataset'!$B$3:$B$157, MATCH(MIN(SQRT(('Mall Dataset'!$E$3:$E$157-'Resale flat dataset (DV)'!O152)^2+('Mall Dataset'!$F$3:$F$157-'Resale flat dataset (DV)'!P152)^2)), SQRT(('Mall Dataset'!$E$3:$E$157-'Resale flat dataset (DV)'!O152)^2+('Mall Dataset'!$F$3:$F$157-'Resale flat dataset (DV)'!P152)^2), 0))</f>
        <v>Pioneer Mall</v>
      </c>
      <c r="S152" s="38" t="str" cm="1">
        <f t="array" ref="S152">INDEX('Schools dataset'!$B$3:$B$187, MATCH(MIN(SQRT(('Schools dataset'!$J$3:$J$187-'Resale flat dataset (DV)'!O152)^2+('Schools dataset'!$K$3:$K$187-'Resale flat dataset (DV)'!P152)^2)), SQRT(('Schools dataset'!$J$3:$J$187-'Resale flat dataset (DV)'!O152)^2+('Schools dataset'!$K$3:$K$187-'Resale flat dataset (DV)'!P152)^2), 0))</f>
        <v>WEST GROVE PRIMARY SCHOOL</v>
      </c>
      <c r="T152" s="39">
        <f>ACOS(COS(RADIANS(90-O152))*COS(RADIANS(90-_xlfn.XLOOKUP(Q152,'MRT station dataset'!$C$3:$C$179,'MRT station dataset'!$E$3:$E$179)))+SIN(RADIANS(90-O152))*SIN(RADIANS(90-_xlfn.XLOOKUP(Q152,'MRT station dataset'!$C$3:$C$179,'MRT station dataset'!$E$3:$E$179)))*COS(RADIANS(P152-_xlfn.XLOOKUP('Resale flat dataset (DV)'!Q152,'MRT station dataset'!$C$3:$C$179,'MRT station dataset'!$F$3:$F$179))))*6371*1000</f>
        <v>521.11641955753259</v>
      </c>
      <c r="U152" s="39">
        <f>ACOS(COS(RADIANS(90-O152))*COS(RADIANS(90-_xlfn.XLOOKUP(R152,'Mall Dataset'!$B$3:$B$157,'Mall Dataset'!$E$3:$E$157,,0)))+SIN(RADIANS(90-O152))*SIN(RADIANS(90-_xlfn.XLOOKUP(R152,'Mall Dataset'!$B$3:$B$157,'Mall Dataset'!$E$3:$E$157,,0)))*COS(RADIANS(P152-_xlfn.XLOOKUP(R152,'Mall Dataset'!$B$3:$B$157,'Mall Dataset'!$F$3:$F$157,,0))))*6371*1000</f>
        <v>99.242401781549631</v>
      </c>
      <c r="V152" s="39">
        <f>ACOS(COS(RADIANS(90-O152))*COS(RADIANS(90-_xlfn.XLOOKUP(S152,'Schools dataset'!$B$3:$B$187,'Schools dataset'!$J$3:$J$187,,0)))+SIN(RADIANS(90-O152))*SIN(RADIANS(90-_xlfn.XLOOKUP(S152,'Schools dataset'!$B$3:$B$187,'Schools dataset'!$J$3:$J$187,,0)))*COS(RADIANS(P152-_xlfn.XLOOKUP(S152,'Schools dataset'!$B$3:$B$187,'Schools dataset'!$K$3:$K$187,,0))))*6371*1000</f>
        <v>299.38484053633306</v>
      </c>
      <c r="W152" s="20">
        <f>_xlfn.XLOOKUP(T152,'HDB Recommender'!$P$10:$P$39,'HDB Recommender'!$Q$10:$Q$39,"&gt;30mins",1)</f>
        <v>7</v>
      </c>
      <c r="X152" s="20">
        <f>_xlfn.XLOOKUP(U152,'HDB Recommender'!$P$10:$P$39,'HDB Recommender'!$Q$10:$Q$39,"&gt;30mins",1)</f>
        <v>2</v>
      </c>
      <c r="Y152" s="20">
        <f>_xlfn.XLOOKUP(V152,'HDB Recommender'!$P$10:$P$39,'HDB Recommender'!$Q$10:$Q$39,"&gt;30mins",1)</f>
        <v>4</v>
      </c>
      <c r="Z152" s="39">
        <f t="shared" si="4"/>
        <v>4.333333333333333</v>
      </c>
      <c r="AA152" s="20" t="str">
        <f t="shared" si="5"/>
        <v>Within 1km</v>
      </c>
    </row>
    <row r="153" spans="2:27">
      <c r="B153" s="35" t="s">
        <v>317</v>
      </c>
      <c r="C153" s="35" t="s">
        <v>566</v>
      </c>
      <c r="D153" s="35" t="s">
        <v>20</v>
      </c>
      <c r="E153" s="35">
        <v>938</v>
      </c>
      <c r="F153" s="35" t="s">
        <v>587</v>
      </c>
      <c r="G153" s="35" t="s">
        <v>191</v>
      </c>
      <c r="H153" s="35">
        <v>104</v>
      </c>
      <c r="I153" s="35" t="s">
        <v>335</v>
      </c>
      <c r="J153" s="36">
        <v>1989</v>
      </c>
      <c r="K153" s="39">
        <v>64.75</v>
      </c>
      <c r="L153" s="37">
        <v>460000</v>
      </c>
      <c r="M153" s="35" t="s">
        <v>588</v>
      </c>
      <c r="N153" s="27">
        <v>640938</v>
      </c>
      <c r="O153" s="38">
        <v>1.3428769898005899</v>
      </c>
      <c r="P153" s="38">
        <v>103.689772560657</v>
      </c>
      <c r="Q153" s="38" t="str" cm="1">
        <f t="array" ref="Q153">INDEX('MRT station dataset'!$C$3:$C$179, MATCH(MIN(SQRT(('MRT station dataset'!$E$3:$E$179-'Resale flat dataset (DV)'!O153)^2+('MRT station dataset'!$F$3:$F$179-'Resale flat dataset (DV)'!P153)^2)), SQRT(('MRT station dataset'!$E$3:$E$179-'Resale flat dataset (DV)'!O153)^2+('MRT station dataset'!$F$3:$F$179-'Resale flat dataset (DV)'!P153)^2), 0))</f>
        <v>PIONEER MRT STATION</v>
      </c>
      <c r="R153" s="38" t="str" cm="1">
        <f t="array" ref="R153">INDEX('Mall Dataset'!$B$3:$B$157, MATCH(MIN(SQRT(('Mall Dataset'!$E$3:$E$157-'Resale flat dataset (DV)'!O153)^2+('Mall Dataset'!$F$3:$F$157-'Resale flat dataset (DV)'!P153)^2)), SQRT(('Mall Dataset'!$E$3:$E$157-'Resale flat dataset (DV)'!O153)^2+('Mall Dataset'!$F$3:$F$157-'Resale flat dataset (DV)'!P153)^2), 0))</f>
        <v>Pioneer Mall</v>
      </c>
      <c r="S153" s="38" t="str" cm="1">
        <f t="array" ref="S153">INDEX('Schools dataset'!$B$3:$B$187, MATCH(MIN(SQRT(('Schools dataset'!$J$3:$J$187-'Resale flat dataset (DV)'!O153)^2+('Schools dataset'!$K$3:$K$187-'Resale flat dataset (DV)'!P153)^2)), SQRT(('Schools dataset'!$J$3:$J$187-'Resale flat dataset (DV)'!O153)^2+('Schools dataset'!$K$3:$K$187-'Resale flat dataset (DV)'!P153)^2), 0))</f>
        <v>XINGNAN PRIMARY SCHOOL</v>
      </c>
      <c r="T153" s="39">
        <f>ACOS(COS(RADIANS(90-O153))*COS(RADIANS(90-_xlfn.XLOOKUP(Q153,'MRT station dataset'!$C$3:$C$179,'MRT station dataset'!$E$3:$E$179)))+SIN(RADIANS(90-O153))*SIN(RADIANS(90-_xlfn.XLOOKUP(Q153,'MRT station dataset'!$C$3:$C$179,'MRT station dataset'!$E$3:$E$179)))*COS(RADIANS(P153-_xlfn.XLOOKUP('Resale flat dataset (DV)'!Q153,'MRT station dataset'!$C$3:$C$179,'MRT station dataset'!$F$3:$F$179))))*6371*1000</f>
        <v>1022.0136528087609</v>
      </c>
      <c r="U153" s="39">
        <f>ACOS(COS(RADIANS(90-O153))*COS(RADIANS(90-_xlfn.XLOOKUP(R153,'Mall Dataset'!$B$3:$B$157,'Mall Dataset'!$E$3:$E$157,,0)))+SIN(RADIANS(90-O153))*SIN(RADIANS(90-_xlfn.XLOOKUP(R153,'Mall Dataset'!$B$3:$B$157,'Mall Dataset'!$E$3:$E$157,,0)))*COS(RADIANS(P153-_xlfn.XLOOKUP(R153,'Mall Dataset'!$B$3:$B$157,'Mall Dataset'!$F$3:$F$157,,0))))*6371*1000</f>
        <v>833.34625862502025</v>
      </c>
      <c r="V153" s="39">
        <f>ACOS(COS(RADIANS(90-O153))*COS(RADIANS(90-_xlfn.XLOOKUP(S153,'Schools dataset'!$B$3:$B$187,'Schools dataset'!$J$3:$J$187,,0)))+SIN(RADIANS(90-O153))*SIN(RADIANS(90-_xlfn.XLOOKUP(S153,'Schools dataset'!$B$3:$B$187,'Schools dataset'!$J$3:$J$187,,0)))*COS(RADIANS(P153-_xlfn.XLOOKUP(S153,'Schools dataset'!$B$3:$B$187,'Schools dataset'!$K$3:$K$187,,0))))*6371*1000</f>
        <v>243.53204105194214</v>
      </c>
      <c r="W153" s="20">
        <f>_xlfn.XLOOKUP(T153,'HDB Recommender'!$P$10:$P$39,'HDB Recommender'!$Q$10:$Q$39,"&gt;30mins",1)</f>
        <v>14</v>
      </c>
      <c r="X153" s="20">
        <f>_xlfn.XLOOKUP(U153,'HDB Recommender'!$P$10:$P$39,'HDB Recommender'!$Q$10:$Q$39,"&gt;30mins",1)</f>
        <v>12</v>
      </c>
      <c r="Y153" s="20">
        <f>_xlfn.XLOOKUP(V153,'HDB Recommender'!$P$10:$P$39,'HDB Recommender'!$Q$10:$Q$39,"&gt;30mins",1)</f>
        <v>4</v>
      </c>
      <c r="Z153" s="39">
        <f t="shared" si="4"/>
        <v>10</v>
      </c>
      <c r="AA153" s="20" t="str">
        <f t="shared" si="5"/>
        <v>Within 1km</v>
      </c>
    </row>
    <row r="154" spans="2:27">
      <c r="B154" s="35" t="s">
        <v>317</v>
      </c>
      <c r="C154" s="35" t="s">
        <v>566</v>
      </c>
      <c r="D154" s="35" t="s">
        <v>20</v>
      </c>
      <c r="E154" s="35">
        <v>980</v>
      </c>
      <c r="F154" s="35" t="s">
        <v>589</v>
      </c>
      <c r="G154" s="35" t="s">
        <v>191</v>
      </c>
      <c r="H154" s="35">
        <v>105</v>
      </c>
      <c r="I154" s="35" t="s">
        <v>335</v>
      </c>
      <c r="J154" s="36">
        <v>1989</v>
      </c>
      <c r="K154" s="39">
        <v>64.8333333333333</v>
      </c>
      <c r="L154" s="37">
        <v>464000</v>
      </c>
      <c r="M154" s="35" t="s">
        <v>590</v>
      </c>
      <c r="N154" s="27">
        <v>640980</v>
      </c>
      <c r="O154" s="38">
        <v>1.33911774809754</v>
      </c>
      <c r="P154" s="38">
        <v>103.693671500024</v>
      </c>
      <c r="Q154" s="38" t="str" cm="1">
        <f t="array" ref="Q154">INDEX('MRT station dataset'!$C$3:$C$179, MATCH(MIN(SQRT(('MRT station dataset'!$E$3:$E$179-'Resale flat dataset (DV)'!O154)^2+('MRT station dataset'!$F$3:$F$179-'Resale flat dataset (DV)'!P154)^2)), SQRT(('MRT station dataset'!$E$3:$E$179-'Resale flat dataset (DV)'!O154)^2+('MRT station dataset'!$F$3:$F$179-'Resale flat dataset (DV)'!P154)^2), 0))</f>
        <v>PIONEER MRT STATION</v>
      </c>
      <c r="R154" s="38" t="str" cm="1">
        <f t="array" ref="R154">INDEX('Mall Dataset'!$B$3:$B$157, MATCH(MIN(SQRT(('Mall Dataset'!$E$3:$E$157-'Resale flat dataset (DV)'!O154)^2+('Mall Dataset'!$F$3:$F$157-'Resale flat dataset (DV)'!P154)^2)), SQRT(('Mall Dataset'!$E$3:$E$157-'Resale flat dataset (DV)'!O154)^2+('Mall Dataset'!$F$3:$F$157-'Resale flat dataset (DV)'!P154)^2), 0))</f>
        <v>Pioneer Mall</v>
      </c>
      <c r="S154" s="38" t="str" cm="1">
        <f t="array" ref="S154">INDEX('Schools dataset'!$B$3:$B$187, MATCH(MIN(SQRT(('Schools dataset'!$J$3:$J$187-'Resale flat dataset (DV)'!O154)^2+('Schools dataset'!$K$3:$K$187-'Resale flat dataset (DV)'!P154)^2)), SQRT(('Schools dataset'!$J$3:$J$187-'Resale flat dataset (DV)'!O154)^2+('Schools dataset'!$K$3:$K$187-'Resale flat dataset (DV)'!P154)^2), 0))</f>
        <v>JURONG WEST PRIMARY SCHOOL</v>
      </c>
      <c r="T154" s="39">
        <f>ACOS(COS(RADIANS(90-O154))*COS(RADIANS(90-_xlfn.XLOOKUP(Q154,'MRT station dataset'!$C$3:$C$179,'MRT station dataset'!$E$3:$E$179)))+SIN(RADIANS(90-O154))*SIN(RADIANS(90-_xlfn.XLOOKUP(Q154,'MRT station dataset'!$C$3:$C$179,'MRT station dataset'!$E$3:$E$179)))*COS(RADIANS(P154-_xlfn.XLOOKUP('Resale flat dataset (DV)'!Q154,'MRT station dataset'!$C$3:$C$179,'MRT station dataset'!$F$3:$F$179))))*6371*1000</f>
        <v>437.24341442707362</v>
      </c>
      <c r="U154" s="39">
        <f>ACOS(COS(RADIANS(90-O154))*COS(RADIANS(90-_xlfn.XLOOKUP(R154,'Mall Dataset'!$B$3:$B$157,'Mall Dataset'!$E$3:$E$157,,0)))+SIN(RADIANS(90-O154))*SIN(RADIANS(90-_xlfn.XLOOKUP(R154,'Mall Dataset'!$B$3:$B$157,'Mall Dataset'!$E$3:$E$157,,0)))*COS(RADIANS(P154-_xlfn.XLOOKUP(R154,'Mall Dataset'!$B$3:$B$157,'Mall Dataset'!$F$3:$F$157,,0))))*6371*1000</f>
        <v>483.35248574876834</v>
      </c>
      <c r="V154" s="39">
        <f>ACOS(COS(RADIANS(90-O154))*COS(RADIANS(90-_xlfn.XLOOKUP(S154,'Schools dataset'!$B$3:$B$187,'Schools dataset'!$J$3:$J$187,,0)))+SIN(RADIANS(90-O154))*SIN(RADIANS(90-_xlfn.XLOOKUP(S154,'Schools dataset'!$B$3:$B$187,'Schools dataset'!$J$3:$J$187,,0)))*COS(RADIANS(P154-_xlfn.XLOOKUP(S154,'Schools dataset'!$B$3:$B$187,'Schools dataset'!$K$3:$K$187,,0))))*6371*1000</f>
        <v>570.55808438875897</v>
      </c>
      <c r="W154" s="20">
        <f>_xlfn.XLOOKUP(T154,'HDB Recommender'!$P$10:$P$39,'HDB Recommender'!$Q$10:$Q$39,"&gt;30mins",1)</f>
        <v>6</v>
      </c>
      <c r="X154" s="20">
        <f>_xlfn.XLOOKUP(U154,'HDB Recommender'!$P$10:$P$39,'HDB Recommender'!$Q$10:$Q$39,"&gt;30mins",1)</f>
        <v>7</v>
      </c>
      <c r="Y154" s="20">
        <f>_xlfn.XLOOKUP(V154,'HDB Recommender'!$P$10:$P$39,'HDB Recommender'!$Q$10:$Q$39,"&gt;30mins",1)</f>
        <v>8</v>
      </c>
      <c r="Z154" s="39">
        <f t="shared" si="4"/>
        <v>7</v>
      </c>
      <c r="AA154" s="20" t="str">
        <f t="shared" si="5"/>
        <v>Within 1km</v>
      </c>
    </row>
    <row r="155" spans="2:27">
      <c r="B155" s="35" t="s">
        <v>317</v>
      </c>
      <c r="C155" s="35" t="s">
        <v>566</v>
      </c>
      <c r="D155" s="35" t="s">
        <v>341</v>
      </c>
      <c r="E155" s="35"/>
      <c r="F155" s="35" t="s">
        <v>569</v>
      </c>
      <c r="G155" s="35" t="s">
        <v>189</v>
      </c>
      <c r="H155" s="35">
        <v>113</v>
      </c>
      <c r="I155" s="35" t="s">
        <v>326</v>
      </c>
      <c r="J155" s="36">
        <v>2015</v>
      </c>
      <c r="K155" s="39">
        <v>90.5833333333333</v>
      </c>
      <c r="L155" s="37">
        <v>698000</v>
      </c>
      <c r="M155" s="35" t="s">
        <v>591</v>
      </c>
      <c r="N155" s="27">
        <v>644197</v>
      </c>
      <c r="O155" s="38">
        <v>1.3436078848558599</v>
      </c>
      <c r="P155" s="38">
        <v>103.713869400316</v>
      </c>
      <c r="Q155" s="38" t="str" cm="1">
        <f t="array" ref="Q155">INDEX('MRT station dataset'!$C$3:$C$179, MATCH(MIN(SQRT(('MRT station dataset'!$E$3:$E$179-'Resale flat dataset (DV)'!O155)^2+('MRT station dataset'!$F$3:$F$179-'Resale flat dataset (DV)'!P155)^2)), SQRT(('MRT station dataset'!$E$3:$E$179-'Resale flat dataset (DV)'!O155)^2+('MRT station dataset'!$F$3:$F$179-'Resale flat dataset (DV)'!P155)^2), 0))</f>
        <v>LAKESIDE MRT STATION</v>
      </c>
      <c r="R155" s="38" t="str" cm="1">
        <f t="array" ref="R155">INDEX('Mall Dataset'!$B$3:$B$157, MATCH(MIN(SQRT(('Mall Dataset'!$E$3:$E$157-'Resale flat dataset (DV)'!O155)^2+('Mall Dataset'!$F$3:$F$157-'Resale flat dataset (DV)'!P155)^2)), SQRT(('Mall Dataset'!$E$3:$E$157-'Resale flat dataset (DV)'!O155)^2+('Mall Dataset'!$F$3:$F$157-'Resale flat dataset (DV)'!P155)^2), 0))</f>
        <v>Boon Lay Shopping Centre</v>
      </c>
      <c r="S155" s="38" t="str" cm="1">
        <f t="array" ref="S155">INDEX('Schools dataset'!$B$3:$B$187, MATCH(MIN(SQRT(('Schools dataset'!$J$3:$J$187-'Resale flat dataset (DV)'!O155)^2+('Schools dataset'!$K$3:$K$187-'Resale flat dataset (DV)'!P155)^2)), SQRT(('Schools dataset'!$J$3:$J$187-'Resale flat dataset (DV)'!O155)^2+('Schools dataset'!$K$3:$K$187-'Resale flat dataset (DV)'!P155)^2), 0))</f>
        <v>BOON LAY GARDEN PRIMARY SCHOOL</v>
      </c>
      <c r="T155" s="39">
        <f>ACOS(COS(RADIANS(90-O155))*COS(RADIANS(90-_xlfn.XLOOKUP(Q155,'MRT station dataset'!$C$3:$C$179,'MRT station dataset'!$E$3:$E$179)))+SIN(RADIANS(90-O155))*SIN(RADIANS(90-_xlfn.XLOOKUP(Q155,'MRT station dataset'!$C$3:$C$179,'MRT station dataset'!$E$3:$E$179)))*COS(RADIANS(P155-_xlfn.XLOOKUP('Resale flat dataset (DV)'!Q155,'MRT station dataset'!$C$3:$C$179,'MRT station dataset'!$F$3:$F$179))))*6371*1000</f>
        <v>785.33193868465241</v>
      </c>
      <c r="U155" s="39">
        <f>ACOS(COS(RADIANS(90-O155))*COS(RADIANS(90-_xlfn.XLOOKUP(R155,'Mall Dataset'!$B$3:$B$157,'Mall Dataset'!$E$3:$E$157,,0)))+SIN(RADIANS(90-O155))*SIN(RADIANS(90-_xlfn.XLOOKUP(R155,'Mall Dataset'!$B$3:$B$157,'Mall Dataset'!$E$3:$E$157,,0)))*COS(RADIANS(P155-_xlfn.XLOOKUP(R155,'Mall Dataset'!$B$3:$B$157,'Mall Dataset'!$F$3:$F$157,,0))))*6371*1000</f>
        <v>344.51502968561078</v>
      </c>
      <c r="V155" s="39">
        <f>ACOS(COS(RADIANS(90-O155))*COS(RADIANS(90-_xlfn.XLOOKUP(S155,'Schools dataset'!$B$3:$B$187,'Schools dataset'!$J$3:$J$187,,0)))+SIN(RADIANS(90-O155))*SIN(RADIANS(90-_xlfn.XLOOKUP(S155,'Schools dataset'!$B$3:$B$187,'Schools dataset'!$J$3:$J$187,,0)))*COS(RADIANS(P155-_xlfn.XLOOKUP(S155,'Schools dataset'!$B$3:$B$187,'Schools dataset'!$K$3:$K$187,,0))))*6371*1000</f>
        <v>141.13571326585151</v>
      </c>
      <c r="W155" s="20">
        <f>_xlfn.XLOOKUP(T155,'HDB Recommender'!$P$10:$P$39,'HDB Recommender'!$Q$10:$Q$39,"&gt;30mins",1)</f>
        <v>11</v>
      </c>
      <c r="X155" s="20">
        <f>_xlfn.XLOOKUP(U155,'HDB Recommender'!$P$10:$P$39,'HDB Recommender'!$Q$10:$Q$39,"&gt;30mins",1)</f>
        <v>5</v>
      </c>
      <c r="Y155" s="20">
        <f>_xlfn.XLOOKUP(V155,'HDB Recommender'!$P$10:$P$39,'HDB Recommender'!$Q$10:$Q$39,"&gt;30mins",1)</f>
        <v>2</v>
      </c>
      <c r="Z155" s="39">
        <f t="shared" si="4"/>
        <v>6</v>
      </c>
      <c r="AA155" s="20" t="str">
        <f t="shared" si="5"/>
        <v>Within 1km</v>
      </c>
    </row>
    <row r="156" spans="2:27">
      <c r="B156" s="35" t="s">
        <v>317</v>
      </c>
      <c r="C156" s="35" t="s">
        <v>566</v>
      </c>
      <c r="D156" s="35" t="s">
        <v>341</v>
      </c>
      <c r="E156" s="35"/>
      <c r="F156" s="35" t="s">
        <v>592</v>
      </c>
      <c r="G156" s="35" t="s">
        <v>189</v>
      </c>
      <c r="H156" s="35">
        <v>115</v>
      </c>
      <c r="I156" s="35" t="s">
        <v>389</v>
      </c>
      <c r="J156" s="36">
        <v>2000</v>
      </c>
      <c r="K156" s="39">
        <v>76</v>
      </c>
      <c r="L156" s="37">
        <v>615000</v>
      </c>
      <c r="M156" s="35" t="s">
        <v>593</v>
      </c>
      <c r="N156" s="27">
        <v>642682</v>
      </c>
      <c r="O156" s="38">
        <v>1.34362221193011</v>
      </c>
      <c r="P156" s="38">
        <v>103.705666137539</v>
      </c>
      <c r="Q156" s="38" t="str" cm="1">
        <f t="array" ref="Q156">INDEX('MRT station dataset'!$C$3:$C$179, MATCH(MIN(SQRT(('MRT station dataset'!$E$3:$E$179-'Resale flat dataset (DV)'!O156)^2+('MRT station dataset'!$F$3:$F$179-'Resale flat dataset (DV)'!P156)^2)), SQRT(('MRT station dataset'!$E$3:$E$179-'Resale flat dataset (DV)'!O156)^2+('MRT station dataset'!$F$3:$F$179-'Resale flat dataset (DV)'!P156)^2), 0))</f>
        <v>BOON LAY MRT STATION</v>
      </c>
      <c r="R156" s="38" t="str" cm="1">
        <f t="array" ref="R156">INDEX('Mall Dataset'!$B$3:$B$157, MATCH(MIN(SQRT(('Mall Dataset'!$E$3:$E$157-'Resale flat dataset (DV)'!O156)^2+('Mall Dataset'!$F$3:$F$157-'Resale flat dataset (DV)'!P156)^2)), SQRT(('Mall Dataset'!$E$3:$E$157-'Resale flat dataset (DV)'!O156)^2+('Mall Dataset'!$F$3:$F$157-'Resale flat dataset (DV)'!P156)^2), 0))</f>
        <v>Jurong Point</v>
      </c>
      <c r="S156" s="38" t="str" cm="1">
        <f t="array" ref="S156">INDEX('Schools dataset'!$B$3:$B$187, MATCH(MIN(SQRT(('Schools dataset'!$J$3:$J$187-'Resale flat dataset (DV)'!O156)^2+('Schools dataset'!$K$3:$K$187-'Resale flat dataset (DV)'!P156)^2)), SQRT(('Schools dataset'!$J$3:$J$187-'Resale flat dataset (DV)'!O156)^2+('Schools dataset'!$K$3:$K$187-'Resale flat dataset (DV)'!P156)^2), 0))</f>
        <v>RIVER VALLEY HIGH SCHOOL</v>
      </c>
      <c r="T156" s="39">
        <f>ACOS(COS(RADIANS(90-O156))*COS(RADIANS(90-_xlfn.XLOOKUP(Q156,'MRT station dataset'!$C$3:$C$179,'MRT station dataset'!$E$3:$E$179)))+SIN(RADIANS(90-O156))*SIN(RADIANS(90-_xlfn.XLOOKUP(Q156,'MRT station dataset'!$C$3:$C$179,'MRT station dataset'!$E$3:$E$179)))*COS(RADIANS(P156-_xlfn.XLOOKUP('Resale flat dataset (DV)'!Q156,'MRT station dataset'!$C$3:$C$179,'MRT station dataset'!$F$3:$F$179))))*6371*1000</f>
        <v>560.52331648724316</v>
      </c>
      <c r="U156" s="39">
        <f>ACOS(COS(RADIANS(90-O156))*COS(RADIANS(90-_xlfn.XLOOKUP(R156,'Mall Dataset'!$B$3:$B$157,'Mall Dataset'!$E$3:$E$157,,0)))+SIN(RADIANS(90-O156))*SIN(RADIANS(90-_xlfn.XLOOKUP(R156,'Mall Dataset'!$B$3:$B$157,'Mall Dataset'!$E$3:$E$157,,0)))*COS(RADIANS(P156-_xlfn.XLOOKUP(R156,'Mall Dataset'!$B$3:$B$157,'Mall Dataset'!$F$3:$F$157,,0))))*6371*1000</f>
        <v>477.33805802873786</v>
      </c>
      <c r="V156" s="39">
        <f>ACOS(COS(RADIANS(90-O156))*COS(RADIANS(90-_xlfn.XLOOKUP(S156,'Schools dataset'!$B$3:$B$187,'Schools dataset'!$J$3:$J$187,,0)))+SIN(RADIANS(90-O156))*SIN(RADIANS(90-_xlfn.XLOOKUP(S156,'Schools dataset'!$B$3:$B$187,'Schools dataset'!$J$3:$J$187,,0)))*COS(RADIANS(P156-_xlfn.XLOOKUP(S156,'Schools dataset'!$B$3:$B$187,'Schools dataset'!$K$3:$K$187,,0))))*6371*1000</f>
        <v>300.79839801675831</v>
      </c>
      <c r="W156" s="20">
        <f>_xlfn.XLOOKUP(T156,'HDB Recommender'!$P$10:$P$39,'HDB Recommender'!$Q$10:$Q$39,"&gt;30mins",1)</f>
        <v>8</v>
      </c>
      <c r="X156" s="20">
        <f>_xlfn.XLOOKUP(U156,'HDB Recommender'!$P$10:$P$39,'HDB Recommender'!$Q$10:$Q$39,"&gt;30mins",1)</f>
        <v>7</v>
      </c>
      <c r="Y156" s="20">
        <f>_xlfn.XLOOKUP(V156,'HDB Recommender'!$P$10:$P$39,'HDB Recommender'!$Q$10:$Q$39,"&gt;30mins",1)</f>
        <v>5</v>
      </c>
      <c r="Z156" s="39">
        <f t="shared" si="4"/>
        <v>6.666666666666667</v>
      </c>
      <c r="AA156" s="20" t="str">
        <f t="shared" si="5"/>
        <v>Within 1km</v>
      </c>
    </row>
    <row r="157" spans="2:27">
      <c r="B157" s="35" t="s">
        <v>317</v>
      </c>
      <c r="C157" s="35" t="s">
        <v>566</v>
      </c>
      <c r="D157" s="35" t="s">
        <v>341</v>
      </c>
      <c r="E157" s="35">
        <v>941</v>
      </c>
      <c r="F157" s="35" t="s">
        <v>587</v>
      </c>
      <c r="G157" s="35" t="s">
        <v>349</v>
      </c>
      <c r="H157" s="35">
        <v>123</v>
      </c>
      <c r="I157" s="35" t="s">
        <v>326</v>
      </c>
      <c r="J157" s="36">
        <v>1989</v>
      </c>
      <c r="K157" s="39">
        <v>64.6666666666666</v>
      </c>
      <c r="L157" s="37">
        <v>508000</v>
      </c>
      <c r="M157" s="35" t="s">
        <v>594</v>
      </c>
      <c r="N157" s="27">
        <v>640941</v>
      </c>
      <c r="O157" s="38">
        <v>1.34388068772887</v>
      </c>
      <c r="P157" s="38">
        <v>103.68879530763201</v>
      </c>
      <c r="Q157" s="38" t="str" cm="1">
        <f t="array" ref="Q157">INDEX('MRT station dataset'!$C$3:$C$179, MATCH(MIN(SQRT(('MRT station dataset'!$E$3:$E$179-'Resale flat dataset (DV)'!O157)^2+('MRT station dataset'!$F$3:$F$179-'Resale flat dataset (DV)'!P157)^2)), SQRT(('MRT station dataset'!$E$3:$E$179-'Resale flat dataset (DV)'!O157)^2+('MRT station dataset'!$F$3:$F$179-'Resale flat dataset (DV)'!P157)^2), 0))</f>
        <v>PIONEER MRT STATION</v>
      </c>
      <c r="R157" s="38" t="str" cm="1">
        <f t="array" ref="R157">INDEX('Mall Dataset'!$B$3:$B$157, MATCH(MIN(SQRT(('Mall Dataset'!$E$3:$E$157-'Resale flat dataset (DV)'!O157)^2+('Mall Dataset'!$F$3:$F$157-'Resale flat dataset (DV)'!P157)^2)), SQRT(('Mall Dataset'!$E$3:$E$157-'Resale flat dataset (DV)'!O157)^2+('Mall Dataset'!$F$3:$F$157-'Resale flat dataset (DV)'!P157)^2), 0))</f>
        <v>Pioneer Mall</v>
      </c>
      <c r="S157" s="38" t="str" cm="1">
        <f t="array" ref="S157">INDEX('Schools dataset'!$B$3:$B$187, MATCH(MIN(SQRT(('Schools dataset'!$J$3:$J$187-'Resale flat dataset (DV)'!O157)^2+('Schools dataset'!$K$3:$K$187-'Resale flat dataset (DV)'!P157)^2)), SQRT(('Schools dataset'!$J$3:$J$187-'Resale flat dataset (DV)'!O157)^2+('Schools dataset'!$K$3:$K$187-'Resale flat dataset (DV)'!P157)^2), 0))</f>
        <v>XINGNAN PRIMARY SCHOOL</v>
      </c>
      <c r="T157" s="39">
        <f>ACOS(COS(RADIANS(90-O157))*COS(RADIANS(90-_xlfn.XLOOKUP(Q157,'MRT station dataset'!$C$3:$C$179,'MRT station dataset'!$E$3:$E$179)))+SIN(RADIANS(90-O157))*SIN(RADIANS(90-_xlfn.XLOOKUP(Q157,'MRT station dataset'!$C$3:$C$179,'MRT station dataset'!$E$3:$E$179)))*COS(RADIANS(P157-_xlfn.XLOOKUP('Resale flat dataset (DV)'!Q157,'MRT station dataset'!$C$3:$C$179,'MRT station dataset'!$F$3:$F$179))))*6371*1000</f>
        <v>1175.3952369808885</v>
      </c>
      <c r="U157" s="39">
        <f>ACOS(COS(RADIANS(90-O157))*COS(RADIANS(90-_xlfn.XLOOKUP(R157,'Mall Dataset'!$B$3:$B$157,'Mall Dataset'!$E$3:$E$157,,0)))+SIN(RADIANS(90-O157))*SIN(RADIANS(90-_xlfn.XLOOKUP(R157,'Mall Dataset'!$B$3:$B$157,'Mall Dataset'!$E$3:$E$157,,0)))*COS(RADIANS(P157-_xlfn.XLOOKUP(R157,'Mall Dataset'!$B$3:$B$157,'Mall Dataset'!$F$3:$F$157,,0))))*6371*1000</f>
        <v>962.7623547483613</v>
      </c>
      <c r="V157" s="39">
        <f>ACOS(COS(RADIANS(90-O157))*COS(RADIANS(90-_xlfn.XLOOKUP(S157,'Schools dataset'!$B$3:$B$187,'Schools dataset'!$J$3:$J$187,,0)))+SIN(RADIANS(90-O157))*SIN(RADIANS(90-_xlfn.XLOOKUP(S157,'Schools dataset'!$B$3:$B$187,'Schools dataset'!$J$3:$J$187,,0)))*COS(RADIANS(P157-_xlfn.XLOOKUP(S157,'Schools dataset'!$B$3:$B$187,'Schools dataset'!$K$3:$K$187,,0))))*6371*1000</f>
        <v>187.21062634712627</v>
      </c>
      <c r="W157" s="20">
        <f>_xlfn.XLOOKUP(T157,'HDB Recommender'!$P$10:$P$39,'HDB Recommender'!$Q$10:$Q$39,"&gt;30mins",1)</f>
        <v>16</v>
      </c>
      <c r="X157" s="20">
        <f>_xlfn.XLOOKUP(U157,'HDB Recommender'!$P$10:$P$39,'HDB Recommender'!$Q$10:$Q$39,"&gt;30mins",1)</f>
        <v>13</v>
      </c>
      <c r="Y157" s="20">
        <f>_xlfn.XLOOKUP(V157,'HDB Recommender'!$P$10:$P$39,'HDB Recommender'!$Q$10:$Q$39,"&gt;30mins",1)</f>
        <v>3</v>
      </c>
      <c r="Z157" s="39">
        <f t="shared" si="4"/>
        <v>10.666666666666666</v>
      </c>
      <c r="AA157" s="20" t="str">
        <f t="shared" si="5"/>
        <v>Within 1km</v>
      </c>
    </row>
    <row r="158" spans="2:27">
      <c r="B158" s="35" t="s">
        <v>317</v>
      </c>
      <c r="C158" s="35" t="s">
        <v>566</v>
      </c>
      <c r="D158" s="35" t="s">
        <v>341</v>
      </c>
      <c r="E158" s="35"/>
      <c r="F158" s="35" t="s">
        <v>589</v>
      </c>
      <c r="G158" s="35" t="s">
        <v>346</v>
      </c>
      <c r="H158" s="35">
        <v>114</v>
      </c>
      <c r="I158" s="35" t="s">
        <v>389</v>
      </c>
      <c r="J158" s="36">
        <v>2008</v>
      </c>
      <c r="K158" s="39">
        <v>83.9166666666666</v>
      </c>
      <c r="L158" s="37">
        <v>636000</v>
      </c>
      <c r="M158" s="35" t="s">
        <v>595</v>
      </c>
      <c r="N158" s="27">
        <v>641987</v>
      </c>
      <c r="O158" s="38">
        <v>1.33652389687164</v>
      </c>
      <c r="P158" s="38">
        <v>103.69449394262701</v>
      </c>
      <c r="Q158" s="38" t="str" cm="1">
        <f t="array" ref="Q158">INDEX('MRT station dataset'!$C$3:$C$179, MATCH(MIN(SQRT(('MRT station dataset'!$E$3:$E$179-'Resale flat dataset (DV)'!O158)^2+('MRT station dataset'!$F$3:$F$179-'Resale flat dataset (DV)'!P158)^2)), SQRT(('MRT station dataset'!$E$3:$E$179-'Resale flat dataset (DV)'!O158)^2+('MRT station dataset'!$F$3:$F$179-'Resale flat dataset (DV)'!P158)^2), 0))</f>
        <v>PIONEER MRT STATION</v>
      </c>
      <c r="R158" s="38" t="str" cm="1">
        <f t="array" ref="R158">INDEX('Mall Dataset'!$B$3:$B$157, MATCH(MIN(SQRT(('Mall Dataset'!$E$3:$E$157-'Resale flat dataset (DV)'!O158)^2+('Mall Dataset'!$F$3:$F$157-'Resale flat dataset (DV)'!P158)^2)), SQRT(('Mall Dataset'!$E$3:$E$157-'Resale flat dataset (DV)'!O158)^2+('Mall Dataset'!$F$3:$F$157-'Resale flat dataset (DV)'!P158)^2), 0))</f>
        <v>Pioneer Mall</v>
      </c>
      <c r="S158" s="38" t="str" cm="1">
        <f t="array" ref="S158">INDEX('Schools dataset'!$B$3:$B$187, MATCH(MIN(SQRT(('Schools dataset'!$J$3:$J$187-'Resale flat dataset (DV)'!O158)^2+('Schools dataset'!$K$3:$K$187-'Resale flat dataset (DV)'!P158)^2)), SQRT(('Schools dataset'!$J$3:$J$187-'Resale flat dataset (DV)'!O158)^2+('Schools dataset'!$K$3:$K$187-'Resale flat dataset (DV)'!P158)^2), 0))</f>
        <v>JURONG WEST PRIMARY SCHOOL</v>
      </c>
      <c r="T158" s="39">
        <f>ACOS(COS(RADIANS(90-O158))*COS(RADIANS(90-_xlfn.XLOOKUP(Q158,'MRT station dataset'!$C$3:$C$179,'MRT station dataset'!$E$3:$E$179)))+SIN(RADIANS(90-O158))*SIN(RADIANS(90-_xlfn.XLOOKUP(Q158,'MRT station dataset'!$C$3:$C$179,'MRT station dataset'!$E$3:$E$179)))*COS(RADIANS(P158-_xlfn.XLOOKUP('Resale flat dataset (DV)'!Q158,'MRT station dataset'!$C$3:$C$179,'MRT station dataset'!$F$3:$F$179))))*6371*1000</f>
        <v>334.09715525082805</v>
      </c>
      <c r="U158" s="39">
        <f>ACOS(COS(RADIANS(90-O158))*COS(RADIANS(90-_xlfn.XLOOKUP(R158,'Mall Dataset'!$B$3:$B$157,'Mall Dataset'!$E$3:$E$157,,0)))+SIN(RADIANS(90-O158))*SIN(RADIANS(90-_xlfn.XLOOKUP(R158,'Mall Dataset'!$B$3:$B$157,'Mall Dataset'!$E$3:$E$157,,0)))*COS(RADIANS(P158-_xlfn.XLOOKUP(R158,'Mall Dataset'!$B$3:$B$157,'Mall Dataset'!$F$3:$F$157,,0))))*6371*1000</f>
        <v>647.38599563200364</v>
      </c>
      <c r="V158" s="39">
        <f>ACOS(COS(RADIANS(90-O158))*COS(RADIANS(90-_xlfn.XLOOKUP(S158,'Schools dataset'!$B$3:$B$187,'Schools dataset'!$J$3:$J$187,,0)))+SIN(RADIANS(90-O158))*SIN(RADIANS(90-_xlfn.XLOOKUP(S158,'Schools dataset'!$B$3:$B$187,'Schools dataset'!$J$3:$J$187,,0)))*COS(RADIANS(P158-_xlfn.XLOOKUP(S158,'Schools dataset'!$B$3:$B$187,'Schools dataset'!$K$3:$K$187,,0))))*6371*1000</f>
        <v>562.53599009005882</v>
      </c>
      <c r="W158" s="20">
        <f>_xlfn.XLOOKUP(T158,'HDB Recommender'!$P$10:$P$39,'HDB Recommender'!$Q$10:$Q$39,"&gt;30mins",1)</f>
        <v>5</v>
      </c>
      <c r="X158" s="20">
        <f>_xlfn.XLOOKUP(U158,'HDB Recommender'!$P$10:$P$39,'HDB Recommender'!$Q$10:$Q$39,"&gt;30mins",1)</f>
        <v>9</v>
      </c>
      <c r="Y158" s="20">
        <f>_xlfn.XLOOKUP(V158,'HDB Recommender'!$P$10:$P$39,'HDB Recommender'!$Q$10:$Q$39,"&gt;30mins",1)</f>
        <v>8</v>
      </c>
      <c r="Z158" s="39">
        <f t="shared" si="4"/>
        <v>7.333333333333333</v>
      </c>
      <c r="AA158" s="20" t="str">
        <f t="shared" si="5"/>
        <v>Within 1km</v>
      </c>
    </row>
    <row r="159" spans="2:27">
      <c r="B159" s="35" t="s">
        <v>317</v>
      </c>
      <c r="C159" s="35" t="s">
        <v>566</v>
      </c>
      <c r="D159" s="35" t="s">
        <v>341</v>
      </c>
      <c r="E159" s="35"/>
      <c r="F159" s="35" t="s">
        <v>589</v>
      </c>
      <c r="G159" s="35" t="s">
        <v>184</v>
      </c>
      <c r="H159" s="35">
        <v>110</v>
      </c>
      <c r="I159" s="35" t="s">
        <v>389</v>
      </c>
      <c r="J159" s="36">
        <v>2008</v>
      </c>
      <c r="K159" s="39">
        <v>83.9166666666666</v>
      </c>
      <c r="L159" s="37">
        <v>560000</v>
      </c>
      <c r="M159" s="35" t="s">
        <v>596</v>
      </c>
      <c r="N159" s="27">
        <v>644989</v>
      </c>
      <c r="O159" s="38">
        <v>1.3357759954097801</v>
      </c>
      <c r="P159" s="38">
        <v>103.695432323438</v>
      </c>
      <c r="Q159" s="38" t="str" cm="1">
        <f t="array" ref="Q159">INDEX('MRT station dataset'!$C$3:$C$179, MATCH(MIN(SQRT(('MRT station dataset'!$E$3:$E$179-'Resale flat dataset (DV)'!O159)^2+('MRT station dataset'!$F$3:$F$179-'Resale flat dataset (DV)'!P159)^2)), SQRT(('MRT station dataset'!$E$3:$E$179-'Resale flat dataset (DV)'!O159)^2+('MRT station dataset'!$F$3:$F$179-'Resale flat dataset (DV)'!P159)^2), 0))</f>
        <v>PIONEER MRT STATION</v>
      </c>
      <c r="R159" s="38" t="str" cm="1">
        <f t="array" ref="R159">INDEX('Mall Dataset'!$B$3:$B$157, MATCH(MIN(SQRT(('Mall Dataset'!$E$3:$E$157-'Resale flat dataset (DV)'!O159)^2+('Mall Dataset'!$F$3:$F$157-'Resale flat dataset (DV)'!P159)^2)), SQRT(('Mall Dataset'!$E$3:$E$157-'Resale flat dataset (DV)'!O159)^2+('Mall Dataset'!$F$3:$F$157-'Resale flat dataset (DV)'!P159)^2), 0))</f>
        <v>Pioneer Mall</v>
      </c>
      <c r="S159" s="38" t="str" cm="1">
        <f t="array" ref="S159">INDEX('Schools dataset'!$B$3:$B$187, MATCH(MIN(SQRT(('Schools dataset'!$J$3:$J$187-'Resale flat dataset (DV)'!O159)^2+('Schools dataset'!$K$3:$K$187-'Resale flat dataset (DV)'!P159)^2)), SQRT(('Schools dataset'!$J$3:$J$187-'Resale flat dataset (DV)'!O159)^2+('Schools dataset'!$K$3:$K$187-'Resale flat dataset (DV)'!P159)^2), 0))</f>
        <v>FRONTIER PRIMARY SCHOOL</v>
      </c>
      <c r="T159" s="39">
        <f>ACOS(COS(RADIANS(90-O159))*COS(RADIANS(90-_xlfn.XLOOKUP(Q159,'MRT station dataset'!$C$3:$C$179,'MRT station dataset'!$E$3:$E$179)))+SIN(RADIANS(90-O159))*SIN(RADIANS(90-_xlfn.XLOOKUP(Q159,'MRT station dataset'!$C$3:$C$179,'MRT station dataset'!$E$3:$E$179)))*COS(RADIANS(P159-_xlfn.XLOOKUP('Resale flat dataset (DV)'!Q159,'MRT station dataset'!$C$3:$C$179,'MRT station dataset'!$F$3:$F$179))))*6371*1000</f>
        <v>290.24454859345281</v>
      </c>
      <c r="U159" s="39">
        <f>ACOS(COS(RADIANS(90-O159))*COS(RADIANS(90-_xlfn.XLOOKUP(R159,'Mall Dataset'!$B$3:$B$157,'Mall Dataset'!$E$3:$E$157,,0)))+SIN(RADIANS(90-O159))*SIN(RADIANS(90-_xlfn.XLOOKUP(R159,'Mall Dataset'!$B$3:$B$157,'Mall Dataset'!$E$3:$E$157,,0)))*COS(RADIANS(P159-_xlfn.XLOOKUP(R159,'Mall Dataset'!$B$3:$B$157,'Mall Dataset'!$F$3:$F$157,,0))))*6371*1000</f>
        <v>685.79839313403261</v>
      </c>
      <c r="V159" s="39">
        <f>ACOS(COS(RADIANS(90-O159))*COS(RADIANS(90-_xlfn.XLOOKUP(S159,'Schools dataset'!$B$3:$B$187,'Schools dataset'!$J$3:$J$187,,0)))+SIN(RADIANS(90-O159))*SIN(RADIANS(90-_xlfn.XLOOKUP(S159,'Schools dataset'!$B$3:$B$187,'Schools dataset'!$J$3:$J$187,,0)))*COS(RADIANS(P159-_xlfn.XLOOKUP(S159,'Schools dataset'!$B$3:$B$187,'Schools dataset'!$K$3:$K$187,,0))))*6371*1000</f>
        <v>497.59623493324455</v>
      </c>
      <c r="W159" s="20">
        <f>_xlfn.XLOOKUP(T159,'HDB Recommender'!$P$10:$P$39,'HDB Recommender'!$Q$10:$Q$39,"&gt;30mins",1)</f>
        <v>4</v>
      </c>
      <c r="X159" s="20">
        <f>_xlfn.XLOOKUP(U159,'HDB Recommender'!$P$10:$P$39,'HDB Recommender'!$Q$10:$Q$39,"&gt;30mins",1)</f>
        <v>10</v>
      </c>
      <c r="Y159" s="20">
        <f>_xlfn.XLOOKUP(V159,'HDB Recommender'!$P$10:$P$39,'HDB Recommender'!$Q$10:$Q$39,"&gt;30mins",1)</f>
        <v>7</v>
      </c>
      <c r="Z159" s="39">
        <f t="shared" si="4"/>
        <v>7</v>
      </c>
      <c r="AA159" s="20" t="str">
        <f t="shared" si="5"/>
        <v>Within 1km</v>
      </c>
    </row>
    <row r="160" spans="2:27">
      <c r="B160" s="35" t="s">
        <v>317</v>
      </c>
      <c r="C160" s="35" t="s">
        <v>566</v>
      </c>
      <c r="D160" s="35" t="s">
        <v>341</v>
      </c>
      <c r="E160" s="35">
        <v>323</v>
      </c>
      <c r="F160" s="35" t="s">
        <v>597</v>
      </c>
      <c r="G160" s="35" t="s">
        <v>189</v>
      </c>
      <c r="H160" s="35">
        <v>121</v>
      </c>
      <c r="I160" s="35" t="s">
        <v>326</v>
      </c>
      <c r="J160" s="36">
        <v>1997</v>
      </c>
      <c r="K160" s="39">
        <v>72.6666666666666</v>
      </c>
      <c r="L160" s="37">
        <v>585000</v>
      </c>
      <c r="M160" s="35" t="s">
        <v>598</v>
      </c>
      <c r="N160" s="27">
        <v>610323</v>
      </c>
      <c r="O160" s="38">
        <v>1.3368180785281001</v>
      </c>
      <c r="P160" s="38">
        <v>103.723914562532</v>
      </c>
      <c r="Q160" s="38" t="str" cm="1">
        <f t="array" ref="Q160">INDEX('MRT station dataset'!$C$3:$C$179, MATCH(MIN(SQRT(('MRT station dataset'!$E$3:$E$179-'Resale flat dataset (DV)'!O160)^2+('MRT station dataset'!$F$3:$F$179-'Resale flat dataset (DV)'!P160)^2)), SQRT(('MRT station dataset'!$E$3:$E$179-'Resale flat dataset (DV)'!O160)^2+('MRT station dataset'!$F$3:$F$179-'Resale flat dataset (DV)'!P160)^2), 0))</f>
        <v>LAKESIDE MRT STATION</v>
      </c>
      <c r="R160" s="38" t="str" cm="1">
        <f t="array" ref="R160">INDEX('Mall Dataset'!$B$3:$B$157, MATCH(MIN(SQRT(('Mall Dataset'!$E$3:$E$157-'Resale flat dataset (DV)'!O160)^2+('Mall Dataset'!$F$3:$F$157-'Resale flat dataset (DV)'!P160)^2)), SQRT(('Mall Dataset'!$E$3:$E$157-'Resale flat dataset (DV)'!O160)^2+('Mall Dataset'!$F$3:$F$157-'Resale flat dataset (DV)'!P160)^2), 0))</f>
        <v>Taman Jurong Shopping Centre</v>
      </c>
      <c r="S160" s="38" t="str" cm="1">
        <f t="array" ref="S160">INDEX('Schools dataset'!$B$3:$B$187, MATCH(MIN(SQRT(('Schools dataset'!$J$3:$J$187-'Resale flat dataset (DV)'!O160)^2+('Schools dataset'!$K$3:$K$187-'Resale flat dataset (DV)'!P160)^2)), SQRT(('Schools dataset'!$J$3:$J$187-'Resale flat dataset (DV)'!O160)^2+('Schools dataset'!$K$3:$K$187-'Resale flat dataset (DV)'!P160)^2), 0))</f>
        <v>LAKESIDE PRIMARY SCHOOL</v>
      </c>
      <c r="T160" s="39">
        <f>ACOS(COS(RADIANS(90-O160))*COS(RADIANS(90-_xlfn.XLOOKUP(Q160,'MRT station dataset'!$C$3:$C$179,'MRT station dataset'!$E$3:$E$179)))+SIN(RADIANS(90-O160))*SIN(RADIANS(90-_xlfn.XLOOKUP(Q160,'MRT station dataset'!$C$3:$C$179,'MRT station dataset'!$E$3:$E$179)))*COS(RADIANS(P160-_xlfn.XLOOKUP('Resale flat dataset (DV)'!Q160,'MRT station dataset'!$C$3:$C$179,'MRT station dataset'!$F$3:$F$179))))*6371*1000</f>
        <v>896.90796968515963</v>
      </c>
      <c r="U160" s="39">
        <f>ACOS(COS(RADIANS(90-O160))*COS(RADIANS(90-_xlfn.XLOOKUP(R160,'Mall Dataset'!$B$3:$B$157,'Mall Dataset'!$E$3:$E$157,,0)))+SIN(RADIANS(90-O160))*SIN(RADIANS(90-_xlfn.XLOOKUP(R160,'Mall Dataset'!$B$3:$B$157,'Mall Dataset'!$E$3:$E$157,,0)))*COS(RADIANS(P160-_xlfn.XLOOKUP(R160,'Mall Dataset'!$B$3:$B$157,'Mall Dataset'!$F$3:$F$157,,0))))*6371*1000</f>
        <v>442.09005528360422</v>
      </c>
      <c r="V160" s="39">
        <f>ACOS(COS(RADIANS(90-O160))*COS(RADIANS(90-_xlfn.XLOOKUP(S160,'Schools dataset'!$B$3:$B$187,'Schools dataset'!$J$3:$J$187,,0)))+SIN(RADIANS(90-O160))*SIN(RADIANS(90-_xlfn.XLOOKUP(S160,'Schools dataset'!$B$3:$B$187,'Schools dataset'!$J$3:$J$187,,0)))*COS(RADIANS(P160-_xlfn.XLOOKUP(S160,'Schools dataset'!$B$3:$B$187,'Schools dataset'!$K$3:$K$187,,0))))*6371*1000</f>
        <v>665.62064913931908</v>
      </c>
      <c r="W160" s="20">
        <f>_xlfn.XLOOKUP(T160,'HDB Recommender'!$P$10:$P$39,'HDB Recommender'!$Q$10:$Q$39,"&gt;30mins",1)</f>
        <v>12</v>
      </c>
      <c r="X160" s="20">
        <f>_xlfn.XLOOKUP(U160,'HDB Recommender'!$P$10:$P$39,'HDB Recommender'!$Q$10:$Q$39,"&gt;30mins",1)</f>
        <v>6</v>
      </c>
      <c r="Y160" s="20">
        <f>_xlfn.XLOOKUP(V160,'HDB Recommender'!$P$10:$P$39,'HDB Recommender'!$Q$10:$Q$39,"&gt;30mins",1)</f>
        <v>9</v>
      </c>
      <c r="Z160" s="39">
        <f t="shared" si="4"/>
        <v>9</v>
      </c>
      <c r="AA160" s="20" t="str">
        <f t="shared" si="5"/>
        <v>Within 1km</v>
      </c>
    </row>
    <row r="161" spans="2:27">
      <c r="B161" s="35" t="s">
        <v>317</v>
      </c>
      <c r="C161" s="35" t="s">
        <v>566</v>
      </c>
      <c r="D161" s="35" t="s">
        <v>383</v>
      </c>
      <c r="E161" s="35">
        <v>719</v>
      </c>
      <c r="F161" s="35" t="s">
        <v>599</v>
      </c>
      <c r="G161" s="35" t="s">
        <v>349</v>
      </c>
      <c r="H161" s="35">
        <v>146</v>
      </c>
      <c r="I161" s="35" t="s">
        <v>392</v>
      </c>
      <c r="J161" s="36">
        <v>1992</v>
      </c>
      <c r="K161" s="39">
        <v>67.9166666666666</v>
      </c>
      <c r="L161" s="37">
        <v>720000</v>
      </c>
      <c r="M161" s="35" t="s">
        <v>600</v>
      </c>
      <c r="N161" s="27">
        <v>640719</v>
      </c>
      <c r="O161" s="38">
        <v>1.3445367697679</v>
      </c>
      <c r="P161" s="38">
        <v>103.696986199669</v>
      </c>
      <c r="Q161" s="38" t="str" cm="1">
        <f t="array" ref="Q161">INDEX('MRT station dataset'!$C$3:$C$179, MATCH(MIN(SQRT(('MRT station dataset'!$E$3:$E$179-'Resale flat dataset (DV)'!O161)^2+('MRT station dataset'!$F$3:$F$179-'Resale flat dataset (DV)'!P161)^2)), SQRT(('MRT station dataset'!$E$3:$E$179-'Resale flat dataset (DV)'!O161)^2+('MRT station dataset'!$F$3:$F$179-'Resale flat dataset (DV)'!P161)^2), 0))</f>
        <v>PIONEER MRT STATION</v>
      </c>
      <c r="R161" s="38" t="str" cm="1">
        <f t="array" ref="R161">INDEX('Mall Dataset'!$B$3:$B$157, MATCH(MIN(SQRT(('Mall Dataset'!$E$3:$E$157-'Resale flat dataset (DV)'!O161)^2+('Mall Dataset'!$F$3:$F$157-'Resale flat dataset (DV)'!P161)^2)), SQRT(('Mall Dataset'!$E$3:$E$157-'Resale flat dataset (DV)'!O161)^2+('Mall Dataset'!$F$3:$F$157-'Resale flat dataset (DV)'!P161)^2), 0))</f>
        <v>Pioneer Mall</v>
      </c>
      <c r="S161" s="38" t="str" cm="1">
        <f t="array" ref="S161">INDEX('Schools dataset'!$B$3:$B$187, MATCH(MIN(SQRT(('Schools dataset'!$J$3:$J$187-'Resale flat dataset (DV)'!O161)^2+('Schools dataset'!$K$3:$K$187-'Resale flat dataset (DV)'!P161)^2)), SQRT(('Schools dataset'!$J$3:$J$187-'Resale flat dataset (DV)'!O161)^2+('Schools dataset'!$K$3:$K$187-'Resale flat dataset (DV)'!P161)^2), 0))</f>
        <v>WEST GROVE PRIMARY SCHOOL</v>
      </c>
      <c r="T161" s="39">
        <f>ACOS(COS(RADIANS(90-O161))*COS(RADIANS(90-_xlfn.XLOOKUP(Q161,'MRT station dataset'!$C$3:$C$179,'MRT station dataset'!$E$3:$E$179)))+SIN(RADIANS(90-O161))*SIN(RADIANS(90-_xlfn.XLOOKUP(Q161,'MRT station dataset'!$C$3:$C$179,'MRT station dataset'!$E$3:$E$179)))*COS(RADIANS(P161-_xlfn.XLOOKUP('Resale flat dataset (DV)'!Q161,'MRT station dataset'!$C$3:$C$179,'MRT station dataset'!$F$3:$F$179))))*6371*1000</f>
        <v>772.12199822038042</v>
      </c>
      <c r="U161" s="39">
        <f>ACOS(COS(RADIANS(90-O161))*COS(RADIANS(90-_xlfn.XLOOKUP(R161,'Mall Dataset'!$B$3:$B$157,'Mall Dataset'!$E$3:$E$157,,0)))+SIN(RADIANS(90-O161))*SIN(RADIANS(90-_xlfn.XLOOKUP(R161,'Mall Dataset'!$B$3:$B$157,'Mall Dataset'!$E$3:$E$157,,0)))*COS(RADIANS(P161-_xlfn.XLOOKUP(R161,'Mall Dataset'!$B$3:$B$157,'Mall Dataset'!$F$3:$F$157,,0))))*6371*1000</f>
        <v>316.97480036122852</v>
      </c>
      <c r="V161" s="39">
        <f>ACOS(COS(RADIANS(90-O161))*COS(RADIANS(90-_xlfn.XLOOKUP(S161,'Schools dataset'!$B$3:$B$187,'Schools dataset'!$J$3:$J$187,,0)))+SIN(RADIANS(90-O161))*SIN(RADIANS(90-_xlfn.XLOOKUP(S161,'Schools dataset'!$B$3:$B$187,'Schools dataset'!$J$3:$J$187,,0)))*COS(RADIANS(P161-_xlfn.XLOOKUP(S161,'Schools dataset'!$B$3:$B$187,'Schools dataset'!$K$3:$K$187,,0))))*6371*1000</f>
        <v>220.74724900674104</v>
      </c>
      <c r="W161" s="20">
        <f>_xlfn.XLOOKUP(T161,'HDB Recommender'!$P$10:$P$39,'HDB Recommender'!$Q$10:$Q$39,"&gt;30mins",1)</f>
        <v>11</v>
      </c>
      <c r="X161" s="20">
        <f>_xlfn.XLOOKUP(U161,'HDB Recommender'!$P$10:$P$39,'HDB Recommender'!$Q$10:$Q$39,"&gt;30mins",1)</f>
        <v>5</v>
      </c>
      <c r="Y161" s="20">
        <f>_xlfn.XLOOKUP(V161,'HDB Recommender'!$P$10:$P$39,'HDB Recommender'!$Q$10:$Q$39,"&gt;30mins",1)</f>
        <v>3</v>
      </c>
      <c r="Z161" s="39">
        <f t="shared" si="4"/>
        <v>6.333333333333333</v>
      </c>
      <c r="AA161" s="20" t="str">
        <f t="shared" si="5"/>
        <v>Within 1km</v>
      </c>
    </row>
    <row r="162" spans="2:27">
      <c r="B162" s="35" t="s">
        <v>317</v>
      </c>
      <c r="C162" s="35" t="s">
        <v>566</v>
      </c>
      <c r="D162" s="35" t="s">
        <v>383</v>
      </c>
      <c r="E162" s="35"/>
      <c r="F162" s="35" t="s">
        <v>582</v>
      </c>
      <c r="G162" s="35" t="s">
        <v>184</v>
      </c>
      <c r="H162" s="35">
        <v>130</v>
      </c>
      <c r="I162" s="35" t="s">
        <v>384</v>
      </c>
      <c r="J162" s="36">
        <v>2000</v>
      </c>
      <c r="K162" s="39">
        <v>75.9166666666666</v>
      </c>
      <c r="L162" s="37">
        <v>700000</v>
      </c>
      <c r="M162" s="35" t="s">
        <v>601</v>
      </c>
      <c r="N162" s="27">
        <v>641669</v>
      </c>
      <c r="O162" s="38">
        <v>1.3428927165215401</v>
      </c>
      <c r="P162" s="38">
        <v>103.703136147885</v>
      </c>
      <c r="Q162" s="38" t="str" cm="1">
        <f t="array" ref="Q162">INDEX('MRT station dataset'!$C$3:$C$179, MATCH(MIN(SQRT(('MRT station dataset'!$E$3:$E$179-'Resale flat dataset (DV)'!O162)^2+('MRT station dataset'!$F$3:$F$179-'Resale flat dataset (DV)'!P162)^2)), SQRT(('MRT station dataset'!$E$3:$E$179-'Resale flat dataset (DV)'!O162)^2+('MRT station dataset'!$F$3:$F$179-'Resale flat dataset (DV)'!P162)^2), 0))</f>
        <v>BOON LAY MRT STATION</v>
      </c>
      <c r="R162" s="38" t="str" cm="1">
        <f t="array" ref="R162">INDEX('Mall Dataset'!$B$3:$B$157, MATCH(MIN(SQRT(('Mall Dataset'!$E$3:$E$157-'Resale flat dataset (DV)'!O162)^2+('Mall Dataset'!$F$3:$F$157-'Resale flat dataset (DV)'!P162)^2)), SQRT(('Mall Dataset'!$E$3:$E$157-'Resale flat dataset (DV)'!O162)^2+('Mall Dataset'!$F$3:$F$157-'Resale flat dataset (DV)'!P162)^2), 0))</f>
        <v>Jurong Point</v>
      </c>
      <c r="S162" s="38" t="str" cm="1">
        <f t="array" ref="S162">INDEX('Schools dataset'!$B$3:$B$187, MATCH(MIN(SQRT(('Schools dataset'!$J$3:$J$187-'Resale flat dataset (DV)'!O162)^2+('Schools dataset'!$K$3:$K$187-'Resale flat dataset (DV)'!P162)^2)), SQRT(('Schools dataset'!$J$3:$J$187-'Resale flat dataset (DV)'!O162)^2+('Schools dataset'!$K$3:$K$187-'Resale flat dataset (DV)'!P162)^2), 0))</f>
        <v>WEST GROVE PRIMARY SCHOOL</v>
      </c>
      <c r="T162" s="39">
        <f>ACOS(COS(RADIANS(90-O162))*COS(RADIANS(90-_xlfn.XLOOKUP(Q162,'MRT station dataset'!$C$3:$C$179,'MRT station dataset'!$E$3:$E$179)))+SIN(RADIANS(90-O162))*SIN(RADIANS(90-_xlfn.XLOOKUP(Q162,'MRT station dataset'!$C$3:$C$179,'MRT station dataset'!$E$3:$E$179)))*COS(RADIANS(P162-_xlfn.XLOOKUP('Resale flat dataset (DV)'!Q162,'MRT station dataset'!$C$3:$C$179,'MRT station dataset'!$F$3:$F$179))))*6371*1000</f>
        <v>579.99666566811698</v>
      </c>
      <c r="U162" s="39">
        <f>ACOS(COS(RADIANS(90-O162))*COS(RADIANS(90-_xlfn.XLOOKUP(R162,'Mall Dataset'!$B$3:$B$157,'Mall Dataset'!$E$3:$E$157,,0)))+SIN(RADIANS(90-O162))*SIN(RADIANS(90-_xlfn.XLOOKUP(R162,'Mall Dataset'!$B$3:$B$157,'Mall Dataset'!$E$3:$E$157,,0)))*COS(RADIANS(P162-_xlfn.XLOOKUP(R162,'Mall Dataset'!$B$3:$B$157,'Mall Dataset'!$F$3:$F$157,,0))))*6371*1000</f>
        <v>549.55547985993155</v>
      </c>
      <c r="V162" s="39">
        <f>ACOS(COS(RADIANS(90-O162))*COS(RADIANS(90-_xlfn.XLOOKUP(S162,'Schools dataset'!$B$3:$B$187,'Schools dataset'!$J$3:$J$187,,0)))+SIN(RADIANS(90-O162))*SIN(RADIANS(90-_xlfn.XLOOKUP(S162,'Schools dataset'!$B$3:$B$187,'Schools dataset'!$J$3:$J$187,,0)))*COS(RADIANS(P162-_xlfn.XLOOKUP(S162,'Schools dataset'!$B$3:$B$187,'Schools dataset'!$K$3:$K$187,,0))))*6371*1000</f>
        <v>505.97588205641262</v>
      </c>
      <c r="W162" s="20">
        <f>_xlfn.XLOOKUP(T162,'HDB Recommender'!$P$10:$P$39,'HDB Recommender'!$Q$10:$Q$39,"&gt;30mins",1)</f>
        <v>8</v>
      </c>
      <c r="X162" s="20">
        <f>_xlfn.XLOOKUP(U162,'HDB Recommender'!$P$10:$P$39,'HDB Recommender'!$Q$10:$Q$39,"&gt;30mins",1)</f>
        <v>8</v>
      </c>
      <c r="Y162" s="20">
        <f>_xlfn.XLOOKUP(V162,'HDB Recommender'!$P$10:$P$39,'HDB Recommender'!$Q$10:$Q$39,"&gt;30mins",1)</f>
        <v>7</v>
      </c>
      <c r="Z162" s="39">
        <f t="shared" si="4"/>
        <v>7.666666666666667</v>
      </c>
      <c r="AA162" s="20" t="str">
        <f t="shared" si="5"/>
        <v>Within 1km</v>
      </c>
    </row>
    <row r="163" spans="2:27">
      <c r="B163" s="35" t="s">
        <v>317</v>
      </c>
      <c r="C163" s="35" t="s">
        <v>566</v>
      </c>
      <c r="D163" s="35" t="s">
        <v>383</v>
      </c>
      <c r="E163" s="35"/>
      <c r="F163" s="35" t="s">
        <v>585</v>
      </c>
      <c r="G163" s="35" t="s">
        <v>323</v>
      </c>
      <c r="H163" s="35">
        <v>125</v>
      </c>
      <c r="I163" s="35" t="s">
        <v>384</v>
      </c>
      <c r="J163" s="36">
        <v>2002</v>
      </c>
      <c r="K163" s="39">
        <v>77.9166666666666</v>
      </c>
      <c r="L163" s="37">
        <v>671000</v>
      </c>
      <c r="M163" s="35" t="s">
        <v>602</v>
      </c>
      <c r="N163" s="27">
        <v>642671</v>
      </c>
      <c r="O163" s="38">
        <v>1.34395979895533</v>
      </c>
      <c r="P163" s="38">
        <v>103.701895501679</v>
      </c>
      <c r="Q163" s="38" t="str" cm="1">
        <f t="array" ref="Q163">INDEX('MRT station dataset'!$C$3:$C$179, MATCH(MIN(SQRT(('MRT station dataset'!$E$3:$E$179-'Resale flat dataset (DV)'!O163)^2+('MRT station dataset'!$F$3:$F$179-'Resale flat dataset (DV)'!P163)^2)), SQRT(('MRT station dataset'!$E$3:$E$179-'Resale flat dataset (DV)'!O163)^2+('MRT station dataset'!$F$3:$F$179-'Resale flat dataset (DV)'!P163)^2), 0))</f>
        <v>BOON LAY MRT STATION</v>
      </c>
      <c r="R163" s="38" t="str" cm="1">
        <f t="array" ref="R163">INDEX('Mall Dataset'!$B$3:$B$157, MATCH(MIN(SQRT(('Mall Dataset'!$E$3:$E$157-'Resale flat dataset (DV)'!O163)^2+('Mall Dataset'!$F$3:$F$157-'Resale flat dataset (DV)'!P163)^2)), SQRT(('Mall Dataset'!$E$3:$E$157-'Resale flat dataset (DV)'!O163)^2+('Mall Dataset'!$F$3:$F$157-'Resale flat dataset (DV)'!P163)^2), 0))</f>
        <v>Pioneer Mall</v>
      </c>
      <c r="S163" s="38" t="str" cm="1">
        <f t="array" ref="S163">INDEX('Schools dataset'!$B$3:$B$187, MATCH(MIN(SQRT(('Schools dataset'!$J$3:$J$187-'Resale flat dataset (DV)'!O163)^2+('Schools dataset'!$K$3:$K$187-'Resale flat dataset (DV)'!P163)^2)), SQRT(('Schools dataset'!$J$3:$J$187-'Resale flat dataset (DV)'!O163)^2+('Schools dataset'!$K$3:$K$187-'Resale flat dataset (DV)'!P163)^2), 0))</f>
        <v>WEST GROVE PRIMARY SCHOOL</v>
      </c>
      <c r="T163" s="39">
        <f>ACOS(COS(RADIANS(90-O163))*COS(RADIANS(90-_xlfn.XLOOKUP(Q163,'MRT station dataset'!$C$3:$C$179,'MRT station dataset'!$E$3:$E$179)))+SIN(RADIANS(90-O163))*SIN(RADIANS(90-_xlfn.XLOOKUP(Q163,'MRT station dataset'!$C$3:$C$179,'MRT station dataset'!$E$3:$E$179)))*COS(RADIANS(P163-_xlfn.XLOOKUP('Resale flat dataset (DV)'!Q163,'MRT station dataset'!$C$3:$C$179,'MRT station dataset'!$F$3:$F$179))))*6371*1000</f>
        <v>757.39634223711664</v>
      </c>
      <c r="U163" s="39">
        <f>ACOS(COS(RADIANS(90-O163))*COS(RADIANS(90-_xlfn.XLOOKUP(R163,'Mall Dataset'!$B$3:$B$157,'Mall Dataset'!$E$3:$E$157,,0)))+SIN(RADIANS(90-O163))*SIN(RADIANS(90-_xlfn.XLOOKUP(R163,'Mall Dataset'!$B$3:$B$157,'Mall Dataset'!$E$3:$E$157,,0)))*COS(RADIANS(P163-_xlfn.XLOOKUP(R163,'Mall Dataset'!$B$3:$B$157,'Mall Dataset'!$F$3:$F$157,,0))))*6371*1000</f>
        <v>582.19355374222243</v>
      </c>
      <c r="V163" s="39">
        <f>ACOS(COS(RADIANS(90-O163))*COS(RADIANS(90-_xlfn.XLOOKUP(S163,'Schools dataset'!$B$3:$B$187,'Schools dataset'!$J$3:$J$187,,0)))+SIN(RADIANS(90-O163))*SIN(RADIANS(90-_xlfn.XLOOKUP(S163,'Schools dataset'!$B$3:$B$187,'Schools dataset'!$J$3:$J$187,,0)))*COS(RADIANS(P163-_xlfn.XLOOKUP(S163,'Schools dataset'!$B$3:$B$187,'Schools dataset'!$K$3:$K$187,,0))))*6371*1000</f>
        <v>336.42129534058409</v>
      </c>
      <c r="W163" s="20">
        <f>_xlfn.XLOOKUP(T163,'HDB Recommender'!$P$10:$P$39,'HDB Recommender'!$Q$10:$Q$39,"&gt;30mins",1)</f>
        <v>11</v>
      </c>
      <c r="X163" s="20">
        <f>_xlfn.XLOOKUP(U163,'HDB Recommender'!$P$10:$P$39,'HDB Recommender'!$Q$10:$Q$39,"&gt;30mins",1)</f>
        <v>8</v>
      </c>
      <c r="Y163" s="20">
        <f>_xlfn.XLOOKUP(V163,'HDB Recommender'!$P$10:$P$39,'HDB Recommender'!$Q$10:$Q$39,"&gt;30mins",1)</f>
        <v>5</v>
      </c>
      <c r="Z163" s="39">
        <f t="shared" si="4"/>
        <v>8</v>
      </c>
      <c r="AA163" s="20" t="str">
        <f t="shared" si="5"/>
        <v>Within 1km</v>
      </c>
    </row>
    <row r="164" spans="2:27">
      <c r="B164" s="35" t="s">
        <v>317</v>
      </c>
      <c r="C164" s="35" t="s">
        <v>603</v>
      </c>
      <c r="D164" s="35" t="s">
        <v>318</v>
      </c>
      <c r="E164" s="35">
        <v>57</v>
      </c>
      <c r="F164" s="35" t="s">
        <v>604</v>
      </c>
      <c r="G164" s="35" t="s">
        <v>189</v>
      </c>
      <c r="H164" s="35">
        <v>65</v>
      </c>
      <c r="I164" s="35" t="s">
        <v>326</v>
      </c>
      <c r="J164" s="36">
        <v>1974</v>
      </c>
      <c r="K164" s="39">
        <v>49.8333333333333</v>
      </c>
      <c r="L164" s="37">
        <v>335000</v>
      </c>
      <c r="M164" s="35" t="s">
        <v>605</v>
      </c>
      <c r="N164" s="27">
        <v>330057</v>
      </c>
      <c r="O164" s="38">
        <v>1.3235378067504899</v>
      </c>
      <c r="P164" s="38">
        <v>103.86914775647</v>
      </c>
      <c r="Q164" s="38" t="str" cm="1">
        <f t="array" ref="Q164">INDEX('MRT station dataset'!$C$3:$C$179, MATCH(MIN(SQRT(('MRT station dataset'!$E$3:$E$179-'Resale flat dataset (DV)'!O164)^2+('MRT station dataset'!$F$3:$F$179-'Resale flat dataset (DV)'!P164)^2)), SQRT(('MRT station dataset'!$E$3:$E$179-'Resale flat dataset (DV)'!O164)^2+('MRT station dataset'!$F$3:$F$179-'Resale flat dataset (DV)'!P164)^2), 0))</f>
        <v>GEYLANG BAHRU MRT STATION</v>
      </c>
      <c r="R164" s="38" t="str" cm="1">
        <f t="array" ref="R164">INDEX('Mall Dataset'!$B$3:$B$157, MATCH(MIN(SQRT(('Mall Dataset'!$E$3:$E$157-'Resale flat dataset (DV)'!O164)^2+('Mall Dataset'!$F$3:$F$157-'Resale flat dataset (DV)'!P164)^2)), SQRT(('Mall Dataset'!$E$3:$E$157-'Resale flat dataset (DV)'!O164)^2+('Mall Dataset'!$F$3:$F$157-'Resale flat dataset (DV)'!P164)^2), 0))</f>
        <v>The Poiz</v>
      </c>
      <c r="S164" s="38" t="str" cm="1">
        <f t="array" ref="S164">INDEX('Schools dataset'!$B$3:$B$187, MATCH(MIN(SQRT(('Schools dataset'!$J$3:$J$187-'Resale flat dataset (DV)'!O164)^2+('Schools dataset'!$K$3:$K$187-'Resale flat dataset (DV)'!P164)^2)), SQRT(('Schools dataset'!$J$3:$J$187-'Resale flat dataset (DV)'!O164)^2+('Schools dataset'!$K$3:$K$187-'Resale flat dataset (DV)'!P164)^2), 0))</f>
        <v>BENDEMEER PRIMARY SCHOOL</v>
      </c>
      <c r="T164" s="39">
        <f>ACOS(COS(RADIANS(90-O164))*COS(RADIANS(90-_xlfn.XLOOKUP(Q164,'MRT station dataset'!$C$3:$C$179,'MRT station dataset'!$E$3:$E$179)))+SIN(RADIANS(90-O164))*SIN(RADIANS(90-_xlfn.XLOOKUP(Q164,'MRT station dataset'!$C$3:$C$179,'MRT station dataset'!$E$3:$E$179)))*COS(RADIANS(P164-_xlfn.XLOOKUP('Resale flat dataset (DV)'!Q164,'MRT station dataset'!$C$3:$C$179,'MRT station dataset'!$F$3:$F$179))))*6371*1000</f>
        <v>380.7263747785554</v>
      </c>
      <c r="U164" s="39">
        <f>ACOS(COS(RADIANS(90-O164))*COS(RADIANS(90-_xlfn.XLOOKUP(R164,'Mall Dataset'!$B$3:$B$157,'Mall Dataset'!$E$3:$E$157,,0)))+SIN(RADIANS(90-O164))*SIN(RADIANS(90-_xlfn.XLOOKUP(R164,'Mall Dataset'!$B$3:$B$157,'Mall Dataset'!$E$3:$E$157,,0)))*COS(RADIANS(P164-_xlfn.XLOOKUP(R164,'Mall Dataset'!$B$3:$B$157,'Mall Dataset'!$F$3:$F$157,,0))))*6371*1000</f>
        <v>945.54738564575609</v>
      </c>
      <c r="V164" s="39">
        <f>ACOS(COS(RADIANS(90-O164))*COS(RADIANS(90-_xlfn.XLOOKUP(S164,'Schools dataset'!$B$3:$B$187,'Schools dataset'!$J$3:$J$187,,0)))+SIN(RADIANS(90-O164))*SIN(RADIANS(90-_xlfn.XLOOKUP(S164,'Schools dataset'!$B$3:$B$187,'Schools dataset'!$J$3:$J$187,,0)))*COS(RADIANS(P164-_xlfn.XLOOKUP(S164,'Schools dataset'!$B$3:$B$187,'Schools dataset'!$K$3:$K$187,,0))))*6371*1000</f>
        <v>504.87914264537005</v>
      </c>
      <c r="W164" s="20">
        <f>_xlfn.XLOOKUP(T164,'HDB Recommender'!$P$10:$P$39,'HDB Recommender'!$Q$10:$Q$39,"&gt;30mins",1)</f>
        <v>6</v>
      </c>
      <c r="X164" s="20">
        <f>_xlfn.XLOOKUP(U164,'HDB Recommender'!$P$10:$P$39,'HDB Recommender'!$Q$10:$Q$39,"&gt;30mins",1)</f>
        <v>13</v>
      </c>
      <c r="Y164" s="20">
        <f>_xlfn.XLOOKUP(V164,'HDB Recommender'!$P$10:$P$39,'HDB Recommender'!$Q$10:$Q$39,"&gt;30mins",1)</f>
        <v>7</v>
      </c>
      <c r="Z164" s="39">
        <f t="shared" si="4"/>
        <v>8.6666666666666661</v>
      </c>
      <c r="AA164" s="20" t="str">
        <f t="shared" si="5"/>
        <v>Within 1km</v>
      </c>
    </row>
    <row r="165" spans="2:27">
      <c r="B165" s="35" t="s">
        <v>317</v>
      </c>
      <c r="C165" s="35" t="s">
        <v>603</v>
      </c>
      <c r="D165" s="35" t="s">
        <v>318</v>
      </c>
      <c r="E165" s="35">
        <v>73</v>
      </c>
      <c r="F165" s="35" t="s">
        <v>604</v>
      </c>
      <c r="G165" s="35" t="s">
        <v>349</v>
      </c>
      <c r="H165" s="35">
        <v>59</v>
      </c>
      <c r="I165" s="35" t="s">
        <v>326</v>
      </c>
      <c r="J165" s="36">
        <v>1974</v>
      </c>
      <c r="K165" s="39">
        <v>49.5</v>
      </c>
      <c r="L165" s="37">
        <v>330000</v>
      </c>
      <c r="M165" s="35" t="s">
        <v>606</v>
      </c>
      <c r="N165" s="27">
        <v>330073</v>
      </c>
      <c r="O165" s="38">
        <v>1.32264236942866</v>
      </c>
      <c r="P165" s="38">
        <v>103.870596516216</v>
      </c>
      <c r="Q165" s="38" t="str" cm="1">
        <f t="array" ref="Q165">INDEX('MRT station dataset'!$C$3:$C$179, MATCH(MIN(SQRT(('MRT station dataset'!$E$3:$E$179-'Resale flat dataset (DV)'!O165)^2+('MRT station dataset'!$F$3:$F$179-'Resale flat dataset (DV)'!P165)^2)), SQRT(('MRT station dataset'!$E$3:$E$179-'Resale flat dataset (DV)'!O165)^2+('MRT station dataset'!$F$3:$F$179-'Resale flat dataset (DV)'!P165)^2), 0))</f>
        <v>GEYLANG BAHRU MRT STATION</v>
      </c>
      <c r="R165" s="38" t="str" cm="1">
        <f t="array" ref="R165">INDEX('Mall Dataset'!$B$3:$B$157, MATCH(MIN(SQRT(('Mall Dataset'!$E$3:$E$157-'Resale flat dataset (DV)'!O165)^2+('Mall Dataset'!$F$3:$F$157-'Resale flat dataset (DV)'!P165)^2)), SQRT(('Mall Dataset'!$E$3:$E$157-'Resale flat dataset (DV)'!O165)^2+('Mall Dataset'!$F$3:$F$157-'Resale flat dataset (DV)'!P165)^2), 0))</f>
        <v>The Poiz</v>
      </c>
      <c r="S165" s="38" t="str" cm="1">
        <f t="array" ref="S165">INDEX('Schools dataset'!$B$3:$B$187, MATCH(MIN(SQRT(('Schools dataset'!$J$3:$J$187-'Resale flat dataset (DV)'!O165)^2+('Schools dataset'!$K$3:$K$187-'Resale flat dataset (DV)'!P165)^2)), SQRT(('Schools dataset'!$J$3:$J$187-'Resale flat dataset (DV)'!O165)^2+('Schools dataset'!$K$3:$K$187-'Resale flat dataset (DV)'!P165)^2), 0))</f>
        <v>BENDEMEER PRIMARY SCHOOL</v>
      </c>
      <c r="T165" s="39">
        <f>ACOS(COS(RADIANS(90-O165))*COS(RADIANS(90-_xlfn.XLOOKUP(Q165,'MRT station dataset'!$C$3:$C$179,'MRT station dataset'!$E$3:$E$179)))+SIN(RADIANS(90-O165))*SIN(RADIANS(90-_xlfn.XLOOKUP(Q165,'MRT station dataset'!$C$3:$C$179,'MRT station dataset'!$E$3:$E$179)))*COS(RADIANS(P165-_xlfn.XLOOKUP('Resale flat dataset (DV)'!Q165,'MRT station dataset'!$C$3:$C$179,'MRT station dataset'!$F$3:$F$179))))*6371*1000</f>
        <v>192.69707108800117</v>
      </c>
      <c r="U165" s="39">
        <f>ACOS(COS(RADIANS(90-O165))*COS(RADIANS(90-_xlfn.XLOOKUP(R165,'Mall Dataset'!$B$3:$B$157,'Mall Dataset'!$E$3:$E$157,,0)))+SIN(RADIANS(90-O165))*SIN(RADIANS(90-_xlfn.XLOOKUP(R165,'Mall Dataset'!$B$3:$B$157,'Mall Dataset'!$E$3:$E$157,,0)))*COS(RADIANS(P165-_xlfn.XLOOKUP(R165,'Mall Dataset'!$B$3:$B$157,'Mall Dataset'!$F$3:$F$157,,0))))*6371*1000</f>
        <v>1065.5405568401654</v>
      </c>
      <c r="V165" s="39">
        <f>ACOS(COS(RADIANS(90-O165))*COS(RADIANS(90-_xlfn.XLOOKUP(S165,'Schools dataset'!$B$3:$B$187,'Schools dataset'!$J$3:$J$187,,0)))+SIN(RADIANS(90-O165))*SIN(RADIANS(90-_xlfn.XLOOKUP(S165,'Schools dataset'!$B$3:$B$187,'Schools dataset'!$J$3:$J$187,,0)))*COS(RADIANS(P165-_xlfn.XLOOKUP(S165,'Schools dataset'!$B$3:$B$187,'Schools dataset'!$K$3:$K$187,,0))))*6371*1000</f>
        <v>653.80280726876822</v>
      </c>
      <c r="W165" s="20">
        <f>_xlfn.XLOOKUP(T165,'HDB Recommender'!$P$10:$P$39,'HDB Recommender'!$Q$10:$Q$39,"&gt;30mins",1)</f>
        <v>3</v>
      </c>
      <c r="X165" s="20">
        <f>_xlfn.XLOOKUP(U165,'HDB Recommender'!$P$10:$P$39,'HDB Recommender'!$Q$10:$Q$39,"&gt;30mins",1)</f>
        <v>15</v>
      </c>
      <c r="Y165" s="20">
        <f>_xlfn.XLOOKUP(V165,'HDB Recommender'!$P$10:$P$39,'HDB Recommender'!$Q$10:$Q$39,"&gt;30mins",1)</f>
        <v>9</v>
      </c>
      <c r="Z165" s="39">
        <f t="shared" si="4"/>
        <v>9</v>
      </c>
      <c r="AA165" s="20" t="str">
        <f t="shared" si="5"/>
        <v>Within 1km</v>
      </c>
    </row>
    <row r="166" spans="2:27">
      <c r="B166" s="35" t="s">
        <v>317</v>
      </c>
      <c r="C166" s="35" t="s">
        <v>603</v>
      </c>
      <c r="D166" s="35" t="s">
        <v>318</v>
      </c>
      <c r="E166" s="35">
        <v>2</v>
      </c>
      <c r="F166" s="35" t="s">
        <v>607</v>
      </c>
      <c r="G166" s="35" t="s">
        <v>189</v>
      </c>
      <c r="H166" s="35">
        <v>60</v>
      </c>
      <c r="I166" s="35" t="s">
        <v>342</v>
      </c>
      <c r="J166" s="36">
        <v>1969</v>
      </c>
      <c r="K166" s="39">
        <v>44.3333333333333</v>
      </c>
      <c r="L166" s="37">
        <v>333000</v>
      </c>
      <c r="M166" s="35" t="s">
        <v>608</v>
      </c>
      <c r="N166" s="27">
        <v>431002</v>
      </c>
      <c r="O166" s="38">
        <v>1.33602354180577</v>
      </c>
      <c r="P166" s="38">
        <v>103.788130899552</v>
      </c>
      <c r="Q166" s="38" t="str" cm="1">
        <f t="array" ref="Q166">INDEX('MRT station dataset'!$C$3:$C$179, MATCH(MIN(SQRT(('MRT station dataset'!$E$3:$E$179-'Resale flat dataset (DV)'!O166)^2+('MRT station dataset'!$F$3:$F$179-'Resale flat dataset (DV)'!P166)^2)), SQRT(('MRT station dataset'!$E$3:$E$179-'Resale flat dataset (DV)'!O166)^2+('MRT station dataset'!$F$3:$F$179-'Resale flat dataset (DV)'!P166)^2), 0))</f>
        <v>KING ALBERT PARK MRT STATION</v>
      </c>
      <c r="R166" s="38" t="str" cm="1">
        <f t="array" ref="R166">INDEX('Mall Dataset'!$B$3:$B$157, MATCH(MIN(SQRT(('Mall Dataset'!$E$3:$E$157-'Resale flat dataset (DV)'!O166)^2+('Mall Dataset'!$F$3:$F$157-'Resale flat dataset (DV)'!P166)^2)), SQRT(('Mall Dataset'!$E$3:$E$157-'Resale flat dataset (DV)'!O166)^2+('Mall Dataset'!$F$3:$F$157-'Resale flat dataset (DV)'!P166)^2), 0))</f>
        <v>Bukit Timah Plaza</v>
      </c>
      <c r="S166" s="38" t="str" cm="1">
        <f t="array" ref="S166">INDEX('Schools dataset'!$B$3:$B$187, MATCH(MIN(SQRT(('Schools dataset'!$J$3:$J$187-'Resale flat dataset (DV)'!O166)^2+('Schools dataset'!$K$3:$K$187-'Resale flat dataset (DV)'!P166)^2)), SQRT(('Schools dataset'!$J$3:$J$187-'Resale flat dataset (DV)'!O166)^2+('Schools dataset'!$K$3:$K$187-'Resale flat dataset (DV)'!P166)^2), 0))</f>
        <v>METHODIST GIRLS' SCHOOL (PRIMARY)</v>
      </c>
      <c r="T166" s="39">
        <f>ACOS(COS(RADIANS(90-O166))*COS(RADIANS(90-_xlfn.XLOOKUP(Q166,'MRT station dataset'!$C$3:$C$179,'MRT station dataset'!$E$3:$E$179)))+SIN(RADIANS(90-O166))*SIN(RADIANS(90-_xlfn.XLOOKUP(Q166,'MRT station dataset'!$C$3:$C$179,'MRT station dataset'!$E$3:$E$179)))*COS(RADIANS(P166-_xlfn.XLOOKUP('Resale flat dataset (DV)'!Q166,'MRT station dataset'!$C$3:$C$179,'MRT station dataset'!$F$3:$F$179))))*6371*1000</f>
        <v>482.785465686137</v>
      </c>
      <c r="U166" s="39">
        <f>ACOS(COS(RADIANS(90-O166))*COS(RADIANS(90-_xlfn.XLOOKUP(R166,'Mall Dataset'!$B$3:$B$157,'Mall Dataset'!$E$3:$E$157,,0)))+SIN(RADIANS(90-O166))*SIN(RADIANS(90-_xlfn.XLOOKUP(R166,'Mall Dataset'!$B$3:$B$157,'Mall Dataset'!$E$3:$E$157,,0)))*COS(RADIANS(P166-_xlfn.XLOOKUP(R166,'Mall Dataset'!$B$3:$B$157,'Mall Dataset'!$F$3:$F$157,,0))))*6371*1000</f>
        <v>1100.0353025600302</v>
      </c>
      <c r="V166" s="39">
        <f>ACOS(COS(RADIANS(90-O166))*COS(RADIANS(90-_xlfn.XLOOKUP(S166,'Schools dataset'!$B$3:$B$187,'Schools dataset'!$J$3:$J$187,,0)))+SIN(RADIANS(90-O166))*SIN(RADIANS(90-_xlfn.XLOOKUP(S166,'Schools dataset'!$B$3:$B$187,'Schools dataset'!$J$3:$J$187,,0)))*COS(RADIANS(P166-_xlfn.XLOOKUP(S166,'Schools dataset'!$B$3:$B$187,'Schools dataset'!$K$3:$K$187,,0))))*6371*1000</f>
        <v>646.82371171140949</v>
      </c>
      <c r="W166" s="20">
        <f>_xlfn.XLOOKUP(T166,'HDB Recommender'!$P$10:$P$39,'HDB Recommender'!$Q$10:$Q$39,"&gt;30mins",1)</f>
        <v>7</v>
      </c>
      <c r="X166" s="20">
        <f>_xlfn.XLOOKUP(U166,'HDB Recommender'!$P$10:$P$39,'HDB Recommender'!$Q$10:$Q$39,"&gt;30mins",1)</f>
        <v>15</v>
      </c>
      <c r="Y166" s="20">
        <f>_xlfn.XLOOKUP(V166,'HDB Recommender'!$P$10:$P$39,'HDB Recommender'!$Q$10:$Q$39,"&gt;30mins",1)</f>
        <v>9</v>
      </c>
      <c r="Z166" s="39">
        <f t="shared" si="4"/>
        <v>10.333333333333334</v>
      </c>
      <c r="AA166" s="20" t="str">
        <f t="shared" si="5"/>
        <v>Within 1km</v>
      </c>
    </row>
    <row r="167" spans="2:27">
      <c r="B167" s="35" t="s">
        <v>317</v>
      </c>
      <c r="C167" s="35" t="s">
        <v>603</v>
      </c>
      <c r="D167" s="35" t="s">
        <v>318</v>
      </c>
      <c r="E167" s="35">
        <v>5</v>
      </c>
      <c r="F167" s="35" t="s">
        <v>607</v>
      </c>
      <c r="G167" s="35" t="s">
        <v>191</v>
      </c>
      <c r="H167" s="35">
        <v>60</v>
      </c>
      <c r="I167" s="35" t="s">
        <v>342</v>
      </c>
      <c r="J167" s="36">
        <v>1969</v>
      </c>
      <c r="K167" s="39">
        <v>44.3333333333333</v>
      </c>
      <c r="L167" s="37">
        <v>300000</v>
      </c>
      <c r="M167" s="35" t="s">
        <v>609</v>
      </c>
      <c r="N167" s="27">
        <v>431005</v>
      </c>
      <c r="O167" s="38">
        <v>1.33569255382966</v>
      </c>
      <c r="P167" s="38">
        <v>103.787919120925</v>
      </c>
      <c r="Q167" s="38" t="str" cm="1">
        <f t="array" ref="Q167">INDEX('MRT station dataset'!$C$3:$C$179, MATCH(MIN(SQRT(('MRT station dataset'!$E$3:$E$179-'Resale flat dataset (DV)'!O167)^2+('MRT station dataset'!$F$3:$F$179-'Resale flat dataset (DV)'!P167)^2)), SQRT(('MRT station dataset'!$E$3:$E$179-'Resale flat dataset (DV)'!O167)^2+('MRT station dataset'!$F$3:$F$179-'Resale flat dataset (DV)'!P167)^2), 0))</f>
        <v>KING ALBERT PARK MRT STATION</v>
      </c>
      <c r="R167" s="38" t="str" cm="1">
        <f t="array" ref="R167">INDEX('Mall Dataset'!$B$3:$B$157, MATCH(MIN(SQRT(('Mall Dataset'!$E$3:$E$157-'Resale flat dataset (DV)'!O167)^2+('Mall Dataset'!$F$3:$F$157-'Resale flat dataset (DV)'!P167)^2)), SQRT(('Mall Dataset'!$E$3:$E$157-'Resale flat dataset (DV)'!O167)^2+('Mall Dataset'!$F$3:$F$157-'Resale flat dataset (DV)'!P167)^2), 0))</f>
        <v>Bukit Timah Plaza</v>
      </c>
      <c r="S167" s="38" t="str" cm="1">
        <f t="array" ref="S167">INDEX('Schools dataset'!$B$3:$B$187, MATCH(MIN(SQRT(('Schools dataset'!$J$3:$J$187-'Resale flat dataset (DV)'!O167)^2+('Schools dataset'!$K$3:$K$187-'Resale flat dataset (DV)'!P167)^2)), SQRT(('Schools dataset'!$J$3:$J$187-'Resale flat dataset (DV)'!O167)^2+('Schools dataset'!$K$3:$K$187-'Resale flat dataset (DV)'!P167)^2), 0))</f>
        <v>METHODIST GIRLS' SCHOOL (PRIMARY)</v>
      </c>
      <c r="T167" s="39">
        <f>ACOS(COS(RADIANS(90-O167))*COS(RADIANS(90-_xlfn.XLOOKUP(Q167,'MRT station dataset'!$C$3:$C$179,'MRT station dataset'!$E$3:$E$179)))+SIN(RADIANS(90-O167))*SIN(RADIANS(90-_xlfn.XLOOKUP(Q167,'MRT station dataset'!$C$3:$C$179,'MRT station dataset'!$E$3:$E$179)))*COS(RADIANS(P167-_xlfn.XLOOKUP('Resale flat dataset (DV)'!Q167,'MRT station dataset'!$C$3:$C$179,'MRT station dataset'!$F$3:$F$179))))*6371*1000</f>
        <v>457.90163052744572</v>
      </c>
      <c r="U167" s="39">
        <f>ACOS(COS(RADIANS(90-O167))*COS(RADIANS(90-_xlfn.XLOOKUP(R167,'Mall Dataset'!$B$3:$B$157,'Mall Dataset'!$E$3:$E$157,,0)))+SIN(RADIANS(90-O167))*SIN(RADIANS(90-_xlfn.XLOOKUP(R167,'Mall Dataset'!$B$3:$B$157,'Mall Dataset'!$E$3:$E$157,,0)))*COS(RADIANS(P167-_xlfn.XLOOKUP(R167,'Mall Dataset'!$B$3:$B$157,'Mall Dataset'!$F$3:$F$157,,0))))*6371*1000</f>
        <v>1087.8287219419201</v>
      </c>
      <c r="V167" s="39">
        <f>ACOS(COS(RADIANS(90-O167))*COS(RADIANS(90-_xlfn.XLOOKUP(S167,'Schools dataset'!$B$3:$B$187,'Schools dataset'!$J$3:$J$187,,0)))+SIN(RADIANS(90-O167))*SIN(RADIANS(90-_xlfn.XLOOKUP(S167,'Schools dataset'!$B$3:$B$187,'Schools dataset'!$J$3:$J$187,,0)))*COS(RADIANS(P167-_xlfn.XLOOKUP(S167,'Schools dataset'!$B$3:$B$187,'Schools dataset'!$K$3:$K$187,,0))))*6371*1000</f>
        <v>606.56506626573071</v>
      </c>
      <c r="W167" s="20">
        <f>_xlfn.XLOOKUP(T167,'HDB Recommender'!$P$10:$P$39,'HDB Recommender'!$Q$10:$Q$39,"&gt;30mins",1)</f>
        <v>7</v>
      </c>
      <c r="X167" s="20">
        <f>_xlfn.XLOOKUP(U167,'HDB Recommender'!$P$10:$P$39,'HDB Recommender'!$Q$10:$Q$39,"&gt;30mins",1)</f>
        <v>15</v>
      </c>
      <c r="Y167" s="20">
        <f>_xlfn.XLOOKUP(V167,'HDB Recommender'!$P$10:$P$39,'HDB Recommender'!$Q$10:$Q$39,"&gt;30mins",1)</f>
        <v>9</v>
      </c>
      <c r="Z167" s="39">
        <f t="shared" si="4"/>
        <v>10.333333333333334</v>
      </c>
      <c r="AA167" s="20" t="str">
        <f t="shared" si="5"/>
        <v>Within 1km</v>
      </c>
    </row>
    <row r="168" spans="2:27">
      <c r="B168" s="35" t="s">
        <v>317</v>
      </c>
      <c r="C168" s="35" t="s">
        <v>603</v>
      </c>
      <c r="D168" s="35" t="s">
        <v>318</v>
      </c>
      <c r="E168" s="35">
        <v>14</v>
      </c>
      <c r="F168" s="35" t="s">
        <v>610</v>
      </c>
      <c r="G168" s="35" t="s">
        <v>189</v>
      </c>
      <c r="H168" s="35">
        <v>67</v>
      </c>
      <c r="I168" s="35" t="s">
        <v>320</v>
      </c>
      <c r="J168" s="36">
        <v>1984</v>
      </c>
      <c r="K168" s="39">
        <v>60.1666666666666</v>
      </c>
      <c r="L168" s="37">
        <v>385000</v>
      </c>
      <c r="M168" s="35" t="s">
        <v>611</v>
      </c>
      <c r="N168" s="27">
        <v>320014</v>
      </c>
      <c r="O168" s="38">
        <v>1.32372959519736</v>
      </c>
      <c r="P168" s="38">
        <v>103.862088437214</v>
      </c>
      <c r="Q168" s="38" t="str" cm="1">
        <f t="array" ref="Q168">INDEX('MRT station dataset'!$C$3:$C$179, MATCH(MIN(SQRT(('MRT station dataset'!$E$3:$E$179-'Resale flat dataset (DV)'!O168)^2+('MRT station dataset'!$F$3:$F$179-'Resale flat dataset (DV)'!P168)^2)), SQRT(('MRT station dataset'!$E$3:$E$179-'Resale flat dataset (DV)'!O168)^2+('MRT station dataset'!$F$3:$F$179-'Resale flat dataset (DV)'!P168)^2), 0))</f>
        <v>BOON KENG MRT STATION</v>
      </c>
      <c r="R168" s="38" t="str" cm="1">
        <f t="array" ref="R168">INDEX('Mall Dataset'!$B$3:$B$157, MATCH(MIN(SQRT(('Mall Dataset'!$E$3:$E$157-'Resale flat dataset (DV)'!O168)^2+('Mall Dataset'!$F$3:$F$157-'Resale flat dataset (DV)'!P168)^2)), SQRT(('Mall Dataset'!$E$3:$E$157-'Resale flat dataset (DV)'!O168)^2+('Mall Dataset'!$F$3:$F$157-'Resale flat dataset (DV)'!P168)^2), 0))</f>
        <v>The Poiz</v>
      </c>
      <c r="S168" s="38" t="str" cm="1">
        <f t="array" ref="S168">INDEX('Schools dataset'!$B$3:$B$187, MATCH(MIN(SQRT(('Schools dataset'!$J$3:$J$187-'Resale flat dataset (DV)'!O168)^2+('Schools dataset'!$K$3:$K$187-'Resale flat dataset (DV)'!P168)^2)), SQRT(('Schools dataset'!$J$3:$J$187-'Resale flat dataset (DV)'!O168)^2+('Schools dataset'!$K$3:$K$187-'Resale flat dataset (DV)'!P168)^2), 0))</f>
        <v>BENDEMEER PRIMARY SCHOOL</v>
      </c>
      <c r="T168" s="39">
        <f>ACOS(COS(RADIANS(90-O168))*COS(RADIANS(90-_xlfn.XLOOKUP(Q168,'MRT station dataset'!$C$3:$C$179,'MRT station dataset'!$E$3:$E$179)))+SIN(RADIANS(90-O168))*SIN(RADIANS(90-_xlfn.XLOOKUP(Q168,'MRT station dataset'!$C$3:$C$179,'MRT station dataset'!$E$3:$E$179)))*COS(RADIANS(P168-_xlfn.XLOOKUP('Resale flat dataset (DV)'!Q168,'MRT station dataset'!$C$3:$C$179,'MRT station dataset'!$F$3:$F$179))))*6371*1000</f>
        <v>483.36164096960954</v>
      </c>
      <c r="U168" s="39">
        <f>ACOS(COS(RADIANS(90-O168))*COS(RADIANS(90-_xlfn.XLOOKUP(R168,'Mall Dataset'!$B$3:$B$157,'Mall Dataset'!$E$3:$E$157,,0)))+SIN(RADIANS(90-O168))*SIN(RADIANS(90-_xlfn.XLOOKUP(R168,'Mall Dataset'!$B$3:$B$157,'Mall Dataset'!$E$3:$E$157,,0)))*COS(RADIANS(P168-_xlfn.XLOOKUP(R168,'Mall Dataset'!$B$3:$B$157,'Mall Dataset'!$F$3:$F$157,,0))))*6371*1000</f>
        <v>1176.8152173270137</v>
      </c>
      <c r="V168" s="39">
        <f>ACOS(COS(RADIANS(90-O168))*COS(RADIANS(90-_xlfn.XLOOKUP(S168,'Schools dataset'!$B$3:$B$187,'Schools dataset'!$J$3:$J$187,,0)))+SIN(RADIANS(90-O168))*SIN(RADIANS(90-_xlfn.XLOOKUP(S168,'Schools dataset'!$B$3:$B$187,'Schools dataset'!$J$3:$J$187,,0)))*COS(RADIANS(P168-_xlfn.XLOOKUP(S168,'Schools dataset'!$B$3:$B$187,'Schools dataset'!$K$3:$K$187,,0))))*6371*1000</f>
        <v>320.41847274875977</v>
      </c>
      <c r="W168" s="20">
        <f>_xlfn.XLOOKUP(T168,'HDB Recommender'!$P$10:$P$39,'HDB Recommender'!$Q$10:$Q$39,"&gt;30mins",1)</f>
        <v>7</v>
      </c>
      <c r="X168" s="20">
        <f>_xlfn.XLOOKUP(U168,'HDB Recommender'!$P$10:$P$39,'HDB Recommender'!$Q$10:$Q$39,"&gt;30mins",1)</f>
        <v>16</v>
      </c>
      <c r="Y168" s="20">
        <f>_xlfn.XLOOKUP(V168,'HDB Recommender'!$P$10:$P$39,'HDB Recommender'!$Q$10:$Q$39,"&gt;30mins",1)</f>
        <v>5</v>
      </c>
      <c r="Z168" s="39">
        <f t="shared" si="4"/>
        <v>9.3333333333333339</v>
      </c>
      <c r="AA168" s="20" t="str">
        <f t="shared" si="5"/>
        <v>Within 1km</v>
      </c>
    </row>
    <row r="169" spans="2:27">
      <c r="B169" s="35" t="s">
        <v>317</v>
      </c>
      <c r="C169" s="35" t="s">
        <v>603</v>
      </c>
      <c r="D169" s="35" t="s">
        <v>318</v>
      </c>
      <c r="E169" s="35">
        <v>16</v>
      </c>
      <c r="F169" s="35" t="s">
        <v>612</v>
      </c>
      <c r="G169" s="35" t="s">
        <v>346</v>
      </c>
      <c r="H169" s="35">
        <v>65</v>
      </c>
      <c r="I169" s="35" t="s">
        <v>326</v>
      </c>
      <c r="J169" s="36">
        <v>1975</v>
      </c>
      <c r="K169" s="39">
        <v>50.4166666666666</v>
      </c>
      <c r="L169" s="37">
        <v>380000</v>
      </c>
      <c r="M169" s="35" t="s">
        <v>613</v>
      </c>
      <c r="N169" s="27">
        <v>380016</v>
      </c>
      <c r="O169" s="38">
        <v>1.3154317581728301</v>
      </c>
      <c r="P169" s="38">
        <v>103.871651573593</v>
      </c>
      <c r="Q169" s="38" t="str" cm="1">
        <f t="array" ref="Q169">INDEX('MRT station dataset'!$C$3:$C$179, MATCH(MIN(SQRT(('MRT station dataset'!$E$3:$E$179-'Resale flat dataset (DV)'!O169)^2+('MRT station dataset'!$F$3:$F$179-'Resale flat dataset (DV)'!P169)^2)), SQRT(('MRT station dataset'!$E$3:$E$179-'Resale flat dataset (DV)'!O169)^2+('MRT station dataset'!$F$3:$F$179-'Resale flat dataset (DV)'!P169)^2), 0))</f>
        <v>KALLANG MRT STATION</v>
      </c>
      <c r="R169" s="38" t="str" cm="1">
        <f t="array" ref="R169">INDEX('Mall Dataset'!$B$3:$B$157, MATCH(MIN(SQRT(('Mall Dataset'!$E$3:$E$157-'Resale flat dataset (DV)'!O169)^2+('Mall Dataset'!$F$3:$F$157-'Resale flat dataset (DV)'!P169)^2)), SQRT(('Mall Dataset'!$E$3:$E$157-'Resale flat dataset (DV)'!O169)^2+('Mall Dataset'!$F$3:$F$157-'Resale flat dataset (DV)'!P169)^2), 0))</f>
        <v>Aperia</v>
      </c>
      <c r="S169" s="38" t="str" cm="1">
        <f t="array" ref="S169">INDEX('Schools dataset'!$B$3:$B$187, MATCH(MIN(SQRT(('Schools dataset'!$J$3:$J$187-'Resale flat dataset (DV)'!O169)^2+('Schools dataset'!$K$3:$K$187-'Resale flat dataset (DV)'!P169)^2)), SQRT(('Schools dataset'!$J$3:$J$187-'Resale flat dataset (DV)'!O169)^2+('Schools dataset'!$K$3:$K$187-'Resale flat dataset (DV)'!P169)^2), 0))</f>
        <v>BENDEMEER PRIMARY SCHOOL</v>
      </c>
      <c r="T169" s="39">
        <f>ACOS(COS(RADIANS(90-O169))*COS(RADIANS(90-_xlfn.XLOOKUP(Q169,'MRT station dataset'!$C$3:$C$179,'MRT station dataset'!$E$3:$E$179)))+SIN(RADIANS(90-O169))*SIN(RADIANS(90-_xlfn.XLOOKUP(Q169,'MRT station dataset'!$C$3:$C$179,'MRT station dataset'!$E$3:$E$179)))*COS(RADIANS(P169-_xlfn.XLOOKUP('Resale flat dataset (DV)'!Q169,'MRT station dataset'!$C$3:$C$179,'MRT station dataset'!$F$3:$F$179))))*6371*1000</f>
        <v>438.08512248472044</v>
      </c>
      <c r="U169" s="39">
        <f>ACOS(COS(RADIANS(90-O169))*COS(RADIANS(90-_xlfn.XLOOKUP(R169,'Mall Dataset'!$B$3:$B$157,'Mall Dataset'!$E$3:$E$157,,0)))+SIN(RADIANS(90-O169))*SIN(RADIANS(90-_xlfn.XLOOKUP(R169,'Mall Dataset'!$B$3:$B$157,'Mall Dataset'!$E$3:$E$157,,0)))*COS(RADIANS(P169-_xlfn.XLOOKUP(R169,'Mall Dataset'!$B$3:$B$157,'Mall Dataset'!$F$3:$F$157,,0))))*6371*1000</f>
        <v>984.59858161338309</v>
      </c>
      <c r="V169" s="39">
        <f>ACOS(COS(RADIANS(90-O169))*COS(RADIANS(90-_xlfn.XLOOKUP(S169,'Schools dataset'!$B$3:$B$187,'Schools dataset'!$J$3:$J$187,,0)))+SIN(RADIANS(90-O169))*SIN(RADIANS(90-_xlfn.XLOOKUP(S169,'Schools dataset'!$B$3:$B$187,'Schools dataset'!$J$3:$J$187,,0)))*COS(RADIANS(P169-_xlfn.XLOOKUP(S169,'Schools dataset'!$B$3:$B$187,'Schools dataset'!$K$3:$K$187,,0))))*6371*1000</f>
        <v>1104.5573796217882</v>
      </c>
      <c r="W169" s="20">
        <f>_xlfn.XLOOKUP(T169,'HDB Recommender'!$P$10:$P$39,'HDB Recommender'!$Q$10:$Q$39,"&gt;30mins",1)</f>
        <v>6</v>
      </c>
      <c r="X169" s="20">
        <f>_xlfn.XLOOKUP(U169,'HDB Recommender'!$P$10:$P$39,'HDB Recommender'!$Q$10:$Q$39,"&gt;30mins",1)</f>
        <v>14</v>
      </c>
      <c r="Y169" s="20">
        <f>_xlfn.XLOOKUP(V169,'HDB Recommender'!$P$10:$P$39,'HDB Recommender'!$Q$10:$Q$39,"&gt;30mins",1)</f>
        <v>15</v>
      </c>
      <c r="Z169" s="39">
        <f t="shared" si="4"/>
        <v>11.666666666666666</v>
      </c>
      <c r="AA169" s="20" t="str">
        <f t="shared" si="5"/>
        <v>between 1km and 2km</v>
      </c>
    </row>
    <row r="170" spans="2:27">
      <c r="B170" s="35" t="s">
        <v>317</v>
      </c>
      <c r="C170" s="35" t="s">
        <v>603</v>
      </c>
      <c r="D170" s="35" t="s">
        <v>20</v>
      </c>
      <c r="E170" s="35"/>
      <c r="F170" s="35" t="s">
        <v>612</v>
      </c>
      <c r="G170" s="35" t="s">
        <v>349</v>
      </c>
      <c r="H170" s="35">
        <v>90</v>
      </c>
      <c r="I170" s="35" t="s">
        <v>335</v>
      </c>
      <c r="J170" s="36">
        <v>2006</v>
      </c>
      <c r="K170" s="39">
        <v>82.0833333333333</v>
      </c>
      <c r="L170" s="37">
        <v>730000</v>
      </c>
      <c r="M170" s="35" t="s">
        <v>614</v>
      </c>
      <c r="N170" s="27">
        <v>383002</v>
      </c>
      <c r="O170" s="38">
        <v>1.3131279690447999</v>
      </c>
      <c r="P170" s="38">
        <v>103.871737005665</v>
      </c>
      <c r="Q170" s="38" t="str" cm="1">
        <f t="array" ref="Q170">INDEX('MRT station dataset'!$C$3:$C$179, MATCH(MIN(SQRT(('MRT station dataset'!$E$3:$E$179-'Resale flat dataset (DV)'!O170)^2+('MRT station dataset'!$F$3:$F$179-'Resale flat dataset (DV)'!P170)^2)), SQRT(('MRT station dataset'!$E$3:$E$179-'Resale flat dataset (DV)'!O170)^2+('MRT station dataset'!$F$3:$F$179-'Resale flat dataset (DV)'!P170)^2), 0))</f>
        <v>KALLANG MRT STATION</v>
      </c>
      <c r="R170" s="38" t="str" cm="1">
        <f t="array" ref="R170">INDEX('Mall Dataset'!$B$3:$B$157, MATCH(MIN(SQRT(('Mall Dataset'!$E$3:$E$157-'Resale flat dataset (DV)'!O170)^2+('Mall Dataset'!$F$3:$F$157-'Resale flat dataset (DV)'!P170)^2)), SQRT(('Mall Dataset'!$E$3:$E$157-'Resale flat dataset (DV)'!O170)^2+('Mall Dataset'!$F$3:$F$157-'Resale flat dataset (DV)'!P170)^2), 0))</f>
        <v>Aperia</v>
      </c>
      <c r="S170" s="38" t="str" cm="1">
        <f t="array" ref="S170">INDEX('Schools dataset'!$B$3:$B$187, MATCH(MIN(SQRT(('Schools dataset'!$J$3:$J$187-'Resale flat dataset (DV)'!O170)^2+('Schools dataset'!$K$3:$K$187-'Resale flat dataset (DV)'!P170)^2)), SQRT(('Schools dataset'!$J$3:$J$187-'Resale flat dataset (DV)'!O170)^2+('Schools dataset'!$K$3:$K$187-'Resale flat dataset (DV)'!P170)^2), 0))</f>
        <v>BENDEMEER PRIMARY SCHOOL</v>
      </c>
      <c r="T170" s="39">
        <f>ACOS(COS(RADIANS(90-O170))*COS(RADIANS(90-_xlfn.XLOOKUP(Q170,'MRT station dataset'!$C$3:$C$179,'MRT station dataset'!$E$3:$E$179)))+SIN(RADIANS(90-O170))*SIN(RADIANS(90-_xlfn.XLOOKUP(Q170,'MRT station dataset'!$C$3:$C$179,'MRT station dataset'!$E$3:$E$179)))*COS(RADIANS(P170-_xlfn.XLOOKUP('Resale flat dataset (DV)'!Q170,'MRT station dataset'!$C$3:$C$179,'MRT station dataset'!$F$3:$F$179))))*6371*1000</f>
        <v>184.8578698410106</v>
      </c>
      <c r="U170" s="39">
        <f>ACOS(COS(RADIANS(90-O170))*COS(RADIANS(90-_xlfn.XLOOKUP(R170,'Mall Dataset'!$B$3:$B$157,'Mall Dataset'!$E$3:$E$157,,0)))+SIN(RADIANS(90-O170))*SIN(RADIANS(90-_xlfn.XLOOKUP(R170,'Mall Dataset'!$B$3:$B$157,'Mall Dataset'!$E$3:$E$157,,0)))*COS(RADIANS(P170-_xlfn.XLOOKUP(R170,'Mall Dataset'!$B$3:$B$157,'Mall Dataset'!$F$3:$F$157,,0))))*6371*1000</f>
        <v>876.4604768420237</v>
      </c>
      <c r="V170" s="39">
        <f>ACOS(COS(RADIANS(90-O170))*COS(RADIANS(90-_xlfn.XLOOKUP(S170,'Schools dataset'!$B$3:$B$187,'Schools dataset'!$J$3:$J$187,,0)))+SIN(RADIANS(90-O170))*SIN(RADIANS(90-_xlfn.XLOOKUP(S170,'Schools dataset'!$B$3:$B$187,'Schools dataset'!$J$3:$J$187,,0)))*COS(RADIANS(P170-_xlfn.XLOOKUP(S170,'Schools dataset'!$B$3:$B$187,'Schools dataset'!$K$3:$K$187,,0))))*6371*1000</f>
        <v>1306.0020336157329</v>
      </c>
      <c r="W170" s="20">
        <f>_xlfn.XLOOKUP(T170,'HDB Recommender'!$P$10:$P$39,'HDB Recommender'!$Q$10:$Q$39,"&gt;30mins",1)</f>
        <v>3</v>
      </c>
      <c r="X170" s="20">
        <f>_xlfn.XLOOKUP(U170,'HDB Recommender'!$P$10:$P$39,'HDB Recommender'!$Q$10:$Q$39,"&gt;30mins",1)</f>
        <v>12</v>
      </c>
      <c r="Y170" s="20">
        <f>_xlfn.XLOOKUP(V170,'HDB Recommender'!$P$10:$P$39,'HDB Recommender'!$Q$10:$Q$39,"&gt;30mins",1)</f>
        <v>18</v>
      </c>
      <c r="Z170" s="39">
        <f t="shared" si="4"/>
        <v>11</v>
      </c>
      <c r="AA170" s="20" t="str">
        <f t="shared" si="5"/>
        <v>between 1km and 2km</v>
      </c>
    </row>
    <row r="171" spans="2:27">
      <c r="B171" s="35" t="s">
        <v>317</v>
      </c>
      <c r="C171" s="35" t="s">
        <v>603</v>
      </c>
      <c r="D171" s="35" t="s">
        <v>341</v>
      </c>
      <c r="E171" s="35">
        <v>10</v>
      </c>
      <c r="F171" s="35" t="s">
        <v>607</v>
      </c>
      <c r="G171" s="35" t="s">
        <v>189</v>
      </c>
      <c r="H171" s="35">
        <v>127</v>
      </c>
      <c r="I171" s="35" t="s">
        <v>326</v>
      </c>
      <c r="J171" s="36">
        <v>1986</v>
      </c>
      <c r="K171" s="39">
        <v>61.3333333333333</v>
      </c>
      <c r="L171" s="37">
        <v>810000</v>
      </c>
      <c r="M171" s="35" t="s">
        <v>615</v>
      </c>
      <c r="N171" s="27">
        <v>431010</v>
      </c>
      <c r="O171" s="38">
        <v>1.33613263860628</v>
      </c>
      <c r="P171" s="38">
        <v>103.78773535627499</v>
      </c>
      <c r="Q171" s="38" t="str" cm="1">
        <f t="array" ref="Q171">INDEX('MRT station dataset'!$C$3:$C$179, MATCH(MIN(SQRT(('MRT station dataset'!$E$3:$E$179-'Resale flat dataset (DV)'!O171)^2+('MRT station dataset'!$F$3:$F$179-'Resale flat dataset (DV)'!P171)^2)), SQRT(('MRT station dataset'!$E$3:$E$179-'Resale flat dataset (DV)'!O171)^2+('MRT station dataset'!$F$3:$F$179-'Resale flat dataset (DV)'!P171)^2), 0))</f>
        <v>KING ALBERT PARK MRT STATION</v>
      </c>
      <c r="R171" s="38" t="str" cm="1">
        <f t="array" ref="R171">INDEX('Mall Dataset'!$B$3:$B$157, MATCH(MIN(SQRT(('Mall Dataset'!$E$3:$E$157-'Resale flat dataset (DV)'!O171)^2+('Mall Dataset'!$F$3:$F$157-'Resale flat dataset (DV)'!P171)^2)), SQRT(('Mall Dataset'!$E$3:$E$157-'Resale flat dataset (DV)'!O171)^2+('Mall Dataset'!$F$3:$F$157-'Resale flat dataset (DV)'!P171)^2), 0))</f>
        <v>Bukit Timah Plaza</v>
      </c>
      <c r="S171" s="38" t="str" cm="1">
        <f t="array" ref="S171">INDEX('Schools dataset'!$B$3:$B$187, MATCH(MIN(SQRT(('Schools dataset'!$J$3:$J$187-'Resale flat dataset (DV)'!O171)^2+('Schools dataset'!$K$3:$K$187-'Resale flat dataset (DV)'!P171)^2)), SQRT(('Schools dataset'!$J$3:$J$187-'Resale flat dataset (DV)'!O171)^2+('Schools dataset'!$K$3:$K$187-'Resale flat dataset (DV)'!P171)^2), 0))</f>
        <v>METHODIST GIRLS' SCHOOL (PRIMARY)</v>
      </c>
      <c r="T171" s="39">
        <f>ACOS(COS(RADIANS(90-O171))*COS(RADIANS(90-_xlfn.XLOOKUP(Q171,'MRT station dataset'!$C$3:$C$179,'MRT station dataset'!$E$3:$E$179)))+SIN(RADIANS(90-O171))*SIN(RADIANS(90-_xlfn.XLOOKUP(Q171,'MRT station dataset'!$C$3:$C$179,'MRT station dataset'!$E$3:$E$179)))*COS(RADIANS(P171-_xlfn.XLOOKUP('Resale flat dataset (DV)'!Q171,'MRT station dataset'!$C$3:$C$179,'MRT station dataset'!$F$3:$F$179))))*6371*1000</f>
        <v>440.10985361062251</v>
      </c>
      <c r="U171" s="39">
        <f>ACOS(COS(RADIANS(90-O171))*COS(RADIANS(90-_xlfn.XLOOKUP(R171,'Mall Dataset'!$B$3:$B$157,'Mall Dataset'!$E$3:$E$157,,0)))+SIN(RADIANS(90-O171))*SIN(RADIANS(90-_xlfn.XLOOKUP(R171,'Mall Dataset'!$B$3:$B$157,'Mall Dataset'!$E$3:$E$157,,0)))*COS(RADIANS(P171-_xlfn.XLOOKUP(R171,'Mall Dataset'!$B$3:$B$157,'Mall Dataset'!$F$3:$F$157,,0))))*6371*1000</f>
        <v>1054.4222690339909</v>
      </c>
      <c r="V171" s="39">
        <f>ACOS(COS(RADIANS(90-O171))*COS(RADIANS(90-_xlfn.XLOOKUP(S171,'Schools dataset'!$B$3:$B$187,'Schools dataset'!$J$3:$J$187,,0)))+SIN(RADIANS(90-O171))*SIN(RADIANS(90-_xlfn.XLOOKUP(S171,'Schools dataset'!$B$3:$B$187,'Schools dataset'!$J$3:$J$187,,0)))*COS(RADIANS(P171-_xlfn.XLOOKUP(S171,'Schools dataset'!$B$3:$B$187,'Schools dataset'!$K$3:$K$187,,0))))*6371*1000</f>
        <v>618.95565368224243</v>
      </c>
      <c r="W171" s="20">
        <f>_xlfn.XLOOKUP(T171,'HDB Recommender'!$P$10:$P$39,'HDB Recommender'!$Q$10:$Q$39,"&gt;30mins",1)</f>
        <v>6</v>
      </c>
      <c r="X171" s="20">
        <f>_xlfn.XLOOKUP(U171,'HDB Recommender'!$P$10:$P$39,'HDB Recommender'!$Q$10:$Q$39,"&gt;30mins",1)</f>
        <v>15</v>
      </c>
      <c r="Y171" s="20">
        <f>_xlfn.XLOOKUP(V171,'HDB Recommender'!$P$10:$P$39,'HDB Recommender'!$Q$10:$Q$39,"&gt;30mins",1)</f>
        <v>9</v>
      </c>
      <c r="Z171" s="39">
        <f t="shared" si="4"/>
        <v>10</v>
      </c>
      <c r="AA171" s="20" t="str">
        <f t="shared" si="5"/>
        <v>Within 1km</v>
      </c>
    </row>
    <row r="172" spans="2:27">
      <c r="B172" s="35" t="s">
        <v>317</v>
      </c>
      <c r="C172" s="35" t="s">
        <v>616</v>
      </c>
      <c r="D172" s="35" t="s">
        <v>20</v>
      </c>
      <c r="E172" s="35">
        <v>63</v>
      </c>
      <c r="F172" s="35" t="s">
        <v>617</v>
      </c>
      <c r="G172" s="35" t="s">
        <v>189</v>
      </c>
      <c r="H172" s="35">
        <v>87</v>
      </c>
      <c r="I172" s="35" t="s">
        <v>326</v>
      </c>
      <c r="J172" s="36">
        <v>1976</v>
      </c>
      <c r="K172" s="39">
        <v>51.3333333333333</v>
      </c>
      <c r="L172" s="37">
        <v>555000</v>
      </c>
      <c r="M172" s="35" t="s">
        <v>618</v>
      </c>
      <c r="N172" s="27">
        <v>440063</v>
      </c>
      <c r="O172" s="38">
        <v>1.3023807015580999</v>
      </c>
      <c r="P172" s="38">
        <v>103.909238899358</v>
      </c>
      <c r="Q172" s="38" t="str" cm="1">
        <f t="array" ref="Q172">INDEX('MRT station dataset'!$C$3:$C$179, MATCH(MIN(SQRT(('MRT station dataset'!$E$3:$E$179-'Resale flat dataset (DV)'!O172)^2+('MRT station dataset'!$F$3:$F$179-'Resale flat dataset (DV)'!P172)^2)), SQRT(('MRT station dataset'!$E$3:$E$179-'Resale flat dataset (DV)'!O172)^2+('MRT station dataset'!$F$3:$F$179-'Resale flat dataset (DV)'!P172)^2), 0))</f>
        <v>EUNOS MRT STATION</v>
      </c>
      <c r="R172" s="38" t="str" cm="1">
        <f t="array" ref="R172">INDEX('Mall Dataset'!$B$3:$B$157, MATCH(MIN(SQRT(('Mall Dataset'!$E$3:$E$157-'Resale flat dataset (DV)'!O172)^2+('Mall Dataset'!$F$3:$F$157-'Resale flat dataset (DV)'!P172)^2)), SQRT(('Mall Dataset'!$E$3:$E$157-'Resale flat dataset (DV)'!O172)^2+('Mall Dataset'!$F$3:$F$157-'Resale flat dataset (DV)'!P172)^2), 0))</f>
        <v>Parkway Parade</v>
      </c>
      <c r="S172" s="38" t="str" cm="1">
        <f t="array" ref="S172">INDEX('Schools dataset'!$B$3:$B$187, MATCH(MIN(SQRT(('Schools dataset'!$J$3:$J$187-'Resale flat dataset (DV)'!O172)^2+('Schools dataset'!$K$3:$K$187-'Resale flat dataset (DV)'!P172)^2)), SQRT(('Schools dataset'!$J$3:$J$187-'Resale flat dataset (DV)'!O172)^2+('Schools dataset'!$K$3:$K$187-'Resale flat dataset (DV)'!P172)^2), 0))</f>
        <v>TAO NAN SCHOOL</v>
      </c>
      <c r="T172" s="39">
        <f>ACOS(COS(RADIANS(90-O172))*COS(RADIANS(90-_xlfn.XLOOKUP(Q172,'MRT station dataset'!$C$3:$C$179,'MRT station dataset'!$E$3:$E$179)))+SIN(RADIANS(90-O172))*SIN(RADIANS(90-_xlfn.XLOOKUP(Q172,'MRT station dataset'!$C$3:$C$179,'MRT station dataset'!$E$3:$E$179)))*COS(RADIANS(P172-_xlfn.XLOOKUP('Resale flat dataset (DV)'!Q172,'MRT station dataset'!$C$3:$C$179,'MRT station dataset'!$F$3:$F$179))))*6371*1000</f>
        <v>2046.361351679431</v>
      </c>
      <c r="U172" s="39">
        <f>ACOS(COS(RADIANS(90-O172))*COS(RADIANS(90-_xlfn.XLOOKUP(R172,'Mall Dataset'!$B$3:$B$157,'Mall Dataset'!$E$3:$E$157,,0)))+SIN(RADIANS(90-O172))*SIN(RADIANS(90-_xlfn.XLOOKUP(R172,'Mall Dataset'!$B$3:$B$157,'Mall Dataset'!$E$3:$E$157,,0)))*COS(RADIANS(P172-_xlfn.XLOOKUP(R172,'Mall Dataset'!$B$3:$B$157,'Mall Dataset'!$F$3:$F$157,,0))))*6371*1000</f>
        <v>463.6628582426805</v>
      </c>
      <c r="V172" s="39">
        <f>ACOS(COS(RADIANS(90-O172))*COS(RADIANS(90-_xlfn.XLOOKUP(S172,'Schools dataset'!$B$3:$B$187,'Schools dataset'!$J$3:$J$187,,0)))+SIN(RADIANS(90-O172))*SIN(RADIANS(90-_xlfn.XLOOKUP(S172,'Schools dataset'!$B$3:$B$187,'Schools dataset'!$J$3:$J$187,,0)))*COS(RADIANS(P172-_xlfn.XLOOKUP(S172,'Schools dataset'!$B$3:$B$187,'Schools dataset'!$K$3:$K$187,,0))))*6371*1000</f>
        <v>353.12343795772085</v>
      </c>
      <c r="W172" s="20">
        <f>_xlfn.XLOOKUP(T172,'HDB Recommender'!$P$10:$P$39,'HDB Recommender'!$Q$10:$Q$39,"&gt;30mins",1)</f>
        <v>28</v>
      </c>
      <c r="X172" s="20">
        <f>_xlfn.XLOOKUP(U172,'HDB Recommender'!$P$10:$P$39,'HDB Recommender'!$Q$10:$Q$39,"&gt;30mins",1)</f>
        <v>7</v>
      </c>
      <c r="Y172" s="20">
        <f>_xlfn.XLOOKUP(V172,'HDB Recommender'!$P$10:$P$39,'HDB Recommender'!$Q$10:$Q$39,"&gt;30mins",1)</f>
        <v>5</v>
      </c>
      <c r="Z172" s="39">
        <f t="shared" si="4"/>
        <v>13.333333333333334</v>
      </c>
      <c r="AA172" s="20" t="str">
        <f t="shared" si="5"/>
        <v>Within 1km</v>
      </c>
    </row>
    <row r="173" spans="2:27">
      <c r="B173" s="35" t="s">
        <v>317</v>
      </c>
      <c r="C173" s="35" t="s">
        <v>619</v>
      </c>
      <c r="D173" s="35" t="s">
        <v>20</v>
      </c>
      <c r="E173" s="35">
        <v>119</v>
      </c>
      <c r="F173" s="35" t="s">
        <v>620</v>
      </c>
      <c r="G173" s="35" t="s">
        <v>349</v>
      </c>
      <c r="H173" s="35">
        <v>106</v>
      </c>
      <c r="I173" s="35" t="s">
        <v>335</v>
      </c>
      <c r="J173" s="36">
        <v>1989</v>
      </c>
      <c r="K173" s="39">
        <v>64.8333333333333</v>
      </c>
      <c r="L173" s="37">
        <v>520000</v>
      </c>
      <c r="M173" s="35" t="s">
        <v>621</v>
      </c>
      <c r="N173" s="27">
        <v>510119</v>
      </c>
      <c r="O173" s="38">
        <v>1.36752490300235</v>
      </c>
      <c r="P173" s="38">
        <v>103.954781393933</v>
      </c>
      <c r="Q173" s="38" t="str" cm="1">
        <f t="array" ref="Q173">INDEX('MRT station dataset'!$C$3:$C$179, MATCH(MIN(SQRT(('MRT station dataset'!$E$3:$E$179-'Resale flat dataset (DV)'!O173)^2+('MRT station dataset'!$F$3:$F$179-'Resale flat dataset (DV)'!P173)^2)), SQRT(('MRT station dataset'!$E$3:$E$179-'Resale flat dataset (DV)'!O173)^2+('MRT station dataset'!$F$3:$F$179-'Resale flat dataset (DV)'!P173)^2), 0))</f>
        <v>PASIR RIS MRT STATION</v>
      </c>
      <c r="R173" s="38" t="str" cm="1">
        <f t="array" ref="R173">INDEX('Mall Dataset'!$B$3:$B$157, MATCH(MIN(SQRT(('Mall Dataset'!$E$3:$E$157-'Resale flat dataset (DV)'!O173)^2+('Mall Dataset'!$F$3:$F$157-'Resale flat dataset (DV)'!P173)^2)), SQRT(('Mall Dataset'!$E$3:$E$157-'Resale flat dataset (DV)'!O173)^2+('Mall Dataset'!$F$3:$F$157-'Resale flat dataset (DV)'!P173)^2), 0))</f>
        <v>White Sands</v>
      </c>
      <c r="S173" s="38" t="str" cm="1">
        <f t="array" ref="S173">INDEX('Schools dataset'!$B$3:$B$187, MATCH(MIN(SQRT(('Schools dataset'!$J$3:$J$187-'Resale flat dataset (DV)'!O173)^2+('Schools dataset'!$K$3:$K$187-'Resale flat dataset (DV)'!P173)^2)), SQRT(('Schools dataset'!$J$3:$J$187-'Resale flat dataset (DV)'!O173)^2+('Schools dataset'!$K$3:$K$187-'Resale flat dataset (DV)'!P173)^2), 0))</f>
        <v>CASUARINA PRIMARY SCHOOL</v>
      </c>
      <c r="T173" s="39">
        <f>ACOS(COS(RADIANS(90-O173))*COS(RADIANS(90-_xlfn.XLOOKUP(Q173,'MRT station dataset'!$C$3:$C$179,'MRT station dataset'!$E$3:$E$179)))+SIN(RADIANS(90-O173))*SIN(RADIANS(90-_xlfn.XLOOKUP(Q173,'MRT station dataset'!$C$3:$C$179,'MRT station dataset'!$E$3:$E$179)))*COS(RADIANS(P173-_xlfn.XLOOKUP('Resale flat dataset (DV)'!Q173,'MRT station dataset'!$C$3:$C$179,'MRT station dataset'!$F$3:$F$179))))*6371*1000</f>
        <v>861.34940829378252</v>
      </c>
      <c r="U173" s="39">
        <f>ACOS(COS(RADIANS(90-O173))*COS(RADIANS(90-_xlfn.XLOOKUP(R173,'Mall Dataset'!$B$3:$B$157,'Mall Dataset'!$E$3:$E$157,,0)))+SIN(RADIANS(90-O173))*SIN(RADIANS(90-_xlfn.XLOOKUP(R173,'Mall Dataset'!$B$3:$B$157,'Mall Dataset'!$E$3:$E$157,,0)))*COS(RADIANS(P173-_xlfn.XLOOKUP(R173,'Mall Dataset'!$B$3:$B$157,'Mall Dataset'!$F$3:$F$157,,0))))*6371*1000</f>
        <v>771.55187053375766</v>
      </c>
      <c r="V173" s="39">
        <f>ACOS(COS(RADIANS(90-O173))*COS(RADIANS(90-_xlfn.XLOOKUP(S173,'Schools dataset'!$B$3:$B$187,'Schools dataset'!$J$3:$J$187,,0)))+SIN(RADIANS(90-O173))*SIN(RADIANS(90-_xlfn.XLOOKUP(S173,'Schools dataset'!$B$3:$B$187,'Schools dataset'!$J$3:$J$187,,0)))*COS(RADIANS(P173-_xlfn.XLOOKUP(S173,'Schools dataset'!$B$3:$B$187,'Schools dataset'!$K$3:$K$187,,0))))*6371*1000</f>
        <v>672.68711755222728</v>
      </c>
      <c r="W173" s="20">
        <f>_xlfn.XLOOKUP(T173,'HDB Recommender'!$P$10:$P$39,'HDB Recommender'!$Q$10:$Q$39,"&gt;30mins",1)</f>
        <v>12</v>
      </c>
      <c r="X173" s="20">
        <f>_xlfn.XLOOKUP(U173,'HDB Recommender'!$P$10:$P$39,'HDB Recommender'!$Q$10:$Q$39,"&gt;30mins",1)</f>
        <v>11</v>
      </c>
      <c r="Y173" s="20">
        <f>_xlfn.XLOOKUP(V173,'HDB Recommender'!$P$10:$P$39,'HDB Recommender'!$Q$10:$Q$39,"&gt;30mins",1)</f>
        <v>9</v>
      </c>
      <c r="Z173" s="39">
        <f t="shared" si="4"/>
        <v>10.666666666666666</v>
      </c>
      <c r="AA173" s="20" t="str">
        <f t="shared" si="5"/>
        <v>Within 1km</v>
      </c>
    </row>
    <row r="174" spans="2:27">
      <c r="B174" s="35" t="s">
        <v>317</v>
      </c>
      <c r="C174" s="35" t="s">
        <v>619</v>
      </c>
      <c r="D174" s="35" t="s">
        <v>20</v>
      </c>
      <c r="E174" s="35">
        <v>230</v>
      </c>
      <c r="F174" s="35" t="s">
        <v>622</v>
      </c>
      <c r="G174" s="35" t="s">
        <v>189</v>
      </c>
      <c r="H174" s="35">
        <v>106</v>
      </c>
      <c r="I174" s="35" t="s">
        <v>335</v>
      </c>
      <c r="J174" s="36">
        <v>1993</v>
      </c>
      <c r="K174" s="39">
        <v>68.8333333333333</v>
      </c>
      <c r="L174" s="37">
        <v>535000</v>
      </c>
      <c r="M174" s="35" t="s">
        <v>623</v>
      </c>
      <c r="N174" s="27">
        <v>510230</v>
      </c>
      <c r="O174" s="38">
        <v>1.37289372103764</v>
      </c>
      <c r="P174" s="38">
        <v>103.961153966738</v>
      </c>
      <c r="Q174" s="38" t="str" cm="1">
        <f t="array" ref="Q174">INDEX('MRT station dataset'!$C$3:$C$179, MATCH(MIN(SQRT(('MRT station dataset'!$E$3:$E$179-'Resale flat dataset (DV)'!O174)^2+('MRT station dataset'!$F$3:$F$179-'Resale flat dataset (DV)'!P174)^2)), SQRT(('MRT station dataset'!$E$3:$E$179-'Resale flat dataset (DV)'!O174)^2+('MRT station dataset'!$F$3:$F$179-'Resale flat dataset (DV)'!P174)^2), 0))</f>
        <v>PASIR RIS MRT STATION</v>
      </c>
      <c r="R174" s="38" t="str" cm="1">
        <f t="array" ref="R174">INDEX('Mall Dataset'!$B$3:$B$157, MATCH(MIN(SQRT(('Mall Dataset'!$E$3:$E$157-'Resale flat dataset (DV)'!O174)^2+('Mall Dataset'!$F$3:$F$157-'Resale flat dataset (DV)'!P174)^2)), SQRT(('Mall Dataset'!$E$3:$E$157-'Resale flat dataset (DV)'!O174)^2+('Mall Dataset'!$F$3:$F$157-'Resale flat dataset (DV)'!P174)^2), 0))</f>
        <v>Downtown East</v>
      </c>
      <c r="S174" s="38" t="str" cm="1">
        <f t="array" ref="S174">INDEX('Schools dataset'!$B$3:$B$187, MATCH(MIN(SQRT(('Schools dataset'!$J$3:$J$187-'Resale flat dataset (DV)'!O174)^2+('Schools dataset'!$K$3:$K$187-'Resale flat dataset (DV)'!P174)^2)), SQRT(('Schools dataset'!$J$3:$J$187-'Resale flat dataset (DV)'!O174)^2+('Schools dataset'!$K$3:$K$187-'Resale flat dataset (DV)'!P174)^2), 0))</f>
        <v>PASIR RIS PRIMARY SCHOOL</v>
      </c>
      <c r="T174" s="39">
        <f>ACOS(COS(RADIANS(90-O174))*COS(RADIANS(90-_xlfn.XLOOKUP(Q174,'MRT station dataset'!$C$3:$C$179,'MRT station dataset'!$E$3:$E$179)))+SIN(RADIANS(90-O174))*SIN(RADIANS(90-_xlfn.XLOOKUP(Q174,'MRT station dataset'!$C$3:$C$179,'MRT station dataset'!$E$3:$E$179)))*COS(RADIANS(P174-_xlfn.XLOOKUP('Resale flat dataset (DV)'!Q174,'MRT station dataset'!$C$3:$C$179,'MRT station dataset'!$F$3:$F$179))))*6371*1000</f>
        <v>1317.7755416959055</v>
      </c>
      <c r="U174" s="39">
        <f>ACOS(COS(RADIANS(90-O174))*COS(RADIANS(90-_xlfn.XLOOKUP(R174,'Mall Dataset'!$B$3:$B$157,'Mall Dataset'!$E$3:$E$157,,0)))+SIN(RADIANS(90-O174))*SIN(RADIANS(90-_xlfn.XLOOKUP(R174,'Mall Dataset'!$B$3:$B$157,'Mall Dataset'!$E$3:$E$157,,0)))*COS(RADIANS(P174-_xlfn.XLOOKUP(R174,'Mall Dataset'!$B$3:$B$157,'Mall Dataset'!$F$3:$F$157,,0))))*6371*1000</f>
        <v>733.45622103651544</v>
      </c>
      <c r="V174" s="39">
        <f>ACOS(COS(RADIANS(90-O174))*COS(RADIANS(90-_xlfn.XLOOKUP(S174,'Schools dataset'!$B$3:$B$187,'Schools dataset'!$J$3:$J$187,,0)))+SIN(RADIANS(90-O174))*SIN(RADIANS(90-_xlfn.XLOOKUP(S174,'Schools dataset'!$B$3:$B$187,'Schools dataset'!$J$3:$J$187,,0)))*COS(RADIANS(P174-_xlfn.XLOOKUP(S174,'Schools dataset'!$B$3:$B$187,'Schools dataset'!$K$3:$K$187,,0))))*6371*1000</f>
        <v>202.67790103184512</v>
      </c>
      <c r="W174" s="20">
        <f>_xlfn.XLOOKUP(T174,'HDB Recommender'!$P$10:$P$39,'HDB Recommender'!$Q$10:$Q$39,"&gt;30mins",1)</f>
        <v>18</v>
      </c>
      <c r="X174" s="20">
        <f>_xlfn.XLOOKUP(U174,'HDB Recommender'!$P$10:$P$39,'HDB Recommender'!$Q$10:$Q$39,"&gt;30mins",1)</f>
        <v>10</v>
      </c>
      <c r="Y174" s="20">
        <f>_xlfn.XLOOKUP(V174,'HDB Recommender'!$P$10:$P$39,'HDB Recommender'!$Q$10:$Q$39,"&gt;30mins",1)</f>
        <v>3</v>
      </c>
      <c r="Z174" s="39">
        <f t="shared" si="4"/>
        <v>10.333333333333334</v>
      </c>
      <c r="AA174" s="20" t="str">
        <f t="shared" si="5"/>
        <v>Within 1km</v>
      </c>
    </row>
    <row r="175" spans="2:27">
      <c r="B175" s="35" t="s">
        <v>317</v>
      </c>
      <c r="C175" s="35" t="s">
        <v>619</v>
      </c>
      <c r="D175" s="35" t="s">
        <v>341</v>
      </c>
      <c r="E175" s="35">
        <v>631</v>
      </c>
      <c r="F175" s="35" t="s">
        <v>624</v>
      </c>
      <c r="G175" s="35" t="s">
        <v>189</v>
      </c>
      <c r="H175" s="35">
        <v>120</v>
      </c>
      <c r="I175" s="35" t="s">
        <v>326</v>
      </c>
      <c r="J175" s="36">
        <v>1995</v>
      </c>
      <c r="K175" s="39">
        <v>70.8333333333333</v>
      </c>
      <c r="L175" s="37">
        <v>630000</v>
      </c>
      <c r="M175" s="35" t="s">
        <v>625</v>
      </c>
      <c r="N175" s="27">
        <v>510631</v>
      </c>
      <c r="O175" s="38">
        <v>1.3788492120710101</v>
      </c>
      <c r="P175" s="38">
        <v>103.94017996591499</v>
      </c>
      <c r="Q175" s="38" t="str" cm="1">
        <f t="array" ref="Q175">INDEX('MRT station dataset'!$C$3:$C$179, MATCH(MIN(SQRT(('MRT station dataset'!$E$3:$E$179-'Resale flat dataset (DV)'!O175)^2+('MRT station dataset'!$F$3:$F$179-'Resale flat dataset (DV)'!P175)^2)), SQRT(('MRT station dataset'!$E$3:$E$179-'Resale flat dataset (DV)'!O175)^2+('MRT station dataset'!$F$3:$F$179-'Resale flat dataset (DV)'!P175)^2), 0))</f>
        <v>PASIR RIS MRT STATION</v>
      </c>
      <c r="R175" s="38" t="str" cm="1">
        <f t="array" ref="R175">INDEX('Mall Dataset'!$B$3:$B$157, MATCH(MIN(SQRT(('Mall Dataset'!$E$3:$E$157-'Resale flat dataset (DV)'!O175)^2+('Mall Dataset'!$F$3:$F$157-'Resale flat dataset (DV)'!P175)^2)), SQRT(('Mall Dataset'!$E$3:$E$157-'Resale flat dataset (DV)'!O175)^2+('Mall Dataset'!$F$3:$F$157-'Resale flat dataset (DV)'!P175)^2), 0))</f>
        <v>Elias Mall</v>
      </c>
      <c r="S175" s="38" t="str" cm="1">
        <f t="array" ref="S175">INDEX('Schools dataset'!$B$3:$B$187, MATCH(MIN(SQRT(('Schools dataset'!$J$3:$J$187-'Resale flat dataset (DV)'!O175)^2+('Schools dataset'!$K$3:$K$187-'Resale flat dataset (DV)'!P175)^2)), SQRT(('Schools dataset'!$J$3:$J$187-'Resale flat dataset (DV)'!O175)^2+('Schools dataset'!$K$3:$K$187-'Resale flat dataset (DV)'!P175)^2), 0))</f>
        <v>PARK VIEW PRIMARY SCHOOL</v>
      </c>
      <c r="T175" s="39">
        <f>ACOS(COS(RADIANS(90-O175))*COS(RADIANS(90-_xlfn.XLOOKUP(Q175,'MRT station dataset'!$C$3:$C$179,'MRT station dataset'!$E$3:$E$179)))+SIN(RADIANS(90-O175))*SIN(RADIANS(90-_xlfn.XLOOKUP(Q175,'MRT station dataset'!$C$3:$C$179,'MRT station dataset'!$E$3:$E$179)))*COS(RADIANS(P175-_xlfn.XLOOKUP('Resale flat dataset (DV)'!Q175,'MRT station dataset'!$C$3:$C$179,'MRT station dataset'!$F$3:$F$179))))*6371*1000</f>
        <v>1204.5051334629775</v>
      </c>
      <c r="U175" s="39">
        <f>ACOS(COS(RADIANS(90-O175))*COS(RADIANS(90-_xlfn.XLOOKUP(R175,'Mall Dataset'!$B$3:$B$157,'Mall Dataset'!$E$3:$E$157,,0)))+SIN(RADIANS(90-O175))*SIN(RADIANS(90-_xlfn.XLOOKUP(R175,'Mall Dataset'!$B$3:$B$157,'Mall Dataset'!$E$3:$E$157,,0)))*COS(RADIANS(P175-_xlfn.XLOOKUP(R175,'Mall Dataset'!$B$3:$B$157,'Mall Dataset'!$F$3:$F$157,,0))))*6371*1000</f>
        <v>261.62566297455749</v>
      </c>
      <c r="V175" s="39">
        <f>ACOS(COS(RADIANS(90-O175))*COS(RADIANS(90-_xlfn.XLOOKUP(S175,'Schools dataset'!$B$3:$B$187,'Schools dataset'!$J$3:$J$187,,0)))+SIN(RADIANS(90-O175))*SIN(RADIANS(90-_xlfn.XLOOKUP(S175,'Schools dataset'!$B$3:$B$187,'Schools dataset'!$J$3:$J$187,,0)))*COS(RADIANS(P175-_xlfn.XLOOKUP(S175,'Schools dataset'!$B$3:$B$187,'Schools dataset'!$K$3:$K$187,,0))))*6371*1000</f>
        <v>178.03993262660421</v>
      </c>
      <c r="W175" s="20">
        <f>_xlfn.XLOOKUP(T175,'HDB Recommender'!$P$10:$P$39,'HDB Recommender'!$Q$10:$Q$39,"&gt;30mins",1)</f>
        <v>17</v>
      </c>
      <c r="X175" s="20">
        <f>_xlfn.XLOOKUP(U175,'HDB Recommender'!$P$10:$P$39,'HDB Recommender'!$Q$10:$Q$39,"&gt;30mins",1)</f>
        <v>4</v>
      </c>
      <c r="Y175" s="20">
        <f>_xlfn.XLOOKUP(V175,'HDB Recommender'!$P$10:$P$39,'HDB Recommender'!$Q$10:$Q$39,"&gt;30mins",1)</f>
        <v>3</v>
      </c>
      <c r="Z175" s="39">
        <f t="shared" si="4"/>
        <v>8</v>
      </c>
      <c r="AA175" s="20" t="str">
        <f t="shared" si="5"/>
        <v>Within 1km</v>
      </c>
    </row>
    <row r="176" spans="2:27">
      <c r="B176" s="35" t="s">
        <v>317</v>
      </c>
      <c r="C176" s="35" t="s">
        <v>619</v>
      </c>
      <c r="D176" s="35" t="s">
        <v>383</v>
      </c>
      <c r="E176" s="35">
        <v>160</v>
      </c>
      <c r="F176" s="35" t="s">
        <v>626</v>
      </c>
      <c r="G176" s="35" t="s">
        <v>189</v>
      </c>
      <c r="H176" s="35">
        <v>149</v>
      </c>
      <c r="I176" s="35" t="s">
        <v>384</v>
      </c>
      <c r="J176" s="36">
        <v>1995</v>
      </c>
      <c r="K176" s="39">
        <v>70.5</v>
      </c>
      <c r="L176" s="37">
        <v>728000</v>
      </c>
      <c r="M176" s="35" t="s">
        <v>627</v>
      </c>
      <c r="N176" s="27">
        <v>510160</v>
      </c>
      <c r="O176" s="38">
        <v>1.3642955934170899</v>
      </c>
      <c r="P176" s="38">
        <v>103.962306880543</v>
      </c>
      <c r="Q176" s="38" t="str" cm="1">
        <f t="array" ref="Q176">INDEX('MRT station dataset'!$C$3:$C$179, MATCH(MIN(SQRT(('MRT station dataset'!$E$3:$E$179-'Resale flat dataset (DV)'!O176)^2+('MRT station dataset'!$F$3:$F$179-'Resale flat dataset (DV)'!P176)^2)), SQRT(('MRT station dataset'!$E$3:$E$179-'Resale flat dataset (DV)'!O176)^2+('MRT station dataset'!$F$3:$F$179-'Resale flat dataset (DV)'!P176)^2), 0))</f>
        <v>TAMPINES EAST MRT STATION</v>
      </c>
      <c r="R176" s="38" t="str" cm="1">
        <f t="array" ref="R176">INDEX('Mall Dataset'!$B$3:$B$157, MATCH(MIN(SQRT(('Mall Dataset'!$E$3:$E$157-'Resale flat dataset (DV)'!O176)^2+('Mall Dataset'!$F$3:$F$157-'Resale flat dataset (DV)'!P176)^2)), SQRT(('Mall Dataset'!$E$3:$E$157-'Resale flat dataset (DV)'!O176)^2+('Mall Dataset'!$F$3:$F$157-'Resale flat dataset (DV)'!P176)^2), 0))</f>
        <v>Loyang Point</v>
      </c>
      <c r="S176" s="38" t="str" cm="1">
        <f t="array" ref="S176">INDEX('Schools dataset'!$B$3:$B$187, MATCH(MIN(SQRT(('Schools dataset'!$J$3:$J$187-'Resale flat dataset (DV)'!O176)^2+('Schools dataset'!$K$3:$K$187-'Resale flat dataset (DV)'!P176)^2)), SQRT(('Schools dataset'!$J$3:$J$187-'Resale flat dataset (DV)'!O176)^2+('Schools dataset'!$K$3:$K$187-'Resale flat dataset (DV)'!P176)^2), 0))</f>
        <v>WHITE SANDS PRIMARY SCHOOL</v>
      </c>
      <c r="T176" s="39">
        <f>ACOS(COS(RADIANS(90-O176))*COS(RADIANS(90-_xlfn.XLOOKUP(Q176,'MRT station dataset'!$C$3:$C$179,'MRT station dataset'!$E$3:$E$179)))+SIN(RADIANS(90-O176))*SIN(RADIANS(90-_xlfn.XLOOKUP(Q176,'MRT station dataset'!$C$3:$C$179,'MRT station dataset'!$E$3:$E$179)))*COS(RADIANS(P176-_xlfn.XLOOKUP('Resale flat dataset (DV)'!Q176,'MRT station dataset'!$C$3:$C$179,'MRT station dataset'!$F$3:$F$179))))*6371*1000</f>
        <v>1242.7055145683819</v>
      </c>
      <c r="U176" s="39">
        <f>ACOS(COS(RADIANS(90-O176))*COS(RADIANS(90-_xlfn.XLOOKUP(R176,'Mall Dataset'!$B$3:$B$157,'Mall Dataset'!$E$3:$E$157,,0)))+SIN(RADIANS(90-O176))*SIN(RADIANS(90-_xlfn.XLOOKUP(R176,'Mall Dataset'!$B$3:$B$157,'Mall Dataset'!$E$3:$E$157,,0)))*COS(RADIANS(P176-_xlfn.XLOOKUP(R176,'Mall Dataset'!$B$3:$B$157,'Mall Dataset'!$F$3:$F$157,,0))))*6371*1000</f>
        <v>402.41118743725536</v>
      </c>
      <c r="V176" s="39">
        <f>ACOS(COS(RADIANS(90-O176))*COS(RADIANS(90-_xlfn.XLOOKUP(S176,'Schools dataset'!$B$3:$B$187,'Schools dataset'!$J$3:$J$187,,0)))+SIN(RADIANS(90-O176))*SIN(RADIANS(90-_xlfn.XLOOKUP(S176,'Schools dataset'!$B$3:$B$187,'Schools dataset'!$J$3:$J$187,,0)))*COS(RADIANS(P176-_xlfn.XLOOKUP(S176,'Schools dataset'!$B$3:$B$187,'Schools dataset'!$K$3:$K$187,,0))))*6371*1000</f>
        <v>208.53121136434473</v>
      </c>
      <c r="W176" s="20">
        <f>_xlfn.XLOOKUP(T176,'HDB Recommender'!$P$10:$P$39,'HDB Recommender'!$Q$10:$Q$39,"&gt;30mins",1)</f>
        <v>17</v>
      </c>
      <c r="X176" s="20">
        <f>_xlfn.XLOOKUP(U176,'HDB Recommender'!$P$10:$P$39,'HDB Recommender'!$Q$10:$Q$39,"&gt;30mins",1)</f>
        <v>6</v>
      </c>
      <c r="Y176" s="20">
        <f>_xlfn.XLOOKUP(V176,'HDB Recommender'!$P$10:$P$39,'HDB Recommender'!$Q$10:$Q$39,"&gt;30mins",1)</f>
        <v>3</v>
      </c>
      <c r="Z176" s="39">
        <f t="shared" si="4"/>
        <v>8.6666666666666661</v>
      </c>
      <c r="AA176" s="20" t="str">
        <f t="shared" si="5"/>
        <v>Within 1km</v>
      </c>
    </row>
    <row r="177" spans="2:27">
      <c r="B177" s="35" t="s">
        <v>317</v>
      </c>
      <c r="C177" s="35" t="s">
        <v>619</v>
      </c>
      <c r="D177" s="35" t="s">
        <v>383</v>
      </c>
      <c r="E177" s="35">
        <v>538</v>
      </c>
      <c r="F177" s="35" t="s">
        <v>628</v>
      </c>
      <c r="G177" s="35" t="s">
        <v>349</v>
      </c>
      <c r="H177" s="35">
        <v>143</v>
      </c>
      <c r="I177" s="35" t="s">
        <v>384</v>
      </c>
      <c r="J177" s="36">
        <v>1992</v>
      </c>
      <c r="K177" s="39">
        <v>68.25</v>
      </c>
      <c r="L177" s="37">
        <v>870000</v>
      </c>
      <c r="M177" s="35" t="s">
        <v>629</v>
      </c>
      <c r="N177" s="27">
        <v>510538</v>
      </c>
      <c r="O177" s="38">
        <v>1.36958955845832</v>
      </c>
      <c r="P177" s="38">
        <v>103.950289388629</v>
      </c>
      <c r="Q177" s="38" t="str" cm="1">
        <f t="array" ref="Q177">INDEX('MRT station dataset'!$C$3:$C$179, MATCH(MIN(SQRT(('MRT station dataset'!$E$3:$E$179-'Resale flat dataset (DV)'!O177)^2+('MRT station dataset'!$F$3:$F$179-'Resale flat dataset (DV)'!P177)^2)), SQRT(('MRT station dataset'!$E$3:$E$179-'Resale flat dataset (DV)'!O177)^2+('MRT station dataset'!$F$3:$F$179-'Resale flat dataset (DV)'!P177)^2), 0))</f>
        <v>PASIR RIS MRT STATION</v>
      </c>
      <c r="R177" s="38" t="str" cm="1">
        <f t="array" ref="R177">INDEX('Mall Dataset'!$B$3:$B$157, MATCH(MIN(SQRT(('Mall Dataset'!$E$3:$E$157-'Resale flat dataset (DV)'!O177)^2+('Mall Dataset'!$F$3:$F$157-'Resale flat dataset (DV)'!P177)^2)), SQRT(('Mall Dataset'!$E$3:$E$157-'Resale flat dataset (DV)'!O177)^2+('Mall Dataset'!$F$3:$F$157-'Resale flat dataset (DV)'!P177)^2), 0))</f>
        <v>White Sands</v>
      </c>
      <c r="S177" s="38" t="str" cm="1">
        <f t="array" ref="S177">INDEX('Schools dataset'!$B$3:$B$187, MATCH(MIN(SQRT(('Schools dataset'!$J$3:$J$187-'Resale flat dataset (DV)'!O177)^2+('Schools dataset'!$K$3:$K$187-'Resale flat dataset (DV)'!P177)^2)), SQRT(('Schools dataset'!$J$3:$J$187-'Resale flat dataset (DV)'!O177)^2+('Schools dataset'!$K$3:$K$187-'Resale flat dataset (DV)'!P177)^2), 0))</f>
        <v>ELIAS PARK PRIMARY SCHOOL</v>
      </c>
      <c r="T177" s="39">
        <f>ACOS(COS(RADIANS(90-O177))*COS(RADIANS(90-_xlfn.XLOOKUP(Q177,'MRT station dataset'!$C$3:$C$179,'MRT station dataset'!$E$3:$E$179)))+SIN(RADIANS(90-O177))*SIN(RADIANS(90-_xlfn.XLOOKUP(Q177,'MRT station dataset'!$C$3:$C$179,'MRT station dataset'!$E$3:$E$179)))*COS(RADIANS(P177-_xlfn.XLOOKUP('Resale flat dataset (DV)'!Q177,'MRT station dataset'!$C$3:$C$179,'MRT station dataset'!$F$3:$F$179))))*6371*1000</f>
        <v>394.85067275484931</v>
      </c>
      <c r="U177" s="39">
        <f>ACOS(COS(RADIANS(90-O177))*COS(RADIANS(90-_xlfn.XLOOKUP(R177,'Mall Dataset'!$B$3:$B$157,'Mall Dataset'!$E$3:$E$157,,0)))+SIN(RADIANS(90-O177))*SIN(RADIANS(90-_xlfn.XLOOKUP(R177,'Mall Dataset'!$B$3:$B$157,'Mall Dataset'!$E$3:$E$157,,0)))*COS(RADIANS(P177-_xlfn.XLOOKUP(R177,'Mall Dataset'!$B$3:$B$157,'Mall Dataset'!$F$3:$F$157,,0))))*6371*1000</f>
        <v>306.29912827630301</v>
      </c>
      <c r="V177" s="39">
        <f>ACOS(COS(RADIANS(90-O177))*COS(RADIANS(90-_xlfn.XLOOKUP(S177,'Schools dataset'!$B$3:$B$187,'Schools dataset'!$J$3:$J$187,,0)))+SIN(RADIANS(90-O177))*SIN(RADIANS(90-_xlfn.XLOOKUP(S177,'Schools dataset'!$B$3:$B$187,'Schools dataset'!$J$3:$J$187,,0)))*COS(RADIANS(P177-_xlfn.XLOOKUP(S177,'Schools dataset'!$B$3:$B$187,'Schools dataset'!$K$3:$K$187,,0))))*6371*1000</f>
        <v>823.72773244063649</v>
      </c>
      <c r="W177" s="20">
        <f>_xlfn.XLOOKUP(T177,'HDB Recommender'!$P$10:$P$39,'HDB Recommender'!$Q$10:$Q$39,"&gt;30mins",1)</f>
        <v>6</v>
      </c>
      <c r="X177" s="20">
        <f>_xlfn.XLOOKUP(U177,'HDB Recommender'!$P$10:$P$39,'HDB Recommender'!$Q$10:$Q$39,"&gt;30mins",1)</f>
        <v>5</v>
      </c>
      <c r="Y177" s="20">
        <f>_xlfn.XLOOKUP(V177,'HDB Recommender'!$P$10:$P$39,'HDB Recommender'!$Q$10:$Q$39,"&gt;30mins",1)</f>
        <v>11</v>
      </c>
      <c r="Z177" s="39">
        <f t="shared" si="4"/>
        <v>7.333333333333333</v>
      </c>
      <c r="AA177" s="20" t="str">
        <f t="shared" si="5"/>
        <v>Within 1km</v>
      </c>
    </row>
    <row r="178" spans="2:27">
      <c r="B178" s="35" t="s">
        <v>317</v>
      </c>
      <c r="C178" s="35" t="s">
        <v>630</v>
      </c>
      <c r="D178" s="35" t="s">
        <v>395</v>
      </c>
      <c r="E178" s="35"/>
      <c r="F178" s="35" t="s">
        <v>631</v>
      </c>
      <c r="G178" s="35" t="s">
        <v>191</v>
      </c>
      <c r="H178" s="35">
        <v>46</v>
      </c>
      <c r="I178" s="35" t="s">
        <v>335</v>
      </c>
      <c r="J178" s="36">
        <v>2014</v>
      </c>
      <c r="K178" s="39">
        <v>90.25</v>
      </c>
      <c r="L178" s="37">
        <v>320000</v>
      </c>
      <c r="M178" s="35" t="s">
        <v>632</v>
      </c>
      <c r="N178" s="27">
        <v>823209</v>
      </c>
      <c r="O178" s="38">
        <v>1.39930949012592</v>
      </c>
      <c r="P178" s="38">
        <v>103.900792344556</v>
      </c>
      <c r="Q178" s="38" t="str" cm="1">
        <f t="array" ref="Q178">INDEX('MRT station dataset'!$C$3:$C$179, MATCH(MIN(SQRT(('MRT station dataset'!$E$3:$E$179-'Resale flat dataset (DV)'!O178)^2+('MRT station dataset'!$F$3:$F$179-'Resale flat dataset (DV)'!P178)^2)), SQRT(('MRT station dataset'!$E$3:$E$179-'Resale flat dataset (DV)'!O178)^2+('MRT station dataset'!$F$3:$F$179-'Resale flat dataset (DV)'!P178)^2), 0))</f>
        <v>COMPASSVALE LRT STATION</v>
      </c>
      <c r="R178" s="38" t="str" cm="1">
        <f t="array" ref="R178">INDEX('Mall Dataset'!$B$3:$B$157, MATCH(MIN(SQRT(('Mall Dataset'!$E$3:$E$157-'Resale flat dataset (DV)'!O178)^2+('Mall Dataset'!$F$3:$F$157-'Resale flat dataset (DV)'!P178)^2)), SQRT(('Mall Dataset'!$E$3:$E$157-'Resale flat dataset (DV)'!O178)^2+('Mall Dataset'!$F$3:$F$157-'Resale flat dataset (DV)'!P178)^2), 0))</f>
        <v>Waterway Point</v>
      </c>
      <c r="S178" s="38" t="str" cm="1">
        <f t="array" ref="S178">INDEX('Schools dataset'!$B$3:$B$187, MATCH(MIN(SQRT(('Schools dataset'!$J$3:$J$187-'Resale flat dataset (DV)'!O178)^2+('Schools dataset'!$K$3:$K$187-'Resale flat dataset (DV)'!P178)^2)), SQRT(('Schools dataset'!$J$3:$J$187-'Resale flat dataset (DV)'!O178)^2+('Schools dataset'!$K$3:$K$187-'Resale flat dataset (DV)'!P178)^2), 0))</f>
        <v>PUNGGOL GREEN PRIMARY SCHOOL</v>
      </c>
      <c r="T178" s="39">
        <f>ACOS(COS(RADIANS(90-O178))*COS(RADIANS(90-_xlfn.XLOOKUP(Q178,'MRT station dataset'!$C$3:$C$179,'MRT station dataset'!$E$3:$E$179)))+SIN(RADIANS(90-O178))*SIN(RADIANS(90-_xlfn.XLOOKUP(Q178,'MRT station dataset'!$C$3:$C$179,'MRT station dataset'!$E$3:$E$179)))*COS(RADIANS(P178-_xlfn.XLOOKUP('Resale flat dataset (DV)'!Q178,'MRT station dataset'!$C$3:$C$179,'MRT station dataset'!$F$3:$F$179))))*6371*1000</f>
        <v>535.77738639100221</v>
      </c>
      <c r="U178" s="39">
        <f>ACOS(COS(RADIANS(90-O178))*COS(RADIANS(90-_xlfn.XLOOKUP(R178,'Mall Dataset'!$B$3:$B$157,'Mall Dataset'!$E$3:$E$157,,0)))+SIN(RADIANS(90-O178))*SIN(RADIANS(90-_xlfn.XLOOKUP(R178,'Mall Dataset'!$B$3:$B$157,'Mall Dataset'!$E$3:$E$157,,0)))*COS(RADIANS(P178-_xlfn.XLOOKUP(R178,'Mall Dataset'!$B$3:$B$157,'Mall Dataset'!$F$3:$F$157,,0))))*6371*1000</f>
        <v>800.95639431434938</v>
      </c>
      <c r="V178" s="39">
        <f>ACOS(COS(RADIANS(90-O178))*COS(RADIANS(90-_xlfn.XLOOKUP(S178,'Schools dataset'!$B$3:$B$187,'Schools dataset'!$J$3:$J$187,,0)))+SIN(RADIANS(90-O178))*SIN(RADIANS(90-_xlfn.XLOOKUP(S178,'Schools dataset'!$B$3:$B$187,'Schools dataset'!$J$3:$J$187,,0)))*COS(RADIANS(P178-_xlfn.XLOOKUP(S178,'Schools dataset'!$B$3:$B$187,'Schools dataset'!$K$3:$K$187,,0))))*6371*1000</f>
        <v>354.41526136449909</v>
      </c>
      <c r="W178" s="20">
        <f>_xlfn.XLOOKUP(T178,'HDB Recommender'!$P$10:$P$39,'HDB Recommender'!$Q$10:$Q$39,"&gt;30mins",1)</f>
        <v>8</v>
      </c>
      <c r="X178" s="20">
        <f>_xlfn.XLOOKUP(U178,'HDB Recommender'!$P$10:$P$39,'HDB Recommender'!$Q$10:$Q$39,"&gt;30mins",1)</f>
        <v>11</v>
      </c>
      <c r="Y178" s="20">
        <f>_xlfn.XLOOKUP(V178,'HDB Recommender'!$P$10:$P$39,'HDB Recommender'!$Q$10:$Q$39,"&gt;30mins",1)</f>
        <v>5</v>
      </c>
      <c r="Z178" s="39">
        <f t="shared" si="4"/>
        <v>8</v>
      </c>
      <c r="AA178" s="20" t="str">
        <f t="shared" si="5"/>
        <v>Within 1km</v>
      </c>
    </row>
    <row r="179" spans="2:27">
      <c r="B179" s="35" t="s">
        <v>317</v>
      </c>
      <c r="C179" s="35" t="s">
        <v>630</v>
      </c>
      <c r="D179" s="35" t="s">
        <v>20</v>
      </c>
      <c r="E179" s="35"/>
      <c r="F179" s="35" t="s">
        <v>633</v>
      </c>
      <c r="G179" s="35" t="s">
        <v>323</v>
      </c>
      <c r="H179" s="35">
        <v>92</v>
      </c>
      <c r="I179" s="35" t="s">
        <v>389</v>
      </c>
      <c r="J179" s="36">
        <v>2017</v>
      </c>
      <c r="K179" s="39">
        <v>92.6666666666666</v>
      </c>
      <c r="L179" s="37">
        <v>616000</v>
      </c>
      <c r="M179" s="35" t="s">
        <v>634</v>
      </c>
      <c r="N179" s="27">
        <v>822661</v>
      </c>
      <c r="O179" s="38">
        <v>1.40248564833205</v>
      </c>
      <c r="P179" s="38">
        <v>103.91675143822501</v>
      </c>
      <c r="Q179" s="38" t="str" cm="1">
        <f t="array" ref="Q179">INDEX('MRT station dataset'!$C$3:$C$179, MATCH(MIN(SQRT(('MRT station dataset'!$E$3:$E$179-'Resale flat dataset (DV)'!O179)^2+('MRT station dataset'!$F$3:$F$179-'Resale flat dataset (DV)'!P179)^2)), SQRT(('MRT station dataset'!$E$3:$E$179-'Resale flat dataset (DV)'!O179)^2+('MRT station dataset'!$F$3:$F$179-'Resale flat dataset (DV)'!P179)^2), 0))</f>
        <v>KADALOOR LRT STATION</v>
      </c>
      <c r="R179" s="38" t="str" cm="1">
        <f t="array" ref="R179">INDEX('Mall Dataset'!$B$3:$B$157, MATCH(MIN(SQRT(('Mall Dataset'!$E$3:$E$157-'Resale flat dataset (DV)'!O179)^2+('Mall Dataset'!$F$3:$F$157-'Resale flat dataset (DV)'!P179)^2)), SQRT(('Mall Dataset'!$E$3:$E$157-'Resale flat dataset (DV)'!O179)^2+('Mall Dataset'!$F$3:$F$157-'Resale flat dataset (DV)'!P179)^2), 0))</f>
        <v>Oasis Terraces</v>
      </c>
      <c r="S179" s="38" t="str" cm="1">
        <f t="array" ref="S179">INDEX('Schools dataset'!$B$3:$B$187, MATCH(MIN(SQRT(('Schools dataset'!$J$3:$J$187-'Resale flat dataset (DV)'!O179)^2+('Schools dataset'!$K$3:$K$187-'Resale flat dataset (DV)'!P179)^2)), SQRT(('Schools dataset'!$J$3:$J$187-'Resale flat dataset (DV)'!O179)^2+('Schools dataset'!$K$3:$K$187-'Resale flat dataset (DV)'!P179)^2), 0))</f>
        <v>WATERWAY PRIMARY SCHOOL</v>
      </c>
      <c r="T179" s="39">
        <f>ACOS(COS(RADIANS(90-O179))*COS(RADIANS(90-_xlfn.XLOOKUP(Q179,'MRT station dataset'!$C$3:$C$179,'MRT station dataset'!$E$3:$E$179)))+SIN(RADIANS(90-O179))*SIN(RADIANS(90-_xlfn.XLOOKUP(Q179,'MRT station dataset'!$C$3:$C$179,'MRT station dataset'!$E$3:$E$179)))*COS(RADIANS(P179-_xlfn.XLOOKUP('Resale flat dataset (DV)'!Q179,'MRT station dataset'!$C$3:$C$179,'MRT station dataset'!$F$3:$F$179))))*6371*1000</f>
        <v>322.08450494912921</v>
      </c>
      <c r="U179" s="39">
        <f>ACOS(COS(RADIANS(90-O179))*COS(RADIANS(90-_xlfn.XLOOKUP(R179,'Mall Dataset'!$B$3:$B$157,'Mall Dataset'!$E$3:$E$157,,0)))+SIN(RADIANS(90-O179))*SIN(RADIANS(90-_xlfn.XLOOKUP(R179,'Mall Dataset'!$B$3:$B$157,'Mall Dataset'!$E$3:$E$157,,0)))*COS(RADIANS(P179-_xlfn.XLOOKUP(R179,'Mall Dataset'!$B$3:$B$157,'Mall Dataset'!$F$3:$F$157,,0))))*6371*1000</f>
        <v>394.4665704422352</v>
      </c>
      <c r="V179" s="39">
        <f>ACOS(COS(RADIANS(90-O179))*COS(RADIANS(90-_xlfn.XLOOKUP(S179,'Schools dataset'!$B$3:$B$187,'Schools dataset'!$J$3:$J$187,,0)))+SIN(RADIANS(90-O179))*SIN(RADIANS(90-_xlfn.XLOOKUP(S179,'Schools dataset'!$B$3:$B$187,'Schools dataset'!$J$3:$J$187,,0)))*COS(RADIANS(P179-_xlfn.XLOOKUP(S179,'Schools dataset'!$B$3:$B$187,'Schools dataset'!$K$3:$K$187,,0))))*6371*1000</f>
        <v>448.56145702992876</v>
      </c>
      <c r="W179" s="20">
        <f>_xlfn.XLOOKUP(T179,'HDB Recommender'!$P$10:$P$39,'HDB Recommender'!$Q$10:$Q$39,"&gt;30mins",1)</f>
        <v>5</v>
      </c>
      <c r="X179" s="20">
        <f>_xlfn.XLOOKUP(U179,'HDB Recommender'!$P$10:$P$39,'HDB Recommender'!$Q$10:$Q$39,"&gt;30mins",1)</f>
        <v>6</v>
      </c>
      <c r="Y179" s="20">
        <f>_xlfn.XLOOKUP(V179,'HDB Recommender'!$P$10:$P$39,'HDB Recommender'!$Q$10:$Q$39,"&gt;30mins",1)</f>
        <v>6</v>
      </c>
      <c r="Z179" s="39">
        <f t="shared" si="4"/>
        <v>5.666666666666667</v>
      </c>
      <c r="AA179" s="20" t="str">
        <f t="shared" si="5"/>
        <v>Within 1km</v>
      </c>
    </row>
    <row r="180" spans="2:27">
      <c r="B180" s="35" t="s">
        <v>317</v>
      </c>
      <c r="C180" s="35" t="s">
        <v>630</v>
      </c>
      <c r="D180" s="35" t="s">
        <v>20</v>
      </c>
      <c r="E180" s="35"/>
      <c r="F180" s="35" t="s">
        <v>633</v>
      </c>
      <c r="G180" s="35" t="s">
        <v>323</v>
      </c>
      <c r="H180" s="35">
        <v>86</v>
      </c>
      <c r="I180" s="35" t="s">
        <v>335</v>
      </c>
      <c r="J180" s="36">
        <v>2004</v>
      </c>
      <c r="K180" s="39">
        <v>79.3333333333333</v>
      </c>
      <c r="L180" s="37">
        <v>489988</v>
      </c>
      <c r="M180" s="35" t="s">
        <v>635</v>
      </c>
      <c r="N180" s="27">
        <v>821171</v>
      </c>
      <c r="O180" s="38">
        <v>1.3946307824678299</v>
      </c>
      <c r="P180" s="38">
        <v>103.91229385253099</v>
      </c>
      <c r="Q180" s="38" t="str" cm="1">
        <f t="array" ref="Q180">INDEX('MRT station dataset'!$C$3:$C$179, MATCH(MIN(SQRT(('MRT station dataset'!$E$3:$E$179-'Resale flat dataset (DV)'!O180)^2+('MRT station dataset'!$F$3:$F$179-'Resale flat dataset (DV)'!P180)^2)), SQRT(('MRT station dataset'!$E$3:$E$179-'Resale flat dataset (DV)'!O180)^2+('MRT station dataset'!$F$3:$F$179-'Resale flat dataset (DV)'!P180)^2), 0))</f>
        <v>CORAL EDGE LRT STATION</v>
      </c>
      <c r="R180" s="38" t="str" cm="1">
        <f t="array" ref="R180">INDEX('Mall Dataset'!$B$3:$B$157, MATCH(MIN(SQRT(('Mall Dataset'!$E$3:$E$157-'Resale flat dataset (DV)'!O180)^2+('Mall Dataset'!$F$3:$F$157-'Resale flat dataset (DV)'!P180)^2)), SQRT(('Mall Dataset'!$E$3:$E$157-'Resale flat dataset (DV)'!O180)^2+('Mall Dataset'!$F$3:$F$157-'Resale flat dataset (DV)'!P180)^2), 0))</f>
        <v>Punggol Plaza</v>
      </c>
      <c r="S180" s="38" t="str" cm="1">
        <f t="array" ref="S180">INDEX('Schools dataset'!$B$3:$B$187, MATCH(MIN(SQRT(('Schools dataset'!$J$3:$J$187-'Resale flat dataset (DV)'!O180)^2+('Schools dataset'!$K$3:$K$187-'Resale flat dataset (DV)'!P180)^2)), SQRT(('Schools dataset'!$J$3:$J$187-'Resale flat dataset (DV)'!O180)^2+('Schools dataset'!$K$3:$K$187-'Resale flat dataset (DV)'!P180)^2), 0))</f>
        <v>GREENDALE PRIMARY SCHOOL</v>
      </c>
      <c r="T180" s="39">
        <f>ACOS(COS(RADIANS(90-O180))*COS(RADIANS(90-_xlfn.XLOOKUP(Q180,'MRT station dataset'!$C$3:$C$179,'MRT station dataset'!$E$3:$E$179)))+SIN(RADIANS(90-O180))*SIN(RADIANS(90-_xlfn.XLOOKUP(Q180,'MRT station dataset'!$C$3:$C$179,'MRT station dataset'!$E$3:$E$179)))*COS(RADIANS(P180-_xlfn.XLOOKUP('Resale flat dataset (DV)'!Q180,'MRT station dataset'!$C$3:$C$179,'MRT station dataset'!$F$3:$F$179))))*6371*1000</f>
        <v>88.098012773041518</v>
      </c>
      <c r="U180" s="39">
        <f>ACOS(COS(RADIANS(90-O180))*COS(RADIANS(90-_xlfn.XLOOKUP(R180,'Mall Dataset'!$B$3:$B$157,'Mall Dataset'!$E$3:$E$157,,0)))+SIN(RADIANS(90-O180))*SIN(RADIANS(90-_xlfn.XLOOKUP(R180,'Mall Dataset'!$B$3:$B$157,'Mall Dataset'!$E$3:$E$157,,0)))*COS(RADIANS(P180-_xlfn.XLOOKUP(R180,'Mall Dataset'!$B$3:$B$157,'Mall Dataset'!$F$3:$F$157,,0))))*6371*1000</f>
        <v>94.502069053077349</v>
      </c>
      <c r="V180" s="39">
        <f>ACOS(COS(RADIANS(90-O180))*COS(RADIANS(90-_xlfn.XLOOKUP(S180,'Schools dataset'!$B$3:$B$187,'Schools dataset'!$J$3:$J$187,,0)))+SIN(RADIANS(90-O180))*SIN(RADIANS(90-_xlfn.XLOOKUP(S180,'Schools dataset'!$B$3:$B$187,'Schools dataset'!$J$3:$J$187,,0)))*COS(RADIANS(P180-_xlfn.XLOOKUP(S180,'Schools dataset'!$B$3:$B$187,'Schools dataset'!$K$3:$K$187,,0))))*6371*1000</f>
        <v>172.55685870039827</v>
      </c>
      <c r="W180" s="20">
        <f>_xlfn.XLOOKUP(T180,'HDB Recommender'!$P$10:$P$39,'HDB Recommender'!$Q$10:$Q$39,"&gt;30mins",1)</f>
        <v>2</v>
      </c>
      <c r="X180" s="20">
        <f>_xlfn.XLOOKUP(U180,'HDB Recommender'!$P$10:$P$39,'HDB Recommender'!$Q$10:$Q$39,"&gt;30mins",1)</f>
        <v>2</v>
      </c>
      <c r="Y180" s="20">
        <f>_xlfn.XLOOKUP(V180,'HDB Recommender'!$P$10:$P$39,'HDB Recommender'!$Q$10:$Q$39,"&gt;30mins",1)</f>
        <v>3</v>
      </c>
      <c r="Z180" s="39">
        <f t="shared" si="4"/>
        <v>2.3333333333333335</v>
      </c>
      <c r="AA180" s="20" t="str">
        <f t="shared" si="5"/>
        <v>Within 1km</v>
      </c>
    </row>
    <row r="181" spans="2:27">
      <c r="B181" s="35" t="s">
        <v>317</v>
      </c>
      <c r="C181" s="35" t="s">
        <v>630</v>
      </c>
      <c r="D181" s="35" t="s">
        <v>20</v>
      </c>
      <c r="E181" s="35"/>
      <c r="F181" s="35" t="s">
        <v>636</v>
      </c>
      <c r="G181" s="35" t="s">
        <v>349</v>
      </c>
      <c r="H181" s="35">
        <v>93</v>
      </c>
      <c r="I181" s="35" t="s">
        <v>335</v>
      </c>
      <c r="J181" s="36">
        <v>2012</v>
      </c>
      <c r="K181" s="39">
        <v>87.8333333333333</v>
      </c>
      <c r="L181" s="37">
        <v>525000</v>
      </c>
      <c r="M181" s="35" t="s">
        <v>637</v>
      </c>
      <c r="N181" s="27">
        <v>824601</v>
      </c>
      <c r="O181" s="38">
        <v>1.4029640075063901</v>
      </c>
      <c r="P181" s="38">
        <v>103.907847415747</v>
      </c>
      <c r="Q181" s="38" t="str" cm="1">
        <f t="array" ref="Q181">INDEX('MRT station dataset'!$C$3:$C$179, MATCH(MIN(SQRT(('MRT station dataset'!$E$3:$E$179-'Resale flat dataset (DV)'!O181)^2+('MRT station dataset'!$F$3:$F$179-'Resale flat dataset (DV)'!P181)^2)), SQRT(('MRT station dataset'!$E$3:$E$179-'Resale flat dataset (DV)'!O181)^2+('MRT station dataset'!$F$3:$F$179-'Resale flat dataset (DV)'!P181)^2), 0))</f>
        <v>DAMAI LRT STATION</v>
      </c>
      <c r="R181" s="38" t="str" cm="1">
        <f t="array" ref="R181">INDEX('Mall Dataset'!$B$3:$B$157, MATCH(MIN(SQRT(('Mall Dataset'!$E$3:$E$157-'Resale flat dataset (DV)'!O181)^2+('Mall Dataset'!$F$3:$F$157-'Resale flat dataset (DV)'!P181)^2)), SQRT(('Mall Dataset'!$E$3:$E$157-'Resale flat dataset (DV)'!O181)^2+('Mall Dataset'!$F$3:$F$157-'Resale flat dataset (DV)'!P181)^2), 0))</f>
        <v>Oasis Terraces</v>
      </c>
      <c r="S181" s="38" t="str" cm="1">
        <f t="array" ref="S181">INDEX('Schools dataset'!$B$3:$B$187, MATCH(MIN(SQRT(('Schools dataset'!$J$3:$J$187-'Resale flat dataset (DV)'!O181)^2+('Schools dataset'!$K$3:$K$187-'Resale flat dataset (DV)'!P181)^2)), SQRT(('Schools dataset'!$J$3:$J$187-'Resale flat dataset (DV)'!O181)^2+('Schools dataset'!$K$3:$K$187-'Resale flat dataset (DV)'!P181)^2), 0))</f>
        <v>EDGEFIELD PRIMARY SCHOOL</v>
      </c>
      <c r="T181" s="39">
        <f>ACOS(COS(RADIANS(90-O181))*COS(RADIANS(90-_xlfn.XLOOKUP(Q181,'MRT station dataset'!$C$3:$C$179,'MRT station dataset'!$E$3:$E$179)))+SIN(RADIANS(90-O181))*SIN(RADIANS(90-_xlfn.XLOOKUP(Q181,'MRT station dataset'!$C$3:$C$179,'MRT station dataset'!$E$3:$E$179)))*COS(RADIANS(P181-_xlfn.XLOOKUP('Resale flat dataset (DV)'!Q181,'MRT station dataset'!$C$3:$C$179,'MRT station dataset'!$F$3:$F$179))))*6371*1000</f>
        <v>262.32825181289087</v>
      </c>
      <c r="U181" s="39">
        <f>ACOS(COS(RADIANS(90-O181))*COS(RADIANS(90-_xlfn.XLOOKUP(R181,'Mall Dataset'!$B$3:$B$157,'Mall Dataset'!$E$3:$E$157,,0)))+SIN(RADIANS(90-O181))*SIN(RADIANS(90-_xlfn.XLOOKUP(R181,'Mall Dataset'!$B$3:$B$157,'Mall Dataset'!$E$3:$E$157,,0)))*COS(RADIANS(P181-_xlfn.XLOOKUP(R181,'Mall Dataset'!$B$3:$B$157,'Mall Dataset'!$F$3:$F$157,,0))))*6371*1000</f>
        <v>597.03060833757115</v>
      </c>
      <c r="V181" s="39">
        <f>ACOS(COS(RADIANS(90-O181))*COS(RADIANS(90-_xlfn.XLOOKUP(S181,'Schools dataset'!$B$3:$B$187,'Schools dataset'!$J$3:$J$187,,0)))+SIN(RADIANS(90-O181))*SIN(RADIANS(90-_xlfn.XLOOKUP(S181,'Schools dataset'!$B$3:$B$187,'Schools dataset'!$J$3:$J$187,,0)))*COS(RADIANS(P181-_xlfn.XLOOKUP(S181,'Schools dataset'!$B$3:$B$187,'Schools dataset'!$K$3:$K$187,,0))))*6371*1000</f>
        <v>300.06559326690052</v>
      </c>
      <c r="W181" s="20">
        <f>_xlfn.XLOOKUP(T181,'HDB Recommender'!$P$10:$P$39,'HDB Recommender'!$Q$10:$Q$39,"&gt;30mins",1)</f>
        <v>4</v>
      </c>
      <c r="X181" s="20">
        <f>_xlfn.XLOOKUP(U181,'HDB Recommender'!$P$10:$P$39,'HDB Recommender'!$Q$10:$Q$39,"&gt;30mins",1)</f>
        <v>8</v>
      </c>
      <c r="Y181" s="20">
        <f>_xlfn.XLOOKUP(V181,'HDB Recommender'!$P$10:$P$39,'HDB Recommender'!$Q$10:$Q$39,"&gt;30mins",1)</f>
        <v>5</v>
      </c>
      <c r="Z181" s="39">
        <f t="shared" si="4"/>
        <v>5.666666666666667</v>
      </c>
      <c r="AA181" s="20" t="str">
        <f t="shared" si="5"/>
        <v>Within 1km</v>
      </c>
    </row>
    <row r="182" spans="2:27">
      <c r="B182" s="35" t="s">
        <v>317</v>
      </c>
      <c r="C182" s="35" t="s">
        <v>630</v>
      </c>
      <c r="D182" s="35" t="s">
        <v>20</v>
      </c>
      <c r="E182" s="35"/>
      <c r="F182" s="35" t="s">
        <v>638</v>
      </c>
      <c r="G182" s="35" t="s">
        <v>184</v>
      </c>
      <c r="H182" s="35">
        <v>90</v>
      </c>
      <c r="I182" s="35" t="s">
        <v>335</v>
      </c>
      <c r="J182" s="36">
        <v>2016</v>
      </c>
      <c r="K182" s="39">
        <v>91.75</v>
      </c>
      <c r="L182" s="37">
        <v>615000</v>
      </c>
      <c r="M182" s="35" t="s">
        <v>639</v>
      </c>
      <c r="N182" s="27">
        <v>821663</v>
      </c>
      <c r="O182" s="38">
        <v>1.40024347553794</v>
      </c>
      <c r="P182" s="38">
        <v>103.917080046799</v>
      </c>
      <c r="Q182" s="38" t="str" cm="1">
        <f t="array" ref="Q182">INDEX('MRT station dataset'!$C$3:$C$179, MATCH(MIN(SQRT(('MRT station dataset'!$E$3:$E$179-'Resale flat dataset (DV)'!O182)^2+('MRT station dataset'!$F$3:$F$179-'Resale flat dataset (DV)'!P182)^2)), SQRT(('MRT station dataset'!$E$3:$E$179-'Resale flat dataset (DV)'!O182)^2+('MRT station dataset'!$F$3:$F$179-'Resale flat dataset (DV)'!P182)^2), 0))</f>
        <v>KADALOOR LRT STATION</v>
      </c>
      <c r="R182" s="38" t="str" cm="1">
        <f t="array" ref="R182">INDEX('Mall Dataset'!$B$3:$B$157, MATCH(MIN(SQRT(('Mall Dataset'!$E$3:$E$157-'Resale flat dataset (DV)'!O182)^2+('Mall Dataset'!$F$3:$F$157-'Resale flat dataset (DV)'!P182)^2)), SQRT(('Mall Dataset'!$E$3:$E$157-'Resale flat dataset (DV)'!O182)^2+('Mall Dataset'!$F$3:$F$157-'Resale flat dataset (DV)'!P182)^2), 0))</f>
        <v>Oasis Terraces</v>
      </c>
      <c r="S182" s="38" t="str" cm="1">
        <f t="array" ref="S182">INDEX('Schools dataset'!$B$3:$B$187, MATCH(MIN(SQRT(('Schools dataset'!$J$3:$J$187-'Resale flat dataset (DV)'!O182)^2+('Schools dataset'!$K$3:$K$187-'Resale flat dataset (DV)'!P182)^2)), SQRT(('Schools dataset'!$J$3:$J$187-'Resale flat dataset (DV)'!O182)^2+('Schools dataset'!$K$3:$K$187-'Resale flat dataset (DV)'!P182)^2), 0))</f>
        <v>WATERWAY PRIMARY SCHOOL</v>
      </c>
      <c r="T182" s="39">
        <f>ACOS(COS(RADIANS(90-O182))*COS(RADIANS(90-_xlfn.XLOOKUP(Q182,'MRT station dataset'!$C$3:$C$179,'MRT station dataset'!$E$3:$E$179)))+SIN(RADIANS(90-O182))*SIN(RADIANS(90-_xlfn.XLOOKUP(Q182,'MRT station dataset'!$C$3:$C$179,'MRT station dataset'!$E$3:$E$179)))*COS(RADIANS(P182-_xlfn.XLOOKUP('Resale flat dataset (DV)'!Q182,'MRT station dataset'!$C$3:$C$179,'MRT station dataset'!$F$3:$F$179))))*6371*1000</f>
        <v>96.317836922663375</v>
      </c>
      <c r="U182" s="39">
        <f>ACOS(COS(RADIANS(90-O182))*COS(RADIANS(90-_xlfn.XLOOKUP(R182,'Mall Dataset'!$B$3:$B$157,'Mall Dataset'!$E$3:$E$157,,0)))+SIN(RADIANS(90-O182))*SIN(RADIANS(90-_xlfn.XLOOKUP(R182,'Mall Dataset'!$B$3:$B$157,'Mall Dataset'!$E$3:$E$157,,0)))*COS(RADIANS(P182-_xlfn.XLOOKUP(R182,'Mall Dataset'!$B$3:$B$157,'Mall Dataset'!$F$3:$F$157,,0))))*6371*1000</f>
        <v>513.95182168310157</v>
      </c>
      <c r="V182" s="39">
        <f>ACOS(COS(RADIANS(90-O182))*COS(RADIANS(90-_xlfn.XLOOKUP(S182,'Schools dataset'!$B$3:$B$187,'Schools dataset'!$J$3:$J$187,,0)))+SIN(RADIANS(90-O182))*SIN(RADIANS(90-_xlfn.XLOOKUP(S182,'Schools dataset'!$B$3:$B$187,'Schools dataset'!$J$3:$J$187,,0)))*COS(RADIANS(P182-_xlfn.XLOOKUP(S182,'Schools dataset'!$B$3:$B$187,'Schools dataset'!$K$3:$K$187,,0))))*6371*1000</f>
        <v>224.90933482265808</v>
      </c>
      <c r="W182" s="20">
        <f>_xlfn.XLOOKUP(T182,'HDB Recommender'!$P$10:$P$39,'HDB Recommender'!$Q$10:$Q$39,"&gt;30mins",1)</f>
        <v>2</v>
      </c>
      <c r="X182" s="20">
        <f>_xlfn.XLOOKUP(U182,'HDB Recommender'!$P$10:$P$39,'HDB Recommender'!$Q$10:$Q$39,"&gt;30mins",1)</f>
        <v>7</v>
      </c>
      <c r="Y182" s="20">
        <f>_xlfn.XLOOKUP(V182,'HDB Recommender'!$P$10:$P$39,'HDB Recommender'!$Q$10:$Q$39,"&gt;30mins",1)</f>
        <v>3</v>
      </c>
      <c r="Z182" s="39">
        <f t="shared" si="4"/>
        <v>4</v>
      </c>
      <c r="AA182" s="20" t="str">
        <f t="shared" si="5"/>
        <v>Within 1km</v>
      </c>
    </row>
    <row r="183" spans="2:27">
      <c r="B183" s="35" t="s">
        <v>317</v>
      </c>
      <c r="C183" s="35" t="s">
        <v>630</v>
      </c>
      <c r="D183" s="35" t="s">
        <v>20</v>
      </c>
      <c r="E183" s="35"/>
      <c r="F183" s="35" t="s">
        <v>640</v>
      </c>
      <c r="G183" s="35" t="s">
        <v>189</v>
      </c>
      <c r="H183" s="35">
        <v>90</v>
      </c>
      <c r="I183" s="35" t="s">
        <v>335</v>
      </c>
      <c r="J183" s="36">
        <v>2004</v>
      </c>
      <c r="K183" s="39">
        <v>80.1666666666666</v>
      </c>
      <c r="L183" s="37">
        <v>508000</v>
      </c>
      <c r="M183" s="35" t="s">
        <v>641</v>
      </c>
      <c r="N183" s="27">
        <v>823204</v>
      </c>
      <c r="O183" s="38">
        <v>1.3980332147477701</v>
      </c>
      <c r="P183" s="38">
        <v>103.90307258196</v>
      </c>
      <c r="Q183" s="38" t="str" cm="1">
        <f t="array" ref="Q183">INDEX('MRT station dataset'!$C$3:$C$179, MATCH(MIN(SQRT(('MRT station dataset'!$E$3:$E$179-'Resale flat dataset (DV)'!O183)^2+('MRT station dataset'!$F$3:$F$179-'Resale flat dataset (DV)'!P183)^2)), SQRT(('MRT station dataset'!$E$3:$E$179-'Resale flat dataset (DV)'!O183)^2+('MRT station dataset'!$F$3:$F$179-'Resale flat dataset (DV)'!P183)^2), 0))</f>
        <v>COVE LRT STATION</v>
      </c>
      <c r="R183" s="38" t="str" cm="1">
        <f t="array" ref="R183">INDEX('Mall Dataset'!$B$3:$B$157, MATCH(MIN(SQRT(('Mall Dataset'!$E$3:$E$157-'Resale flat dataset (DV)'!O183)^2+('Mall Dataset'!$F$3:$F$157-'Resale flat dataset (DV)'!P183)^2)), SQRT(('Mall Dataset'!$E$3:$E$157-'Resale flat dataset (DV)'!O183)^2+('Mall Dataset'!$F$3:$F$157-'Resale flat dataset (DV)'!P183)^2), 0))</f>
        <v>Rivervale Mall</v>
      </c>
      <c r="S183" s="38" t="str" cm="1">
        <f t="array" ref="S183">INDEX('Schools dataset'!$B$3:$B$187, MATCH(MIN(SQRT(('Schools dataset'!$J$3:$J$187-'Resale flat dataset (DV)'!O183)^2+('Schools dataset'!$K$3:$K$187-'Resale flat dataset (DV)'!P183)^2)), SQRT(('Schools dataset'!$J$3:$J$187-'Resale flat dataset (DV)'!O183)^2+('Schools dataset'!$K$3:$K$187-'Resale flat dataset (DV)'!P183)^2), 0))</f>
        <v>RIVERVALE PRIMARY SCHOOL</v>
      </c>
      <c r="T183" s="39">
        <f>ACOS(COS(RADIANS(90-O183))*COS(RADIANS(90-_xlfn.XLOOKUP(Q183,'MRT station dataset'!$C$3:$C$179,'MRT station dataset'!$E$3:$E$179)))+SIN(RADIANS(90-O183))*SIN(RADIANS(90-_xlfn.XLOOKUP(Q183,'MRT station dataset'!$C$3:$C$179,'MRT station dataset'!$E$3:$E$179)))*COS(RADIANS(P183-_xlfn.XLOOKUP('Resale flat dataset (DV)'!Q183,'MRT station dataset'!$C$3:$C$179,'MRT station dataset'!$F$3:$F$179))))*6371*1000</f>
        <v>354.59528408921102</v>
      </c>
      <c r="U183" s="39">
        <f>ACOS(COS(RADIANS(90-O183))*COS(RADIANS(90-_xlfn.XLOOKUP(R183,'Mall Dataset'!$B$3:$B$157,'Mall Dataset'!$E$3:$E$157,,0)))+SIN(RADIANS(90-O183))*SIN(RADIANS(90-_xlfn.XLOOKUP(R183,'Mall Dataset'!$B$3:$B$157,'Mall Dataset'!$E$3:$E$157,,0)))*COS(RADIANS(P183-_xlfn.XLOOKUP(R183,'Mall Dataset'!$B$3:$B$157,'Mall Dataset'!$F$3:$F$157,,0))))*6371*1000</f>
        <v>667.24746579152418</v>
      </c>
      <c r="V183" s="39">
        <f>ACOS(COS(RADIANS(90-O183))*COS(RADIANS(90-_xlfn.XLOOKUP(S183,'Schools dataset'!$B$3:$B$187,'Schools dataset'!$J$3:$J$187,,0)))+SIN(RADIANS(90-O183))*SIN(RADIANS(90-_xlfn.XLOOKUP(S183,'Schools dataset'!$B$3:$B$187,'Schools dataset'!$J$3:$J$187,,0)))*COS(RADIANS(P183-_xlfn.XLOOKUP(S183,'Schools dataset'!$B$3:$B$187,'Schools dataset'!$K$3:$K$187,,0))))*6371*1000</f>
        <v>539.99958578550536</v>
      </c>
      <c r="W183" s="20">
        <f>_xlfn.XLOOKUP(T183,'HDB Recommender'!$P$10:$P$39,'HDB Recommender'!$Q$10:$Q$39,"&gt;30mins",1)</f>
        <v>5</v>
      </c>
      <c r="X183" s="20">
        <f>_xlfn.XLOOKUP(U183,'HDB Recommender'!$P$10:$P$39,'HDB Recommender'!$Q$10:$Q$39,"&gt;30mins",1)</f>
        <v>9</v>
      </c>
      <c r="Y183" s="20">
        <f>_xlfn.XLOOKUP(V183,'HDB Recommender'!$P$10:$P$39,'HDB Recommender'!$Q$10:$Q$39,"&gt;30mins",1)</f>
        <v>8</v>
      </c>
      <c r="Z183" s="39">
        <f t="shared" si="4"/>
        <v>7.333333333333333</v>
      </c>
      <c r="AA183" s="20" t="str">
        <f t="shared" si="5"/>
        <v>Within 1km</v>
      </c>
    </row>
    <row r="184" spans="2:27">
      <c r="B184" s="35" t="s">
        <v>317</v>
      </c>
      <c r="C184" s="35" t="s">
        <v>630</v>
      </c>
      <c r="D184" s="35" t="s">
        <v>20</v>
      </c>
      <c r="E184" s="35"/>
      <c r="F184" s="35" t="s">
        <v>640</v>
      </c>
      <c r="G184" s="35" t="s">
        <v>189</v>
      </c>
      <c r="H184" s="35">
        <v>97</v>
      </c>
      <c r="I184" s="35" t="s">
        <v>389</v>
      </c>
      <c r="J184" s="36">
        <v>2013</v>
      </c>
      <c r="K184" s="39">
        <v>88.3333333333333</v>
      </c>
      <c r="L184" s="37">
        <v>720000</v>
      </c>
      <c r="M184" s="35" t="s">
        <v>642</v>
      </c>
      <c r="N184" s="27">
        <v>821270</v>
      </c>
      <c r="O184" s="38">
        <v>1.4039795012102601</v>
      </c>
      <c r="P184" s="38">
        <v>103.89945494544099</v>
      </c>
      <c r="Q184" s="38" t="str" cm="1">
        <f t="array" ref="Q184">INDEX('MRT station dataset'!$C$3:$C$179, MATCH(MIN(SQRT(('MRT station dataset'!$E$3:$E$179-'Resale flat dataset (DV)'!O184)^2+('MRT station dataset'!$F$3:$F$179-'Resale flat dataset (DV)'!P184)^2)), SQRT(('MRT station dataset'!$E$3:$E$179-'Resale flat dataset (DV)'!O184)^2+('MRT station dataset'!$F$3:$F$179-'Resale flat dataset (DV)'!P184)^2), 0))</f>
        <v>SOO TECK LRT STATION</v>
      </c>
      <c r="R184" s="38" t="str" cm="1">
        <f t="array" ref="R184">INDEX('Mall Dataset'!$B$3:$B$157, MATCH(MIN(SQRT(('Mall Dataset'!$E$3:$E$157-'Resale flat dataset (DV)'!O184)^2+('Mall Dataset'!$F$3:$F$157-'Resale flat dataset (DV)'!P184)^2)), SQRT(('Mall Dataset'!$E$3:$E$157-'Resale flat dataset (DV)'!O184)^2+('Mall Dataset'!$F$3:$F$157-'Resale flat dataset (DV)'!P184)^2), 0))</f>
        <v>Waterway Point</v>
      </c>
      <c r="S184" s="38" t="str" cm="1">
        <f t="array" ref="S184">INDEX('Schools dataset'!$B$3:$B$187, MATCH(MIN(SQRT(('Schools dataset'!$J$3:$J$187-'Resale flat dataset (DV)'!O184)^2+('Schools dataset'!$K$3:$K$187-'Resale flat dataset (DV)'!P184)^2)), SQRT(('Schools dataset'!$J$3:$J$187-'Resale flat dataset (DV)'!O184)^2+('Schools dataset'!$K$3:$K$187-'Resale flat dataset (DV)'!P184)^2), 0))</f>
        <v>PUNGGOL GREEN PRIMARY SCHOOL</v>
      </c>
      <c r="T184" s="39">
        <f>ACOS(COS(RADIANS(90-O184))*COS(RADIANS(90-_xlfn.XLOOKUP(Q184,'MRT station dataset'!$C$3:$C$179,'MRT station dataset'!$E$3:$E$179)))+SIN(RADIANS(90-O184))*SIN(RADIANS(90-_xlfn.XLOOKUP(Q184,'MRT station dataset'!$C$3:$C$179,'MRT station dataset'!$E$3:$E$179)))*COS(RADIANS(P184-_xlfn.XLOOKUP('Resale flat dataset (DV)'!Q184,'MRT station dataset'!$C$3:$C$179,'MRT station dataset'!$F$3:$F$179))))*6371*1000</f>
        <v>279.92077894757261</v>
      </c>
      <c r="U184" s="39">
        <f>ACOS(COS(RADIANS(90-O184))*COS(RADIANS(90-_xlfn.XLOOKUP(R184,'Mall Dataset'!$B$3:$B$157,'Mall Dataset'!$E$3:$E$157,,0)))+SIN(RADIANS(90-O184))*SIN(RADIANS(90-_xlfn.XLOOKUP(R184,'Mall Dataset'!$B$3:$B$157,'Mall Dataset'!$E$3:$E$157,,0)))*COS(RADIANS(P184-_xlfn.XLOOKUP(R184,'Mall Dataset'!$B$3:$B$157,'Mall Dataset'!$F$3:$F$157,,0))))*6371*1000</f>
        <v>403.04904584217513</v>
      </c>
      <c r="V184" s="39">
        <f>ACOS(COS(RADIANS(90-O184))*COS(RADIANS(90-_xlfn.XLOOKUP(S184,'Schools dataset'!$B$3:$B$187,'Schools dataset'!$J$3:$J$187,,0)))+SIN(RADIANS(90-O184))*SIN(RADIANS(90-_xlfn.XLOOKUP(S184,'Schools dataset'!$B$3:$B$187,'Schools dataset'!$J$3:$J$187,,0)))*COS(RADIANS(P184-_xlfn.XLOOKUP(S184,'Schools dataset'!$B$3:$B$187,'Schools dataset'!$K$3:$K$187,,0))))*6371*1000</f>
        <v>261.70564104589687</v>
      </c>
      <c r="W184" s="20">
        <f>_xlfn.XLOOKUP(T184,'HDB Recommender'!$P$10:$P$39,'HDB Recommender'!$Q$10:$Q$39,"&gt;30mins",1)</f>
        <v>4</v>
      </c>
      <c r="X184" s="20">
        <f>_xlfn.XLOOKUP(U184,'HDB Recommender'!$P$10:$P$39,'HDB Recommender'!$Q$10:$Q$39,"&gt;30mins",1)</f>
        <v>6</v>
      </c>
      <c r="Y184" s="20">
        <f>_xlfn.XLOOKUP(V184,'HDB Recommender'!$P$10:$P$39,'HDB Recommender'!$Q$10:$Q$39,"&gt;30mins",1)</f>
        <v>4</v>
      </c>
      <c r="Z184" s="39">
        <f t="shared" si="4"/>
        <v>4.666666666666667</v>
      </c>
      <c r="AA184" s="20" t="str">
        <f t="shared" si="5"/>
        <v>Within 1km</v>
      </c>
    </row>
    <row r="185" spans="2:27">
      <c r="B185" s="35" t="s">
        <v>317</v>
      </c>
      <c r="C185" s="35" t="s">
        <v>630</v>
      </c>
      <c r="D185" s="35" t="s">
        <v>20</v>
      </c>
      <c r="E185" s="35"/>
      <c r="F185" s="35" t="s">
        <v>643</v>
      </c>
      <c r="G185" s="35" t="s">
        <v>189</v>
      </c>
      <c r="H185" s="35">
        <v>90</v>
      </c>
      <c r="I185" s="35" t="s">
        <v>389</v>
      </c>
      <c r="J185" s="36">
        <v>2007</v>
      </c>
      <c r="K185" s="39">
        <v>82.9166666666666</v>
      </c>
      <c r="L185" s="37">
        <v>512000</v>
      </c>
      <c r="M185" s="35" t="s">
        <v>644</v>
      </c>
      <c r="N185" s="27">
        <v>825195</v>
      </c>
      <c r="O185" s="38">
        <v>1.4017179923821399</v>
      </c>
      <c r="P185" s="38">
        <v>103.907177256788</v>
      </c>
      <c r="Q185" s="38" t="str" cm="1">
        <f t="array" ref="Q185">INDEX('MRT station dataset'!$C$3:$C$179, MATCH(MIN(SQRT(('MRT station dataset'!$E$3:$E$179-'Resale flat dataset (DV)'!O185)^2+('MRT station dataset'!$F$3:$F$179-'Resale flat dataset (DV)'!P185)^2)), SQRT(('MRT station dataset'!$E$3:$E$179-'Resale flat dataset (DV)'!O185)^2+('MRT station dataset'!$F$3:$F$179-'Resale flat dataset (DV)'!P185)^2), 0))</f>
        <v>COVE LRT STATION</v>
      </c>
      <c r="R185" s="38" t="str" cm="1">
        <f t="array" ref="R185">INDEX('Mall Dataset'!$B$3:$B$157, MATCH(MIN(SQRT(('Mall Dataset'!$E$3:$E$157-'Resale flat dataset (DV)'!O185)^2+('Mall Dataset'!$F$3:$F$157-'Resale flat dataset (DV)'!P185)^2)), SQRT(('Mall Dataset'!$E$3:$E$157-'Resale flat dataset (DV)'!O185)^2+('Mall Dataset'!$F$3:$F$157-'Resale flat dataset (DV)'!P185)^2), 0))</f>
        <v>Oasis Terraces</v>
      </c>
      <c r="S185" s="38" t="str" cm="1">
        <f t="array" ref="S185">INDEX('Schools dataset'!$B$3:$B$187, MATCH(MIN(SQRT(('Schools dataset'!$J$3:$J$187-'Resale flat dataset (DV)'!O185)^2+('Schools dataset'!$K$3:$K$187-'Resale flat dataset (DV)'!P185)^2)), SQRT(('Schools dataset'!$J$3:$J$187-'Resale flat dataset (DV)'!O185)^2+('Schools dataset'!$K$3:$K$187-'Resale flat dataset (DV)'!P185)^2), 0))</f>
        <v>EDGEFIELD PRIMARY SCHOOL</v>
      </c>
      <c r="T185" s="39">
        <f>ACOS(COS(RADIANS(90-O185))*COS(RADIANS(90-_xlfn.XLOOKUP(Q185,'MRT station dataset'!$C$3:$C$179,'MRT station dataset'!$E$3:$E$179)))+SIN(RADIANS(90-O185))*SIN(RADIANS(90-_xlfn.XLOOKUP(Q185,'MRT station dataset'!$C$3:$C$179,'MRT station dataset'!$E$3:$E$179)))*COS(RADIANS(P185-_xlfn.XLOOKUP('Resale flat dataset (DV)'!Q185,'MRT station dataset'!$C$3:$C$179,'MRT station dataset'!$F$3:$F$179))))*6371*1000</f>
        <v>299.02531719461803</v>
      </c>
      <c r="U185" s="39">
        <f>ACOS(COS(RADIANS(90-O185))*COS(RADIANS(90-_xlfn.XLOOKUP(R185,'Mall Dataset'!$B$3:$B$157,'Mall Dataset'!$E$3:$E$157,,0)))+SIN(RADIANS(90-O185))*SIN(RADIANS(90-_xlfn.XLOOKUP(R185,'Mall Dataset'!$B$3:$B$157,'Mall Dataset'!$E$3:$E$157,,0)))*COS(RADIANS(P185-_xlfn.XLOOKUP(R185,'Mall Dataset'!$B$3:$B$157,'Mall Dataset'!$F$3:$F$157,,0))))*6371*1000</f>
        <v>681.48910729890372</v>
      </c>
      <c r="V185" s="39">
        <f>ACOS(COS(RADIANS(90-O185))*COS(RADIANS(90-_xlfn.XLOOKUP(S185,'Schools dataset'!$B$3:$B$187,'Schools dataset'!$J$3:$J$187,,0)))+SIN(RADIANS(90-O185))*SIN(RADIANS(90-_xlfn.XLOOKUP(S185,'Schools dataset'!$B$3:$B$187,'Schools dataset'!$J$3:$J$187,,0)))*COS(RADIANS(P185-_xlfn.XLOOKUP(S185,'Schools dataset'!$B$3:$B$187,'Schools dataset'!$K$3:$K$187,,0))))*6371*1000</f>
        <v>160.40486627075845</v>
      </c>
      <c r="W185" s="20">
        <f>_xlfn.XLOOKUP(T185,'HDB Recommender'!$P$10:$P$39,'HDB Recommender'!$Q$10:$Q$39,"&gt;30mins",1)</f>
        <v>4</v>
      </c>
      <c r="X185" s="20">
        <f>_xlfn.XLOOKUP(U185,'HDB Recommender'!$P$10:$P$39,'HDB Recommender'!$Q$10:$Q$39,"&gt;30mins",1)</f>
        <v>10</v>
      </c>
      <c r="Y185" s="20">
        <f>_xlfn.XLOOKUP(V185,'HDB Recommender'!$P$10:$P$39,'HDB Recommender'!$Q$10:$Q$39,"&gt;30mins",1)</f>
        <v>3</v>
      </c>
      <c r="Z185" s="39">
        <f t="shared" si="4"/>
        <v>5.666666666666667</v>
      </c>
      <c r="AA185" s="20" t="str">
        <f t="shared" si="5"/>
        <v>Within 1km</v>
      </c>
    </row>
    <row r="186" spans="2:27">
      <c r="B186" s="35" t="s">
        <v>317</v>
      </c>
      <c r="C186" s="35" t="s">
        <v>630</v>
      </c>
      <c r="D186" s="35" t="s">
        <v>20</v>
      </c>
      <c r="E186" s="35"/>
      <c r="F186" s="35" t="s">
        <v>645</v>
      </c>
      <c r="G186" s="35" t="s">
        <v>189</v>
      </c>
      <c r="H186" s="35">
        <v>92</v>
      </c>
      <c r="I186" s="35" t="s">
        <v>389</v>
      </c>
      <c r="J186" s="36">
        <v>2016</v>
      </c>
      <c r="K186" s="39">
        <v>91.75</v>
      </c>
      <c r="L186" s="37">
        <v>585888</v>
      </c>
      <c r="M186" s="35" t="s">
        <v>646</v>
      </c>
      <c r="N186" s="27">
        <v>821310</v>
      </c>
      <c r="O186" s="38">
        <v>1.4087008887046599</v>
      </c>
      <c r="P186" s="38">
        <v>103.901326604714</v>
      </c>
      <c r="Q186" s="38" t="str" cm="1">
        <f t="array" ref="Q186">INDEX('MRT station dataset'!$C$3:$C$179, MATCH(MIN(SQRT(('MRT station dataset'!$E$3:$E$179-'Resale flat dataset (DV)'!O186)^2+('MRT station dataset'!$F$3:$F$179-'Resale flat dataset (DV)'!P186)^2)), SQRT(('MRT station dataset'!$E$3:$E$179-'Resale flat dataset (DV)'!O186)^2+('MRT station dataset'!$F$3:$F$179-'Resale flat dataset (DV)'!P186)^2), 0))</f>
        <v>SUMANG LRT STATION</v>
      </c>
      <c r="R186" s="38" t="str" cm="1">
        <f t="array" ref="R186">INDEX('Mall Dataset'!$B$3:$B$157, MATCH(MIN(SQRT(('Mall Dataset'!$E$3:$E$157-'Resale flat dataset (DV)'!O186)^2+('Mall Dataset'!$F$3:$F$157-'Resale flat dataset (DV)'!P186)^2)), SQRT(('Mall Dataset'!$E$3:$E$157-'Resale flat dataset (DV)'!O186)^2+('Mall Dataset'!$F$3:$F$157-'Resale flat dataset (DV)'!P186)^2), 0))</f>
        <v>Waterway Point</v>
      </c>
      <c r="S186" s="38" t="str" cm="1">
        <f t="array" ref="S186">INDEX('Schools dataset'!$B$3:$B$187, MATCH(MIN(SQRT(('Schools dataset'!$J$3:$J$187-'Resale flat dataset (DV)'!O186)^2+('Schools dataset'!$K$3:$K$187-'Resale flat dataset (DV)'!P186)^2)), SQRT(('Schools dataset'!$J$3:$J$187-'Resale flat dataset (DV)'!O186)^2+('Schools dataset'!$K$3:$K$187-'Resale flat dataset (DV)'!P186)^2), 0))</f>
        <v>VALOUR PRIMARY SCHOOL</v>
      </c>
      <c r="T186" s="39">
        <f>ACOS(COS(RADIANS(90-O186))*COS(RADIANS(90-_xlfn.XLOOKUP(Q186,'MRT station dataset'!$C$3:$C$179,'MRT station dataset'!$E$3:$E$179)))+SIN(RADIANS(90-O186))*SIN(RADIANS(90-_xlfn.XLOOKUP(Q186,'MRT station dataset'!$C$3:$C$179,'MRT station dataset'!$E$3:$E$179)))*COS(RADIANS(P186-_xlfn.XLOOKUP('Resale flat dataset (DV)'!Q186,'MRT station dataset'!$C$3:$C$179,'MRT station dataset'!$F$3:$F$179))))*6371*1000</f>
        <v>303.91502468777401</v>
      </c>
      <c r="U186" s="39">
        <f>ACOS(COS(RADIANS(90-O186))*COS(RADIANS(90-_xlfn.XLOOKUP(R186,'Mall Dataset'!$B$3:$B$157,'Mall Dataset'!$E$3:$E$157,,0)))+SIN(RADIANS(90-O186))*SIN(RADIANS(90-_xlfn.XLOOKUP(R186,'Mall Dataset'!$B$3:$B$157,'Mall Dataset'!$E$3:$E$157,,0)))*COS(RADIANS(P186-_xlfn.XLOOKUP(R186,'Mall Dataset'!$B$3:$B$157,'Mall Dataset'!$F$3:$F$157,,0))))*6371*1000</f>
        <v>274.72772760977927</v>
      </c>
      <c r="V186" s="39">
        <f>ACOS(COS(RADIANS(90-O186))*COS(RADIANS(90-_xlfn.XLOOKUP(S186,'Schools dataset'!$B$3:$B$187,'Schools dataset'!$J$3:$J$187,,0)))+SIN(RADIANS(90-O186))*SIN(RADIANS(90-_xlfn.XLOOKUP(S186,'Schools dataset'!$B$3:$B$187,'Schools dataset'!$J$3:$J$187,,0)))*COS(RADIANS(P186-_xlfn.XLOOKUP(S186,'Schools dataset'!$B$3:$B$187,'Schools dataset'!$K$3:$K$187,,0))))*6371*1000</f>
        <v>322.90034910002174</v>
      </c>
      <c r="W186" s="20">
        <f>_xlfn.XLOOKUP(T186,'HDB Recommender'!$P$10:$P$39,'HDB Recommender'!$Q$10:$Q$39,"&gt;30mins",1)</f>
        <v>5</v>
      </c>
      <c r="X186" s="20">
        <f>_xlfn.XLOOKUP(U186,'HDB Recommender'!$P$10:$P$39,'HDB Recommender'!$Q$10:$Q$39,"&gt;30mins",1)</f>
        <v>4</v>
      </c>
      <c r="Y186" s="20">
        <f>_xlfn.XLOOKUP(V186,'HDB Recommender'!$P$10:$P$39,'HDB Recommender'!$Q$10:$Q$39,"&gt;30mins",1)</f>
        <v>5</v>
      </c>
      <c r="Z186" s="39">
        <f t="shared" si="4"/>
        <v>4.666666666666667</v>
      </c>
      <c r="AA186" s="20" t="str">
        <f t="shared" si="5"/>
        <v>Within 1km</v>
      </c>
    </row>
    <row r="187" spans="2:27">
      <c r="B187" s="35" t="s">
        <v>317</v>
      </c>
      <c r="C187" s="35" t="s">
        <v>630</v>
      </c>
      <c r="D187" s="35" t="s">
        <v>20</v>
      </c>
      <c r="E187" s="35"/>
      <c r="F187" s="35" t="s">
        <v>645</v>
      </c>
      <c r="G187" s="35" t="s">
        <v>189</v>
      </c>
      <c r="H187" s="35">
        <v>93</v>
      </c>
      <c r="I187" s="35" t="s">
        <v>335</v>
      </c>
      <c r="J187" s="36">
        <v>2015</v>
      </c>
      <c r="K187" s="39">
        <v>90.6666666666666</v>
      </c>
      <c r="L187" s="37">
        <v>592000</v>
      </c>
      <c r="M187" s="35" t="s">
        <v>647</v>
      </c>
      <c r="N187" s="27">
        <v>823213</v>
      </c>
      <c r="O187" s="38">
        <v>1.4005984949975001</v>
      </c>
      <c r="P187" s="38">
        <v>103.898920186089</v>
      </c>
      <c r="Q187" s="38" t="str" cm="1">
        <f t="array" ref="Q187">INDEX('MRT station dataset'!$C$3:$C$179, MATCH(MIN(SQRT(('MRT station dataset'!$E$3:$E$179-'Resale flat dataset (DV)'!O187)^2+('MRT station dataset'!$F$3:$F$179-'Resale flat dataset (DV)'!P187)^2)), SQRT(('MRT station dataset'!$E$3:$E$179-'Resale flat dataset (DV)'!O187)^2+('MRT station dataset'!$F$3:$F$179-'Resale flat dataset (DV)'!P187)^2), 0))</f>
        <v>SOO TECK LRT STATION</v>
      </c>
      <c r="R187" s="38" t="str" cm="1">
        <f t="array" ref="R187">INDEX('Mall Dataset'!$B$3:$B$157, MATCH(MIN(SQRT(('Mall Dataset'!$E$3:$E$157-'Resale flat dataset (DV)'!O187)^2+('Mall Dataset'!$F$3:$F$157-'Resale flat dataset (DV)'!P187)^2)), SQRT(('Mall Dataset'!$E$3:$E$157-'Resale flat dataset (DV)'!O187)^2+('Mall Dataset'!$F$3:$F$157-'Resale flat dataset (DV)'!P187)^2), 0))</f>
        <v>Waterway Point</v>
      </c>
      <c r="S187" s="38" t="str" cm="1">
        <f t="array" ref="S187">INDEX('Schools dataset'!$B$3:$B$187, MATCH(MIN(SQRT(('Schools dataset'!$J$3:$J$187-'Resale flat dataset (DV)'!O187)^2+('Schools dataset'!$K$3:$K$187-'Resale flat dataset (DV)'!P187)^2)), SQRT(('Schools dataset'!$J$3:$J$187-'Resale flat dataset (DV)'!O187)^2+('Schools dataset'!$K$3:$K$187-'Resale flat dataset (DV)'!P187)^2), 0))</f>
        <v>PUNGGOL GREEN PRIMARY SCHOOL</v>
      </c>
      <c r="T187" s="39">
        <f>ACOS(COS(RADIANS(90-O187))*COS(RADIANS(90-_xlfn.XLOOKUP(Q187,'MRT station dataset'!$C$3:$C$179,'MRT station dataset'!$E$3:$E$179)))+SIN(RADIANS(90-O187))*SIN(RADIANS(90-_xlfn.XLOOKUP(Q187,'MRT station dataset'!$C$3:$C$179,'MRT station dataset'!$E$3:$E$179)))*COS(RADIANS(P187-_xlfn.XLOOKUP('Resale flat dataset (DV)'!Q187,'MRT station dataset'!$C$3:$C$179,'MRT station dataset'!$F$3:$F$179))))*6371*1000</f>
        <v>535.82588969820824</v>
      </c>
      <c r="U187" s="39">
        <f>ACOS(COS(RADIANS(90-O187))*COS(RADIANS(90-_xlfn.XLOOKUP(R187,'Mall Dataset'!$B$3:$B$157,'Mall Dataset'!$E$3:$E$157,,0)))+SIN(RADIANS(90-O187))*SIN(RADIANS(90-_xlfn.XLOOKUP(R187,'Mall Dataset'!$B$3:$B$157,'Mall Dataset'!$E$3:$E$157,,0)))*COS(RADIANS(P187-_xlfn.XLOOKUP(R187,'Mall Dataset'!$B$3:$B$157,'Mall Dataset'!$F$3:$F$157,,0))))*6371*1000</f>
        <v>737.48049296534293</v>
      </c>
      <c r="V187" s="39">
        <f>ACOS(COS(RADIANS(90-O187))*COS(RADIANS(90-_xlfn.XLOOKUP(S187,'Schools dataset'!$B$3:$B$187,'Schools dataset'!$J$3:$J$187,,0)))+SIN(RADIANS(90-O187))*SIN(RADIANS(90-_xlfn.XLOOKUP(S187,'Schools dataset'!$B$3:$B$187,'Schools dataset'!$J$3:$J$187,,0)))*COS(RADIANS(P187-_xlfn.XLOOKUP(S187,'Schools dataset'!$B$3:$B$187,'Schools dataset'!$K$3:$K$187,,0))))*6371*1000</f>
        <v>128.70572703234839</v>
      </c>
      <c r="W187" s="20">
        <f>_xlfn.XLOOKUP(T187,'HDB Recommender'!$P$10:$P$39,'HDB Recommender'!$Q$10:$Q$39,"&gt;30mins",1)</f>
        <v>8</v>
      </c>
      <c r="X187" s="20">
        <f>_xlfn.XLOOKUP(U187,'HDB Recommender'!$P$10:$P$39,'HDB Recommender'!$Q$10:$Q$39,"&gt;30mins",1)</f>
        <v>10</v>
      </c>
      <c r="Y187" s="20">
        <f>_xlfn.XLOOKUP(V187,'HDB Recommender'!$P$10:$P$39,'HDB Recommender'!$Q$10:$Q$39,"&gt;30mins",1)</f>
        <v>2</v>
      </c>
      <c r="Z187" s="39">
        <f t="shared" si="4"/>
        <v>6.666666666666667</v>
      </c>
      <c r="AA187" s="20" t="str">
        <f t="shared" si="5"/>
        <v>Within 1km</v>
      </c>
    </row>
    <row r="188" spans="2:27">
      <c r="B188" s="35" t="s">
        <v>317</v>
      </c>
      <c r="C188" s="35" t="s">
        <v>630</v>
      </c>
      <c r="D188" s="35" t="s">
        <v>20</v>
      </c>
      <c r="E188" s="35"/>
      <c r="F188" s="35" t="s">
        <v>648</v>
      </c>
      <c r="G188" s="35" t="s">
        <v>184</v>
      </c>
      <c r="H188" s="35">
        <v>92</v>
      </c>
      <c r="I188" s="35" t="s">
        <v>335</v>
      </c>
      <c r="J188" s="36">
        <v>2015</v>
      </c>
      <c r="K188" s="39">
        <v>90.75</v>
      </c>
      <c r="L188" s="37">
        <v>620000</v>
      </c>
      <c r="M188" s="35" t="s">
        <v>649</v>
      </c>
      <c r="N188" s="27">
        <v>821264</v>
      </c>
      <c r="O188" s="38">
        <v>1.4059770411499899</v>
      </c>
      <c r="P188" s="38">
        <v>103.89854405519699</v>
      </c>
      <c r="Q188" s="38" t="str" cm="1">
        <f t="array" ref="Q188">INDEX('MRT station dataset'!$C$3:$C$179, MATCH(MIN(SQRT(('MRT station dataset'!$E$3:$E$179-'Resale flat dataset (DV)'!O188)^2+('MRT station dataset'!$F$3:$F$179-'Resale flat dataset (DV)'!P188)^2)), SQRT(('MRT station dataset'!$E$3:$E$179-'Resale flat dataset (DV)'!O188)^2+('MRT station dataset'!$F$3:$F$179-'Resale flat dataset (DV)'!P188)^2), 0))</f>
        <v>SOO TECK LRT STATION</v>
      </c>
      <c r="R188" s="38" t="str" cm="1">
        <f t="array" ref="R188">INDEX('Mall Dataset'!$B$3:$B$157, MATCH(MIN(SQRT(('Mall Dataset'!$E$3:$E$157-'Resale flat dataset (DV)'!O188)^2+('Mall Dataset'!$F$3:$F$157-'Resale flat dataset (DV)'!P188)^2)), SQRT(('Mall Dataset'!$E$3:$E$157-'Resale flat dataset (DV)'!O188)^2+('Mall Dataset'!$F$3:$F$157-'Resale flat dataset (DV)'!P188)^2), 0))</f>
        <v>Waterway Point</v>
      </c>
      <c r="S188" s="38" t="str" cm="1">
        <f t="array" ref="S188">INDEX('Schools dataset'!$B$3:$B$187, MATCH(MIN(SQRT(('Schools dataset'!$J$3:$J$187-'Resale flat dataset (DV)'!O188)^2+('Schools dataset'!$K$3:$K$187-'Resale flat dataset (DV)'!P188)^2)), SQRT(('Schools dataset'!$J$3:$J$187-'Resale flat dataset (DV)'!O188)^2+('Schools dataset'!$K$3:$K$187-'Resale flat dataset (DV)'!P188)^2), 0))</f>
        <v>VALOUR PRIMARY SCHOOL</v>
      </c>
      <c r="T188" s="39">
        <f>ACOS(COS(RADIANS(90-O188))*COS(RADIANS(90-_xlfn.XLOOKUP(Q188,'MRT station dataset'!$C$3:$C$179,'MRT station dataset'!$E$3:$E$179)))+SIN(RADIANS(90-O188))*SIN(RADIANS(90-_xlfn.XLOOKUP(Q188,'MRT station dataset'!$C$3:$C$179,'MRT station dataset'!$E$3:$E$179)))*COS(RADIANS(P188-_xlfn.XLOOKUP('Resale flat dataset (DV)'!Q188,'MRT station dataset'!$C$3:$C$179,'MRT station dataset'!$F$3:$F$179))))*6371*1000</f>
        <v>178.41846009590157</v>
      </c>
      <c r="U188" s="39">
        <f>ACOS(COS(RADIANS(90-O188))*COS(RADIANS(90-_xlfn.XLOOKUP(R188,'Mall Dataset'!$B$3:$B$157,'Mall Dataset'!$E$3:$E$157,,0)))+SIN(RADIANS(90-O188))*SIN(RADIANS(90-_xlfn.XLOOKUP(R188,'Mall Dataset'!$B$3:$B$157,'Mall Dataset'!$E$3:$E$157,,0)))*COS(RADIANS(P188-_xlfn.XLOOKUP(R188,'Mall Dataset'!$B$3:$B$157,'Mall Dataset'!$F$3:$F$157,,0))))*6371*1000</f>
        <v>405.78834646611159</v>
      </c>
      <c r="V188" s="39">
        <f>ACOS(COS(RADIANS(90-O188))*COS(RADIANS(90-_xlfn.XLOOKUP(S188,'Schools dataset'!$B$3:$B$187,'Schools dataset'!$J$3:$J$187,,0)))+SIN(RADIANS(90-O188))*SIN(RADIANS(90-_xlfn.XLOOKUP(S188,'Schools dataset'!$B$3:$B$187,'Schools dataset'!$J$3:$J$187,,0)))*COS(RADIANS(P188-_xlfn.XLOOKUP(S188,'Schools dataset'!$B$3:$B$187,'Schools dataset'!$K$3:$K$187,,0))))*6371*1000</f>
        <v>114.94379167611291</v>
      </c>
      <c r="W188" s="20">
        <f>_xlfn.XLOOKUP(T188,'HDB Recommender'!$P$10:$P$39,'HDB Recommender'!$Q$10:$Q$39,"&gt;30mins",1)</f>
        <v>3</v>
      </c>
      <c r="X188" s="20">
        <f>_xlfn.XLOOKUP(U188,'HDB Recommender'!$P$10:$P$39,'HDB Recommender'!$Q$10:$Q$39,"&gt;30mins",1)</f>
        <v>6</v>
      </c>
      <c r="Y188" s="20">
        <f>_xlfn.XLOOKUP(V188,'HDB Recommender'!$P$10:$P$39,'HDB Recommender'!$Q$10:$Q$39,"&gt;30mins",1)</f>
        <v>2</v>
      </c>
      <c r="Z188" s="39">
        <f t="shared" si="4"/>
        <v>3.6666666666666665</v>
      </c>
      <c r="AA188" s="20" t="str">
        <f t="shared" si="5"/>
        <v>Within 1km</v>
      </c>
    </row>
    <row r="189" spans="2:27">
      <c r="B189" s="35" t="s">
        <v>317</v>
      </c>
      <c r="C189" s="35" t="s">
        <v>630</v>
      </c>
      <c r="D189" s="35" t="s">
        <v>20</v>
      </c>
      <c r="E189" s="35"/>
      <c r="F189" s="35" t="s">
        <v>650</v>
      </c>
      <c r="G189" s="35" t="s">
        <v>189</v>
      </c>
      <c r="H189" s="35">
        <v>96</v>
      </c>
      <c r="I189" s="35" t="s">
        <v>389</v>
      </c>
      <c r="J189" s="36">
        <v>2019</v>
      </c>
      <c r="K189" s="39">
        <v>94.5</v>
      </c>
      <c r="L189" s="37">
        <v>672500</v>
      </c>
      <c r="M189" s="35" t="s">
        <v>651</v>
      </c>
      <c r="N189" s="27">
        <v>823322</v>
      </c>
      <c r="O189" s="38">
        <v>1.41051905118907</v>
      </c>
      <c r="P189" s="38">
        <v>103.896581361899</v>
      </c>
      <c r="Q189" s="38" t="str" cm="1">
        <f t="array" ref="Q189">INDEX('MRT station dataset'!$C$3:$C$179, MATCH(MIN(SQRT(('MRT station dataset'!$E$3:$E$179-'Resale flat dataset (DV)'!O189)^2+('MRT station dataset'!$F$3:$F$179-'Resale flat dataset (DV)'!P189)^2)), SQRT(('MRT station dataset'!$E$3:$E$179-'Resale flat dataset (DV)'!O189)^2+('MRT station dataset'!$F$3:$F$179-'Resale flat dataset (DV)'!P189)^2), 0))</f>
        <v>SUMANG LRT STATION</v>
      </c>
      <c r="R189" s="38" t="str" cm="1">
        <f t="array" ref="R189">INDEX('Mall Dataset'!$B$3:$B$157, MATCH(MIN(SQRT(('Mall Dataset'!$E$3:$E$157-'Resale flat dataset (DV)'!O189)^2+('Mall Dataset'!$F$3:$F$157-'Resale flat dataset (DV)'!P189)^2)), SQRT(('Mall Dataset'!$E$3:$E$157-'Resale flat dataset (DV)'!O189)^2+('Mall Dataset'!$F$3:$F$157-'Resale flat dataset (DV)'!P189)^2), 0))</f>
        <v>Waterway Point</v>
      </c>
      <c r="S189" s="38" t="str" cm="1">
        <f t="array" ref="S189">INDEX('Schools dataset'!$B$3:$B$187, MATCH(MIN(SQRT(('Schools dataset'!$J$3:$J$187-'Resale flat dataset (DV)'!O189)^2+('Schools dataset'!$K$3:$K$187-'Resale flat dataset (DV)'!P189)^2)), SQRT(('Schools dataset'!$J$3:$J$187-'Resale flat dataset (DV)'!O189)^2+('Schools dataset'!$K$3:$K$187-'Resale flat dataset (DV)'!P189)^2), 0))</f>
        <v>PUNGGOL COVE PRIMARY SCHOOL</v>
      </c>
      <c r="T189" s="39">
        <f>ACOS(COS(RADIANS(90-O189))*COS(RADIANS(90-_xlfn.XLOOKUP(Q189,'MRT station dataset'!$C$3:$C$179,'MRT station dataset'!$E$3:$E$179)))+SIN(RADIANS(90-O189))*SIN(RADIANS(90-_xlfn.XLOOKUP(Q189,'MRT station dataset'!$C$3:$C$179,'MRT station dataset'!$E$3:$E$179)))*COS(RADIANS(P189-_xlfn.XLOOKUP('Resale flat dataset (DV)'!Q189,'MRT station dataset'!$C$3:$C$179,'MRT station dataset'!$F$3:$F$179))))*6371*1000</f>
        <v>317.4221279138203</v>
      </c>
      <c r="U189" s="39">
        <f>ACOS(COS(RADIANS(90-O189))*COS(RADIANS(90-_xlfn.XLOOKUP(R189,'Mall Dataset'!$B$3:$B$157,'Mall Dataset'!$E$3:$E$157,,0)))+SIN(RADIANS(90-O189))*SIN(RADIANS(90-_xlfn.XLOOKUP(R189,'Mall Dataset'!$B$3:$B$157,'Mall Dataset'!$E$3:$E$157,,0)))*COS(RADIANS(P189-_xlfn.XLOOKUP(R189,'Mall Dataset'!$B$3:$B$157,'Mall Dataset'!$F$3:$F$157,,0))))*6371*1000</f>
        <v>773.39542071602386</v>
      </c>
      <c r="V189" s="39">
        <f>ACOS(COS(RADIANS(90-O189))*COS(RADIANS(90-_xlfn.XLOOKUP(S189,'Schools dataset'!$B$3:$B$187,'Schools dataset'!$J$3:$J$187,,0)))+SIN(RADIANS(90-O189))*SIN(RADIANS(90-_xlfn.XLOOKUP(S189,'Schools dataset'!$B$3:$B$187,'Schools dataset'!$J$3:$J$187,,0)))*COS(RADIANS(P189-_xlfn.XLOOKUP(S189,'Schools dataset'!$B$3:$B$187,'Schools dataset'!$K$3:$K$187,,0))))*6371*1000</f>
        <v>284.1226002224173</v>
      </c>
      <c r="W189" s="20">
        <f>_xlfn.XLOOKUP(T189,'HDB Recommender'!$P$10:$P$39,'HDB Recommender'!$Q$10:$Q$39,"&gt;30mins",1)</f>
        <v>5</v>
      </c>
      <c r="X189" s="20">
        <f>_xlfn.XLOOKUP(U189,'HDB Recommender'!$P$10:$P$39,'HDB Recommender'!$Q$10:$Q$39,"&gt;30mins",1)</f>
        <v>11</v>
      </c>
      <c r="Y189" s="20">
        <f>_xlfn.XLOOKUP(V189,'HDB Recommender'!$P$10:$P$39,'HDB Recommender'!$Q$10:$Q$39,"&gt;30mins",1)</f>
        <v>4</v>
      </c>
      <c r="Z189" s="39">
        <f t="shared" si="4"/>
        <v>6.666666666666667</v>
      </c>
      <c r="AA189" s="20" t="str">
        <f t="shared" si="5"/>
        <v>Within 1km</v>
      </c>
    </row>
    <row r="190" spans="2:27">
      <c r="B190" s="35" t="s">
        <v>317</v>
      </c>
      <c r="C190" s="35" t="s">
        <v>630</v>
      </c>
      <c r="D190" s="35" t="s">
        <v>20</v>
      </c>
      <c r="E190" s="35"/>
      <c r="F190" s="35" t="s">
        <v>650</v>
      </c>
      <c r="G190" s="35" t="s">
        <v>346</v>
      </c>
      <c r="H190" s="35">
        <v>93</v>
      </c>
      <c r="I190" s="35" t="s">
        <v>335</v>
      </c>
      <c r="J190" s="36">
        <v>2016</v>
      </c>
      <c r="K190" s="39">
        <v>92.25</v>
      </c>
      <c r="L190" s="37">
        <v>650000</v>
      </c>
      <c r="M190" s="35" t="s">
        <v>652</v>
      </c>
      <c r="N190" s="27">
        <v>822256</v>
      </c>
      <c r="O190" s="38">
        <v>1.4060490794580101</v>
      </c>
      <c r="P190" s="38">
        <v>103.896179521001</v>
      </c>
      <c r="Q190" s="38" t="str" cm="1">
        <f t="array" ref="Q190">INDEX('MRT station dataset'!$C$3:$C$179, MATCH(MIN(SQRT(('MRT station dataset'!$E$3:$E$179-'Resale flat dataset (DV)'!O190)^2+('MRT station dataset'!$F$3:$F$179-'Resale flat dataset (DV)'!P190)^2)), SQRT(('MRT station dataset'!$E$3:$E$179-'Resale flat dataset (DV)'!O190)^2+('MRT station dataset'!$F$3:$F$179-'Resale flat dataset (DV)'!P190)^2), 0))</f>
        <v>SOO TECK LRT STATION</v>
      </c>
      <c r="R190" s="38" t="str" cm="1">
        <f t="array" ref="R190">INDEX('Mall Dataset'!$B$3:$B$157, MATCH(MIN(SQRT(('Mall Dataset'!$E$3:$E$157-'Resale flat dataset (DV)'!O190)^2+('Mall Dataset'!$F$3:$F$157-'Resale flat dataset (DV)'!P190)^2)), SQRT(('Mall Dataset'!$E$3:$E$157-'Resale flat dataset (DV)'!O190)^2+('Mall Dataset'!$F$3:$F$157-'Resale flat dataset (DV)'!P190)^2), 0))</f>
        <v>Waterway Point</v>
      </c>
      <c r="S190" s="38" t="str" cm="1">
        <f t="array" ref="S190">INDEX('Schools dataset'!$B$3:$B$187, MATCH(MIN(SQRT(('Schools dataset'!$J$3:$J$187-'Resale flat dataset (DV)'!O190)^2+('Schools dataset'!$K$3:$K$187-'Resale flat dataset (DV)'!P190)^2)), SQRT(('Schools dataset'!$J$3:$J$187-'Resale flat dataset (DV)'!O190)^2+('Schools dataset'!$K$3:$K$187-'Resale flat dataset (DV)'!P190)^2), 0))</f>
        <v>VALOUR PRIMARY SCHOOL</v>
      </c>
      <c r="T190" s="39">
        <f>ACOS(COS(RADIANS(90-O190))*COS(RADIANS(90-_xlfn.XLOOKUP(Q190,'MRT station dataset'!$C$3:$C$179,'MRT station dataset'!$E$3:$E$179)))+SIN(RADIANS(90-O190))*SIN(RADIANS(90-_xlfn.XLOOKUP(Q190,'MRT station dataset'!$C$3:$C$179,'MRT station dataset'!$E$3:$E$179)))*COS(RADIANS(P190-_xlfn.XLOOKUP('Resale flat dataset (DV)'!Q190,'MRT station dataset'!$C$3:$C$179,'MRT station dataset'!$F$3:$F$179))))*6371*1000</f>
        <v>154.93655860101831</v>
      </c>
      <c r="U190" s="39">
        <f>ACOS(COS(RADIANS(90-O190))*COS(RADIANS(90-_xlfn.XLOOKUP(R190,'Mall Dataset'!$B$3:$B$157,'Mall Dataset'!$E$3:$E$157,,0)))+SIN(RADIANS(90-O190))*SIN(RADIANS(90-_xlfn.XLOOKUP(R190,'Mall Dataset'!$B$3:$B$157,'Mall Dataset'!$E$3:$E$157,,0)))*COS(RADIANS(P190-_xlfn.XLOOKUP(R190,'Mall Dataset'!$B$3:$B$157,'Mall Dataset'!$F$3:$F$157,,0))))*6371*1000</f>
        <v>667.17161124403606</v>
      </c>
      <c r="V190" s="39">
        <f>ACOS(COS(RADIANS(90-O190))*COS(RADIANS(90-_xlfn.XLOOKUP(S190,'Schools dataset'!$B$3:$B$187,'Schools dataset'!$J$3:$J$187,,0)))+SIN(RADIANS(90-O190))*SIN(RADIANS(90-_xlfn.XLOOKUP(S190,'Schools dataset'!$B$3:$B$187,'Schools dataset'!$J$3:$J$187,,0)))*COS(RADIANS(P190-_xlfn.XLOOKUP(S190,'Schools dataset'!$B$3:$B$187,'Schools dataset'!$K$3:$K$187,,0))))*6371*1000</f>
        <v>334.68461457978418</v>
      </c>
      <c r="W190" s="20">
        <f>_xlfn.XLOOKUP(T190,'HDB Recommender'!$P$10:$P$39,'HDB Recommender'!$Q$10:$Q$39,"&gt;30mins",1)</f>
        <v>3</v>
      </c>
      <c r="X190" s="20">
        <f>_xlfn.XLOOKUP(U190,'HDB Recommender'!$P$10:$P$39,'HDB Recommender'!$Q$10:$Q$39,"&gt;30mins",1)</f>
        <v>9</v>
      </c>
      <c r="Y190" s="20">
        <f>_xlfn.XLOOKUP(V190,'HDB Recommender'!$P$10:$P$39,'HDB Recommender'!$Q$10:$Q$39,"&gt;30mins",1)</f>
        <v>5</v>
      </c>
      <c r="Z190" s="39">
        <f t="shared" si="4"/>
        <v>5.666666666666667</v>
      </c>
      <c r="AA190" s="20" t="str">
        <f t="shared" si="5"/>
        <v>Within 1km</v>
      </c>
    </row>
    <row r="191" spans="2:27">
      <c r="B191" s="35" t="s">
        <v>317</v>
      </c>
      <c r="C191" s="35" t="s">
        <v>630</v>
      </c>
      <c r="D191" s="35" t="s">
        <v>341</v>
      </c>
      <c r="E191" s="35"/>
      <c r="F191" s="35" t="s">
        <v>633</v>
      </c>
      <c r="G191" s="35" t="s">
        <v>323</v>
      </c>
      <c r="H191" s="35">
        <v>113</v>
      </c>
      <c r="I191" s="35" t="s">
        <v>389</v>
      </c>
      <c r="J191" s="36">
        <v>2018</v>
      </c>
      <c r="K191" s="39">
        <v>93.9166666666666</v>
      </c>
      <c r="L191" s="37">
        <v>852888</v>
      </c>
      <c r="M191" s="35" t="s">
        <v>653</v>
      </c>
      <c r="N191" s="27">
        <v>822684</v>
      </c>
      <c r="O191" s="38">
        <v>1.40302713233008</v>
      </c>
      <c r="P191" s="38">
        <v>103.915005575569</v>
      </c>
      <c r="Q191" s="38" t="str" cm="1">
        <f t="array" ref="Q191">INDEX('MRT station dataset'!$C$3:$C$179, MATCH(MIN(SQRT(('MRT station dataset'!$E$3:$E$179-'Resale flat dataset (DV)'!O191)^2+('MRT station dataset'!$F$3:$F$179-'Resale flat dataset (DV)'!P191)^2)), SQRT(('MRT station dataset'!$E$3:$E$179-'Resale flat dataset (DV)'!O191)^2+('MRT station dataset'!$F$3:$F$179-'Resale flat dataset (DV)'!P191)^2), 0))</f>
        <v>OASIS LRT STATION</v>
      </c>
      <c r="R191" s="38" t="str" cm="1">
        <f t="array" ref="R191">INDEX('Mall Dataset'!$B$3:$B$157, MATCH(MIN(SQRT(('Mall Dataset'!$E$3:$E$157-'Resale flat dataset (DV)'!O191)^2+('Mall Dataset'!$F$3:$F$157-'Resale flat dataset (DV)'!P191)^2)), SQRT(('Mall Dataset'!$E$3:$E$157-'Resale flat dataset (DV)'!O191)^2+('Mall Dataset'!$F$3:$F$157-'Resale flat dataset (DV)'!P191)^2), 0))</f>
        <v>Oasis Terraces</v>
      </c>
      <c r="S191" s="38" t="str" cm="1">
        <f t="array" ref="S191">INDEX('Schools dataset'!$B$3:$B$187, MATCH(MIN(SQRT(('Schools dataset'!$J$3:$J$187-'Resale flat dataset (DV)'!O191)^2+('Schools dataset'!$K$3:$K$187-'Resale flat dataset (DV)'!P191)^2)), SQRT(('Schools dataset'!$J$3:$J$187-'Resale flat dataset (DV)'!O191)^2+('Schools dataset'!$K$3:$K$187-'Resale flat dataset (DV)'!P191)^2), 0))</f>
        <v>HORIZON PRIMARY SCHOOL</v>
      </c>
      <c r="T191" s="39">
        <f>ACOS(COS(RADIANS(90-O191))*COS(RADIANS(90-_xlfn.XLOOKUP(Q191,'MRT station dataset'!$C$3:$C$179,'MRT station dataset'!$E$3:$E$179)))+SIN(RADIANS(90-O191))*SIN(RADIANS(90-_xlfn.XLOOKUP(Q191,'MRT station dataset'!$C$3:$C$179,'MRT station dataset'!$E$3:$E$179)))*COS(RADIANS(P191-_xlfn.XLOOKUP('Resale flat dataset (DV)'!Q191,'MRT station dataset'!$C$3:$C$179,'MRT station dataset'!$F$3:$F$179))))*6371*1000</f>
        <v>268.74261278169053</v>
      </c>
      <c r="U191" s="39">
        <f>ACOS(COS(RADIANS(90-O191))*COS(RADIANS(90-_xlfn.XLOOKUP(R191,'Mall Dataset'!$B$3:$B$157,'Mall Dataset'!$E$3:$E$157,,0)))+SIN(RADIANS(90-O191))*SIN(RADIANS(90-_xlfn.XLOOKUP(R191,'Mall Dataset'!$B$3:$B$157,'Mall Dataset'!$E$3:$E$157,,0)))*COS(RADIANS(P191-_xlfn.XLOOKUP(R191,'Mall Dataset'!$B$3:$B$157,'Mall Dataset'!$F$3:$F$157,,0))))*6371*1000</f>
        <v>200.91765636112081</v>
      </c>
      <c r="V191" s="39">
        <f>ACOS(COS(RADIANS(90-O191))*COS(RADIANS(90-_xlfn.XLOOKUP(S191,'Schools dataset'!$B$3:$B$187,'Schools dataset'!$J$3:$J$187,,0)))+SIN(RADIANS(90-O191))*SIN(RADIANS(90-_xlfn.XLOOKUP(S191,'Schools dataset'!$B$3:$B$187,'Schools dataset'!$J$3:$J$187,,0)))*COS(RADIANS(P191-_xlfn.XLOOKUP(S191,'Schools dataset'!$B$3:$B$187,'Schools dataset'!$K$3:$K$187,,0))))*6371*1000</f>
        <v>424.92449739397563</v>
      </c>
      <c r="W191" s="20">
        <f>_xlfn.XLOOKUP(T191,'HDB Recommender'!$P$10:$P$39,'HDB Recommender'!$Q$10:$Q$39,"&gt;30mins",1)</f>
        <v>4</v>
      </c>
      <c r="X191" s="20">
        <f>_xlfn.XLOOKUP(U191,'HDB Recommender'!$P$10:$P$39,'HDB Recommender'!$Q$10:$Q$39,"&gt;30mins",1)</f>
        <v>3</v>
      </c>
      <c r="Y191" s="20">
        <f>_xlfn.XLOOKUP(V191,'HDB Recommender'!$P$10:$P$39,'HDB Recommender'!$Q$10:$Q$39,"&gt;30mins",1)</f>
        <v>6</v>
      </c>
      <c r="Z191" s="39">
        <f t="shared" si="4"/>
        <v>4.333333333333333</v>
      </c>
      <c r="AA191" s="20" t="str">
        <f t="shared" si="5"/>
        <v>Within 1km</v>
      </c>
    </row>
    <row r="192" spans="2:27">
      <c r="B192" s="35" t="s">
        <v>317</v>
      </c>
      <c r="C192" s="35" t="s">
        <v>630</v>
      </c>
      <c r="D192" s="35" t="s">
        <v>341</v>
      </c>
      <c r="E192" s="35">
        <v>130</v>
      </c>
      <c r="F192" s="35" t="s">
        <v>633</v>
      </c>
      <c r="G192" s="35" t="s">
        <v>349</v>
      </c>
      <c r="H192" s="35">
        <v>111</v>
      </c>
      <c r="I192" s="35" t="s">
        <v>389</v>
      </c>
      <c r="J192" s="36">
        <v>2003</v>
      </c>
      <c r="K192" s="39">
        <v>79.1666666666666</v>
      </c>
      <c r="L192" s="37">
        <v>528000</v>
      </c>
      <c r="M192" s="35" t="s">
        <v>654</v>
      </c>
      <c r="N192" s="27">
        <v>820130</v>
      </c>
      <c r="O192" s="38">
        <v>1.39317299390016</v>
      </c>
      <c r="P192" s="38">
        <v>103.91005533231299</v>
      </c>
      <c r="Q192" s="38" t="str" cm="1">
        <f t="array" ref="Q192">INDEX('MRT station dataset'!$C$3:$C$179, MATCH(MIN(SQRT(('MRT station dataset'!$E$3:$E$179-'Resale flat dataset (DV)'!O192)^2+('MRT station dataset'!$F$3:$F$179-'Resale flat dataset (DV)'!P192)^2)), SQRT(('MRT station dataset'!$E$3:$E$179-'Resale flat dataset (DV)'!O192)^2+('MRT station dataset'!$F$3:$F$179-'Resale flat dataset (DV)'!P192)^2), 0))</f>
        <v>CORAL EDGE LRT STATION</v>
      </c>
      <c r="R192" s="38" t="str" cm="1">
        <f t="array" ref="R192">INDEX('Mall Dataset'!$B$3:$B$157, MATCH(MIN(SQRT(('Mall Dataset'!$E$3:$E$157-'Resale flat dataset (DV)'!O192)^2+('Mall Dataset'!$F$3:$F$157-'Resale flat dataset (DV)'!P192)^2)), SQRT(('Mall Dataset'!$E$3:$E$157-'Resale flat dataset (DV)'!O192)^2+('Mall Dataset'!$F$3:$F$157-'Resale flat dataset (DV)'!P192)^2), 0))</f>
        <v>Punggol Plaza</v>
      </c>
      <c r="S192" s="38" t="str" cm="1">
        <f t="array" ref="S192">INDEX('Schools dataset'!$B$3:$B$187, MATCH(MIN(SQRT(('Schools dataset'!$J$3:$J$187-'Resale flat dataset (DV)'!O192)^2+('Schools dataset'!$K$3:$K$187-'Resale flat dataset (DV)'!P192)^2)), SQRT(('Schools dataset'!$J$3:$J$187-'Resale flat dataset (DV)'!O192)^2+('Schools dataset'!$K$3:$K$187-'Resale flat dataset (DV)'!P192)^2), 0))</f>
        <v>MEE TOH SCHOOL</v>
      </c>
      <c r="T192" s="39">
        <f>ACOS(COS(RADIANS(90-O192))*COS(RADIANS(90-_xlfn.XLOOKUP(Q192,'MRT station dataset'!$C$3:$C$179,'MRT station dataset'!$E$3:$E$179)))+SIN(RADIANS(90-O192))*SIN(RADIANS(90-_xlfn.XLOOKUP(Q192,'MRT station dataset'!$C$3:$C$179,'MRT station dataset'!$E$3:$E$179)))*COS(RADIANS(P192-_xlfn.XLOOKUP('Resale flat dataset (DV)'!Q192,'MRT station dataset'!$C$3:$C$179,'MRT station dataset'!$F$3:$F$179))))*6371*1000</f>
        <v>294.19502231154968</v>
      </c>
      <c r="U192" s="39">
        <f>ACOS(COS(RADIANS(90-O192))*COS(RADIANS(90-_xlfn.XLOOKUP(R192,'Mall Dataset'!$B$3:$B$157,'Mall Dataset'!$E$3:$E$157,,0)))+SIN(RADIANS(90-O192))*SIN(RADIANS(90-_xlfn.XLOOKUP(R192,'Mall Dataset'!$B$3:$B$157,'Mall Dataset'!$E$3:$E$157,,0)))*COS(RADIANS(P192-_xlfn.XLOOKUP(R192,'Mall Dataset'!$B$3:$B$157,'Mall Dataset'!$F$3:$F$157,,0))))*6371*1000</f>
        <v>353.01968515739566</v>
      </c>
      <c r="V192" s="39">
        <f>ACOS(COS(RADIANS(90-O192))*COS(RADIANS(90-_xlfn.XLOOKUP(S192,'Schools dataset'!$B$3:$B$187,'Schools dataset'!$J$3:$J$187,,0)))+SIN(RADIANS(90-O192))*SIN(RADIANS(90-_xlfn.XLOOKUP(S192,'Schools dataset'!$B$3:$B$187,'Schools dataset'!$J$3:$J$187,,0)))*COS(RADIANS(P192-_xlfn.XLOOKUP(S192,'Schools dataset'!$B$3:$B$187,'Schools dataset'!$K$3:$K$187,,0))))*6371*1000</f>
        <v>228.87699344325486</v>
      </c>
      <c r="W192" s="20">
        <f>_xlfn.XLOOKUP(T192,'HDB Recommender'!$P$10:$P$39,'HDB Recommender'!$Q$10:$Q$39,"&gt;30mins",1)</f>
        <v>4</v>
      </c>
      <c r="X192" s="20">
        <f>_xlfn.XLOOKUP(U192,'HDB Recommender'!$P$10:$P$39,'HDB Recommender'!$Q$10:$Q$39,"&gt;30mins",1)</f>
        <v>5</v>
      </c>
      <c r="Y192" s="20">
        <f>_xlfn.XLOOKUP(V192,'HDB Recommender'!$P$10:$P$39,'HDB Recommender'!$Q$10:$Q$39,"&gt;30mins",1)</f>
        <v>4</v>
      </c>
      <c r="Z192" s="39">
        <f t="shared" si="4"/>
        <v>4.333333333333333</v>
      </c>
      <c r="AA192" s="20" t="str">
        <f t="shared" si="5"/>
        <v>Within 1km</v>
      </c>
    </row>
    <row r="193" spans="2:27">
      <c r="B193" s="35" t="s">
        <v>317</v>
      </c>
      <c r="C193" s="35" t="s">
        <v>630</v>
      </c>
      <c r="D193" s="35" t="s">
        <v>341</v>
      </c>
      <c r="E193" s="35"/>
      <c r="F193" s="35" t="s">
        <v>633</v>
      </c>
      <c r="G193" s="35" t="s">
        <v>323</v>
      </c>
      <c r="H193" s="35">
        <v>110</v>
      </c>
      <c r="I193" s="35" t="s">
        <v>326</v>
      </c>
      <c r="J193" s="36">
        <v>2003</v>
      </c>
      <c r="K193" s="39">
        <v>78.4166666666666</v>
      </c>
      <c r="L193" s="37">
        <v>598000</v>
      </c>
      <c r="M193" s="35" t="s">
        <v>655</v>
      </c>
      <c r="N193" s="27">
        <v>823126</v>
      </c>
      <c r="O193" s="38">
        <v>1.3939705305707899</v>
      </c>
      <c r="P193" s="38">
        <v>103.910663559632</v>
      </c>
      <c r="Q193" s="38" t="str" cm="1">
        <f t="array" ref="Q193">INDEX('MRT station dataset'!$C$3:$C$179, MATCH(MIN(SQRT(('MRT station dataset'!$E$3:$E$179-'Resale flat dataset (DV)'!O193)^2+('MRT station dataset'!$F$3:$F$179-'Resale flat dataset (DV)'!P193)^2)), SQRT(('MRT station dataset'!$E$3:$E$179-'Resale flat dataset (DV)'!O193)^2+('MRT station dataset'!$F$3:$F$179-'Resale flat dataset (DV)'!P193)^2), 0))</f>
        <v>CORAL EDGE LRT STATION</v>
      </c>
      <c r="R193" s="38" t="str" cm="1">
        <f t="array" ref="R193">INDEX('Mall Dataset'!$B$3:$B$157, MATCH(MIN(SQRT(('Mall Dataset'!$E$3:$E$157-'Resale flat dataset (DV)'!O193)^2+('Mall Dataset'!$F$3:$F$157-'Resale flat dataset (DV)'!P193)^2)), SQRT(('Mall Dataset'!$E$3:$E$157-'Resale flat dataset (DV)'!O193)^2+('Mall Dataset'!$F$3:$F$157-'Resale flat dataset (DV)'!P193)^2), 0))</f>
        <v>Punggol Plaza</v>
      </c>
      <c r="S193" s="38" t="str" cm="1">
        <f t="array" ref="S193">INDEX('Schools dataset'!$B$3:$B$187, MATCH(MIN(SQRT(('Schools dataset'!$J$3:$J$187-'Resale flat dataset (DV)'!O193)^2+('Schools dataset'!$K$3:$K$187-'Resale flat dataset (DV)'!P193)^2)), SQRT(('Schools dataset'!$J$3:$J$187-'Resale flat dataset (DV)'!O193)^2+('Schools dataset'!$K$3:$K$187-'Resale flat dataset (DV)'!P193)^2), 0))</f>
        <v>MEE TOH SCHOOL</v>
      </c>
      <c r="T193" s="39">
        <f>ACOS(COS(RADIANS(90-O193))*COS(RADIANS(90-_xlfn.XLOOKUP(Q193,'MRT station dataset'!$C$3:$C$179,'MRT station dataset'!$E$3:$E$179)))+SIN(RADIANS(90-O193))*SIN(RADIANS(90-_xlfn.XLOOKUP(Q193,'MRT station dataset'!$C$3:$C$179,'MRT station dataset'!$E$3:$E$179)))*COS(RADIANS(P193-_xlfn.XLOOKUP('Resale flat dataset (DV)'!Q193,'MRT station dataset'!$C$3:$C$179,'MRT station dataset'!$F$3:$F$179))))*6371*1000</f>
        <v>215.40145472508087</v>
      </c>
      <c r="U193" s="39">
        <f>ACOS(COS(RADIANS(90-O193))*COS(RADIANS(90-_xlfn.XLOOKUP(R193,'Mall Dataset'!$B$3:$B$157,'Mall Dataset'!$E$3:$E$157,,0)))+SIN(RADIANS(90-O193))*SIN(RADIANS(90-_xlfn.XLOOKUP(R193,'Mall Dataset'!$B$3:$B$157,'Mall Dataset'!$E$3:$E$157,,0)))*COS(RADIANS(P193-_xlfn.XLOOKUP(R193,'Mall Dataset'!$B$3:$B$157,'Mall Dataset'!$F$3:$F$157,,0))))*6371*1000</f>
        <v>266.63784747533771</v>
      </c>
      <c r="V193" s="39">
        <f>ACOS(COS(RADIANS(90-O193))*COS(RADIANS(90-_xlfn.XLOOKUP(S193,'Schools dataset'!$B$3:$B$187,'Schools dataset'!$J$3:$J$187,,0)))+SIN(RADIANS(90-O193))*SIN(RADIANS(90-_xlfn.XLOOKUP(S193,'Schools dataset'!$B$3:$B$187,'Schools dataset'!$J$3:$J$187,,0)))*COS(RADIANS(P193-_xlfn.XLOOKUP(S193,'Schools dataset'!$B$3:$B$187,'Schools dataset'!$K$3:$K$187,,0))))*6371*1000</f>
        <v>241.55174238798915</v>
      </c>
      <c r="W193" s="20">
        <f>_xlfn.XLOOKUP(T193,'HDB Recommender'!$P$10:$P$39,'HDB Recommender'!$Q$10:$Q$39,"&gt;30mins",1)</f>
        <v>3</v>
      </c>
      <c r="X193" s="20">
        <f>_xlfn.XLOOKUP(U193,'HDB Recommender'!$P$10:$P$39,'HDB Recommender'!$Q$10:$Q$39,"&gt;30mins",1)</f>
        <v>4</v>
      </c>
      <c r="Y193" s="20">
        <f>_xlfn.XLOOKUP(V193,'HDB Recommender'!$P$10:$P$39,'HDB Recommender'!$Q$10:$Q$39,"&gt;30mins",1)</f>
        <v>4</v>
      </c>
      <c r="Z193" s="39">
        <f t="shared" si="4"/>
        <v>3.6666666666666665</v>
      </c>
      <c r="AA193" s="20" t="str">
        <f t="shared" si="5"/>
        <v>Within 1km</v>
      </c>
    </row>
    <row r="194" spans="2:27">
      <c r="B194" s="35" t="s">
        <v>317</v>
      </c>
      <c r="C194" s="35" t="s">
        <v>630</v>
      </c>
      <c r="D194" s="35" t="s">
        <v>341</v>
      </c>
      <c r="E194" s="35"/>
      <c r="F194" s="35" t="s">
        <v>633</v>
      </c>
      <c r="G194" s="35" t="s">
        <v>191</v>
      </c>
      <c r="H194" s="35">
        <v>113</v>
      </c>
      <c r="I194" s="35" t="s">
        <v>389</v>
      </c>
      <c r="J194" s="36">
        <v>2018</v>
      </c>
      <c r="K194" s="39">
        <v>93.9166666666666</v>
      </c>
      <c r="L194" s="37">
        <v>758000</v>
      </c>
      <c r="M194" s="35" t="s">
        <v>653</v>
      </c>
      <c r="N194" s="27">
        <v>822684</v>
      </c>
      <c r="O194" s="38">
        <v>1.40302713233008</v>
      </c>
      <c r="P194" s="38">
        <v>103.915005575569</v>
      </c>
      <c r="Q194" s="38" t="str" cm="1">
        <f t="array" ref="Q194">INDEX('MRT station dataset'!$C$3:$C$179, MATCH(MIN(SQRT(('MRT station dataset'!$E$3:$E$179-'Resale flat dataset (DV)'!O194)^2+('MRT station dataset'!$F$3:$F$179-'Resale flat dataset (DV)'!P194)^2)), SQRT(('MRT station dataset'!$E$3:$E$179-'Resale flat dataset (DV)'!O194)^2+('MRT station dataset'!$F$3:$F$179-'Resale flat dataset (DV)'!P194)^2), 0))</f>
        <v>OASIS LRT STATION</v>
      </c>
      <c r="R194" s="38" t="str" cm="1">
        <f t="array" ref="R194">INDEX('Mall Dataset'!$B$3:$B$157, MATCH(MIN(SQRT(('Mall Dataset'!$E$3:$E$157-'Resale flat dataset (DV)'!O194)^2+('Mall Dataset'!$F$3:$F$157-'Resale flat dataset (DV)'!P194)^2)), SQRT(('Mall Dataset'!$E$3:$E$157-'Resale flat dataset (DV)'!O194)^2+('Mall Dataset'!$F$3:$F$157-'Resale flat dataset (DV)'!P194)^2), 0))</f>
        <v>Oasis Terraces</v>
      </c>
      <c r="S194" s="38" t="str" cm="1">
        <f t="array" ref="S194">INDEX('Schools dataset'!$B$3:$B$187, MATCH(MIN(SQRT(('Schools dataset'!$J$3:$J$187-'Resale flat dataset (DV)'!O194)^2+('Schools dataset'!$K$3:$K$187-'Resale flat dataset (DV)'!P194)^2)), SQRT(('Schools dataset'!$J$3:$J$187-'Resale flat dataset (DV)'!O194)^2+('Schools dataset'!$K$3:$K$187-'Resale flat dataset (DV)'!P194)^2), 0))</f>
        <v>HORIZON PRIMARY SCHOOL</v>
      </c>
      <c r="T194" s="39">
        <f>ACOS(COS(RADIANS(90-O194))*COS(RADIANS(90-_xlfn.XLOOKUP(Q194,'MRT station dataset'!$C$3:$C$179,'MRT station dataset'!$E$3:$E$179)))+SIN(RADIANS(90-O194))*SIN(RADIANS(90-_xlfn.XLOOKUP(Q194,'MRT station dataset'!$C$3:$C$179,'MRT station dataset'!$E$3:$E$179)))*COS(RADIANS(P194-_xlfn.XLOOKUP('Resale flat dataset (DV)'!Q194,'MRT station dataset'!$C$3:$C$179,'MRT station dataset'!$F$3:$F$179))))*6371*1000</f>
        <v>268.74261278169053</v>
      </c>
      <c r="U194" s="39">
        <f>ACOS(COS(RADIANS(90-O194))*COS(RADIANS(90-_xlfn.XLOOKUP(R194,'Mall Dataset'!$B$3:$B$157,'Mall Dataset'!$E$3:$E$157,,0)))+SIN(RADIANS(90-O194))*SIN(RADIANS(90-_xlfn.XLOOKUP(R194,'Mall Dataset'!$B$3:$B$157,'Mall Dataset'!$E$3:$E$157,,0)))*COS(RADIANS(P194-_xlfn.XLOOKUP(R194,'Mall Dataset'!$B$3:$B$157,'Mall Dataset'!$F$3:$F$157,,0))))*6371*1000</f>
        <v>200.91765636112081</v>
      </c>
      <c r="V194" s="39">
        <f>ACOS(COS(RADIANS(90-O194))*COS(RADIANS(90-_xlfn.XLOOKUP(S194,'Schools dataset'!$B$3:$B$187,'Schools dataset'!$J$3:$J$187,,0)))+SIN(RADIANS(90-O194))*SIN(RADIANS(90-_xlfn.XLOOKUP(S194,'Schools dataset'!$B$3:$B$187,'Schools dataset'!$J$3:$J$187,,0)))*COS(RADIANS(P194-_xlfn.XLOOKUP(S194,'Schools dataset'!$B$3:$B$187,'Schools dataset'!$K$3:$K$187,,0))))*6371*1000</f>
        <v>424.92449739397563</v>
      </c>
      <c r="W194" s="20">
        <f>_xlfn.XLOOKUP(T194,'HDB Recommender'!$P$10:$P$39,'HDB Recommender'!$Q$10:$Q$39,"&gt;30mins",1)</f>
        <v>4</v>
      </c>
      <c r="X194" s="20">
        <f>_xlfn.XLOOKUP(U194,'HDB Recommender'!$P$10:$P$39,'HDB Recommender'!$Q$10:$Q$39,"&gt;30mins",1)</f>
        <v>3</v>
      </c>
      <c r="Y194" s="20">
        <f>_xlfn.XLOOKUP(V194,'HDB Recommender'!$P$10:$P$39,'HDB Recommender'!$Q$10:$Q$39,"&gt;30mins",1)</f>
        <v>6</v>
      </c>
      <c r="Z194" s="39">
        <f t="shared" si="4"/>
        <v>4.333333333333333</v>
      </c>
      <c r="AA194" s="20" t="str">
        <f t="shared" si="5"/>
        <v>Within 1km</v>
      </c>
    </row>
    <row r="195" spans="2:27">
      <c r="B195" s="35" t="s">
        <v>317</v>
      </c>
      <c r="C195" s="35" t="s">
        <v>630</v>
      </c>
      <c r="D195" s="35" t="s">
        <v>341</v>
      </c>
      <c r="E195" s="35"/>
      <c r="F195" s="35" t="s">
        <v>638</v>
      </c>
      <c r="G195" s="35" t="s">
        <v>323</v>
      </c>
      <c r="H195" s="35">
        <v>111</v>
      </c>
      <c r="I195" s="35" t="s">
        <v>389</v>
      </c>
      <c r="J195" s="36">
        <v>2005</v>
      </c>
      <c r="K195" s="39">
        <v>80.3333333333333</v>
      </c>
      <c r="L195" s="37">
        <v>608888</v>
      </c>
      <c r="M195" s="35" t="s">
        <v>656</v>
      </c>
      <c r="N195" s="27">
        <v>821641</v>
      </c>
      <c r="O195" s="38">
        <v>1.39855482327723</v>
      </c>
      <c r="P195" s="38">
        <v>103.91700159159799</v>
      </c>
      <c r="Q195" s="38" t="str" cm="1">
        <f t="array" ref="Q195">INDEX('MRT station dataset'!$C$3:$C$179, MATCH(MIN(SQRT(('MRT station dataset'!$E$3:$E$179-'Resale flat dataset (DV)'!O195)^2+('MRT station dataset'!$F$3:$F$179-'Resale flat dataset (DV)'!P195)^2)), SQRT(('MRT station dataset'!$E$3:$E$179-'Resale flat dataset (DV)'!O195)^2+('MRT station dataset'!$F$3:$F$179-'Resale flat dataset (DV)'!P195)^2), 0))</f>
        <v>KADALOOR LRT STATION</v>
      </c>
      <c r="R195" s="38" t="str" cm="1">
        <f t="array" ref="R195">INDEX('Mall Dataset'!$B$3:$B$157, MATCH(MIN(SQRT(('Mall Dataset'!$E$3:$E$157-'Resale flat dataset (DV)'!O195)^2+('Mall Dataset'!$F$3:$F$157-'Resale flat dataset (DV)'!P195)^2)), SQRT(('Mall Dataset'!$E$3:$E$157-'Resale flat dataset (DV)'!O195)^2+('Mall Dataset'!$F$3:$F$157-'Resale flat dataset (DV)'!P195)^2), 0))</f>
        <v>Oasis Terraces</v>
      </c>
      <c r="S195" s="38" t="str" cm="1">
        <f t="array" ref="S195">INDEX('Schools dataset'!$B$3:$B$187, MATCH(MIN(SQRT(('Schools dataset'!$J$3:$J$187-'Resale flat dataset (DV)'!O195)^2+('Schools dataset'!$K$3:$K$187-'Resale flat dataset (DV)'!P195)^2)), SQRT(('Schools dataset'!$J$3:$J$187-'Resale flat dataset (DV)'!O195)^2+('Schools dataset'!$K$3:$K$187-'Resale flat dataset (DV)'!P195)^2), 0))</f>
        <v>WATERWAY PRIMARY SCHOOL</v>
      </c>
      <c r="T195" s="39">
        <f>ACOS(COS(RADIANS(90-O195))*COS(RADIANS(90-_xlfn.XLOOKUP(Q195,'MRT station dataset'!$C$3:$C$179,'MRT station dataset'!$E$3:$E$179)))+SIN(RADIANS(90-O195))*SIN(RADIANS(90-_xlfn.XLOOKUP(Q195,'MRT station dataset'!$C$3:$C$179,'MRT station dataset'!$E$3:$E$179)))*COS(RADIANS(P195-_xlfn.XLOOKUP('Resale flat dataset (DV)'!Q195,'MRT station dataset'!$C$3:$C$179,'MRT station dataset'!$F$3:$F$179))))*6371*1000</f>
        <v>128.90168487766252</v>
      </c>
      <c r="U195" s="39">
        <f>ACOS(COS(RADIANS(90-O195))*COS(RADIANS(90-_xlfn.XLOOKUP(R195,'Mall Dataset'!$B$3:$B$157,'Mall Dataset'!$E$3:$E$157,,0)))+SIN(RADIANS(90-O195))*SIN(RADIANS(90-_xlfn.XLOOKUP(R195,'Mall Dataset'!$B$3:$B$157,'Mall Dataset'!$E$3:$E$157,,0)))*COS(RADIANS(P195-_xlfn.XLOOKUP(R195,'Mall Dataset'!$B$3:$B$157,'Mall Dataset'!$F$3:$F$157,,0))))*6371*1000</f>
        <v>630.80352950403835</v>
      </c>
      <c r="V195" s="39">
        <f>ACOS(COS(RADIANS(90-O195))*COS(RADIANS(90-_xlfn.XLOOKUP(S195,'Schools dataset'!$B$3:$B$187,'Schools dataset'!$J$3:$J$187,,0)))+SIN(RADIANS(90-O195))*SIN(RADIANS(90-_xlfn.XLOOKUP(S195,'Schools dataset'!$B$3:$B$187,'Schools dataset'!$J$3:$J$187,,0)))*COS(RADIANS(P195-_xlfn.XLOOKUP(S195,'Schools dataset'!$B$3:$B$187,'Schools dataset'!$K$3:$K$187,,0))))*6371*1000</f>
        <v>180.07797184261909</v>
      </c>
      <c r="W195" s="20">
        <f>_xlfn.XLOOKUP(T195,'HDB Recommender'!$P$10:$P$39,'HDB Recommender'!$Q$10:$Q$39,"&gt;30mins",1)</f>
        <v>2</v>
      </c>
      <c r="X195" s="20">
        <f>_xlfn.XLOOKUP(U195,'HDB Recommender'!$P$10:$P$39,'HDB Recommender'!$Q$10:$Q$39,"&gt;30mins",1)</f>
        <v>9</v>
      </c>
      <c r="Y195" s="20">
        <f>_xlfn.XLOOKUP(V195,'HDB Recommender'!$P$10:$P$39,'HDB Recommender'!$Q$10:$Q$39,"&gt;30mins",1)</f>
        <v>3</v>
      </c>
      <c r="Z195" s="39">
        <f t="shared" si="4"/>
        <v>4.666666666666667</v>
      </c>
      <c r="AA195" s="20" t="str">
        <f t="shared" si="5"/>
        <v>Within 1km</v>
      </c>
    </row>
    <row r="196" spans="2:27">
      <c r="B196" s="35" t="s">
        <v>317</v>
      </c>
      <c r="C196" s="35" t="s">
        <v>630</v>
      </c>
      <c r="D196" s="35" t="s">
        <v>341</v>
      </c>
      <c r="E196" s="35"/>
      <c r="F196" s="35" t="s">
        <v>638</v>
      </c>
      <c r="G196" s="35" t="s">
        <v>184</v>
      </c>
      <c r="H196" s="35">
        <v>110</v>
      </c>
      <c r="I196" s="35" t="s">
        <v>326</v>
      </c>
      <c r="J196" s="36">
        <v>2016</v>
      </c>
      <c r="K196" s="39">
        <v>91.8333333333333</v>
      </c>
      <c r="L196" s="37">
        <v>705000</v>
      </c>
      <c r="M196" s="35" t="s">
        <v>657</v>
      </c>
      <c r="N196" s="27">
        <v>823663</v>
      </c>
      <c r="O196" s="38">
        <v>1.40036549350585</v>
      </c>
      <c r="P196" s="38">
        <v>103.91763192338</v>
      </c>
      <c r="Q196" s="38" t="str" cm="1">
        <f t="array" ref="Q196">INDEX('MRT station dataset'!$C$3:$C$179, MATCH(MIN(SQRT(('MRT station dataset'!$E$3:$E$179-'Resale flat dataset (DV)'!O196)^2+('MRT station dataset'!$F$3:$F$179-'Resale flat dataset (DV)'!P196)^2)), SQRT(('MRT station dataset'!$E$3:$E$179-'Resale flat dataset (DV)'!O196)^2+('MRT station dataset'!$F$3:$F$179-'Resale flat dataset (DV)'!P196)^2), 0))</f>
        <v>KADALOOR LRT STATION</v>
      </c>
      <c r="R196" s="38" t="str" cm="1">
        <f t="array" ref="R196">INDEX('Mall Dataset'!$B$3:$B$157, MATCH(MIN(SQRT(('Mall Dataset'!$E$3:$E$157-'Resale flat dataset (DV)'!O196)^2+('Mall Dataset'!$F$3:$F$157-'Resale flat dataset (DV)'!P196)^2)), SQRT(('Mall Dataset'!$E$3:$E$157-'Resale flat dataset (DV)'!O196)^2+('Mall Dataset'!$F$3:$F$157-'Resale flat dataset (DV)'!P196)^2), 0))</f>
        <v>Oasis Terraces</v>
      </c>
      <c r="S196" s="38" t="str" cm="1">
        <f t="array" ref="S196">INDEX('Schools dataset'!$B$3:$B$187, MATCH(MIN(SQRT(('Schools dataset'!$J$3:$J$187-'Resale flat dataset (DV)'!O196)^2+('Schools dataset'!$K$3:$K$187-'Resale flat dataset (DV)'!P196)^2)), SQRT(('Schools dataset'!$J$3:$J$187-'Resale flat dataset (DV)'!O196)^2+('Schools dataset'!$K$3:$K$187-'Resale flat dataset (DV)'!P196)^2), 0))</f>
        <v>WATERWAY PRIMARY SCHOOL</v>
      </c>
      <c r="T196" s="39">
        <f>ACOS(COS(RADIANS(90-O196))*COS(RADIANS(90-_xlfn.XLOOKUP(Q196,'MRT station dataset'!$C$3:$C$179,'MRT station dataset'!$E$3:$E$179)))+SIN(RADIANS(90-O196))*SIN(RADIANS(90-_xlfn.XLOOKUP(Q196,'MRT station dataset'!$C$3:$C$179,'MRT station dataset'!$E$3:$E$179)))*COS(RADIANS(P196-_xlfn.XLOOKUP('Resale flat dataset (DV)'!Q196,'MRT station dataset'!$C$3:$C$179,'MRT station dataset'!$F$3:$F$179))))*6371*1000</f>
        <v>151.9130005259459</v>
      </c>
      <c r="U196" s="39">
        <f>ACOS(COS(RADIANS(90-O196))*COS(RADIANS(90-_xlfn.XLOOKUP(R196,'Mall Dataset'!$B$3:$B$157,'Mall Dataset'!$E$3:$E$157,,0)))+SIN(RADIANS(90-O196))*SIN(RADIANS(90-_xlfn.XLOOKUP(R196,'Mall Dataset'!$B$3:$B$157,'Mall Dataset'!$E$3:$E$157,,0)))*COS(RADIANS(P196-_xlfn.XLOOKUP(R196,'Mall Dataset'!$B$3:$B$157,'Mall Dataset'!$F$3:$F$157,,0))))*6371*1000</f>
        <v>559.60161211073591</v>
      </c>
      <c r="V196" s="39">
        <f>ACOS(COS(RADIANS(90-O196))*COS(RADIANS(90-_xlfn.XLOOKUP(S196,'Schools dataset'!$B$3:$B$187,'Schools dataset'!$J$3:$J$187,,0)))+SIN(RADIANS(90-O196))*SIN(RADIANS(90-_xlfn.XLOOKUP(S196,'Schools dataset'!$B$3:$B$187,'Schools dataset'!$J$3:$J$187,,0)))*COS(RADIANS(P196-_xlfn.XLOOKUP(S196,'Schools dataset'!$B$3:$B$187,'Schools dataset'!$K$3:$K$187,,0))))*6371*1000</f>
        <v>195.11317141256646</v>
      </c>
      <c r="W196" s="20">
        <f>_xlfn.XLOOKUP(T196,'HDB Recommender'!$P$10:$P$39,'HDB Recommender'!$Q$10:$Q$39,"&gt;30mins",1)</f>
        <v>3</v>
      </c>
      <c r="X196" s="20">
        <f>_xlfn.XLOOKUP(U196,'HDB Recommender'!$P$10:$P$39,'HDB Recommender'!$Q$10:$Q$39,"&gt;30mins",1)</f>
        <v>8</v>
      </c>
      <c r="Y196" s="20">
        <f>_xlfn.XLOOKUP(V196,'HDB Recommender'!$P$10:$P$39,'HDB Recommender'!$Q$10:$Q$39,"&gt;30mins",1)</f>
        <v>3</v>
      </c>
      <c r="Z196" s="39">
        <f t="shared" ref="Z196:Z259" si="6">AVERAGE(W196:Y196)</f>
        <v>4.666666666666667</v>
      </c>
      <c r="AA196" s="20" t="str">
        <f t="shared" ref="AA196:AA259" si="7">IF(V196&lt;1000, "Within 1km", IF(V196&lt;=2000, "between 1km and 2km", "more than 2km"))</f>
        <v>Within 1km</v>
      </c>
    </row>
    <row r="197" spans="2:27">
      <c r="B197" s="35" t="s">
        <v>317</v>
      </c>
      <c r="C197" s="35" t="s">
        <v>630</v>
      </c>
      <c r="D197" s="35" t="s">
        <v>341</v>
      </c>
      <c r="E197" s="35"/>
      <c r="F197" s="35" t="s">
        <v>638</v>
      </c>
      <c r="G197" s="35" t="s">
        <v>191</v>
      </c>
      <c r="H197" s="35">
        <v>113</v>
      </c>
      <c r="I197" s="35" t="s">
        <v>389</v>
      </c>
      <c r="J197" s="36">
        <v>2016</v>
      </c>
      <c r="K197" s="39">
        <v>92</v>
      </c>
      <c r="L197" s="37">
        <v>860000</v>
      </c>
      <c r="M197" s="35" t="s">
        <v>658</v>
      </c>
      <c r="N197" s="27">
        <v>823679</v>
      </c>
      <c r="O197" s="38">
        <v>1.4064138077833099</v>
      </c>
      <c r="P197" s="38">
        <v>103.908805683601</v>
      </c>
      <c r="Q197" s="38" t="str" cm="1">
        <f t="array" ref="Q197">INDEX('MRT station dataset'!$C$3:$C$179, MATCH(MIN(SQRT(('MRT station dataset'!$E$3:$E$179-'Resale flat dataset (DV)'!O197)^2+('MRT station dataset'!$F$3:$F$179-'Resale flat dataset (DV)'!P197)^2)), SQRT(('MRT station dataset'!$E$3:$E$179-'Resale flat dataset (DV)'!O197)^2+('MRT station dataset'!$F$3:$F$179-'Resale flat dataset (DV)'!P197)^2), 0))</f>
        <v>DAMAI LRT STATION</v>
      </c>
      <c r="R197" s="38" t="str" cm="1">
        <f t="array" ref="R197">INDEX('Mall Dataset'!$B$3:$B$157, MATCH(MIN(SQRT(('Mall Dataset'!$E$3:$E$157-'Resale flat dataset (DV)'!O197)^2+('Mall Dataset'!$F$3:$F$157-'Resale flat dataset (DV)'!P197)^2)), SQRT(('Mall Dataset'!$E$3:$E$157-'Resale flat dataset (DV)'!O197)^2+('Mall Dataset'!$F$3:$F$157-'Resale flat dataset (DV)'!P197)^2), 0))</f>
        <v>Oasis Terraces</v>
      </c>
      <c r="S197" s="38" t="str" cm="1">
        <f t="array" ref="S197">INDEX('Schools dataset'!$B$3:$B$187, MATCH(MIN(SQRT(('Schools dataset'!$J$3:$J$187-'Resale flat dataset (DV)'!O197)^2+('Schools dataset'!$K$3:$K$187-'Resale flat dataset (DV)'!P197)^2)), SQRT(('Schools dataset'!$J$3:$J$187-'Resale flat dataset (DV)'!O197)^2+('Schools dataset'!$K$3:$K$187-'Resale flat dataset (DV)'!P197)^2), 0))</f>
        <v>OASIS PRIMARY SCHOOL</v>
      </c>
      <c r="T197" s="39">
        <f>ACOS(COS(RADIANS(90-O197))*COS(RADIANS(90-_xlfn.XLOOKUP(Q197,'MRT station dataset'!$C$3:$C$179,'MRT station dataset'!$E$3:$E$179)))+SIN(RADIANS(90-O197))*SIN(RADIANS(90-_xlfn.XLOOKUP(Q197,'MRT station dataset'!$C$3:$C$179,'MRT station dataset'!$E$3:$E$179)))*COS(RADIANS(P197-_xlfn.XLOOKUP('Resale flat dataset (DV)'!Q197,'MRT station dataset'!$C$3:$C$179,'MRT station dataset'!$F$3:$F$179))))*6371*1000</f>
        <v>136.89215691980405</v>
      </c>
      <c r="U197" s="39">
        <f>ACOS(COS(RADIANS(90-O197))*COS(RADIANS(90-_xlfn.XLOOKUP(R197,'Mall Dataset'!$B$3:$B$157,'Mall Dataset'!$E$3:$E$157,,0)))+SIN(RADIANS(90-O197))*SIN(RADIANS(90-_xlfn.XLOOKUP(R197,'Mall Dataset'!$B$3:$B$157,'Mall Dataset'!$E$3:$E$157,,0)))*COS(RADIANS(P197-_xlfn.XLOOKUP(R197,'Mall Dataset'!$B$3:$B$157,'Mall Dataset'!$F$3:$F$157,,0))))*6371*1000</f>
        <v>635.2208899542984</v>
      </c>
      <c r="V197" s="39">
        <f>ACOS(COS(RADIANS(90-O197))*COS(RADIANS(90-_xlfn.XLOOKUP(S197,'Schools dataset'!$B$3:$B$187,'Schools dataset'!$J$3:$J$187,,0)))+SIN(RADIANS(90-O197))*SIN(RADIANS(90-_xlfn.XLOOKUP(S197,'Schools dataset'!$B$3:$B$187,'Schools dataset'!$J$3:$J$187,,0)))*COS(RADIANS(P197-_xlfn.XLOOKUP(S197,'Schools dataset'!$B$3:$B$187,'Schools dataset'!$K$3:$K$187,,0))))*6371*1000</f>
        <v>305.15028476294168</v>
      </c>
      <c r="W197" s="20">
        <f>_xlfn.XLOOKUP(T197,'HDB Recommender'!$P$10:$P$39,'HDB Recommender'!$Q$10:$Q$39,"&gt;30mins",1)</f>
        <v>2</v>
      </c>
      <c r="X197" s="20">
        <f>_xlfn.XLOOKUP(U197,'HDB Recommender'!$P$10:$P$39,'HDB Recommender'!$Q$10:$Q$39,"&gt;30mins",1)</f>
        <v>9</v>
      </c>
      <c r="Y197" s="20">
        <f>_xlfn.XLOOKUP(V197,'HDB Recommender'!$P$10:$P$39,'HDB Recommender'!$Q$10:$Q$39,"&gt;30mins",1)</f>
        <v>5</v>
      </c>
      <c r="Z197" s="39">
        <f t="shared" si="6"/>
        <v>5.333333333333333</v>
      </c>
      <c r="AA197" s="20" t="str">
        <f t="shared" si="7"/>
        <v>Within 1km</v>
      </c>
    </row>
    <row r="198" spans="2:27">
      <c r="B198" s="35" t="s">
        <v>317</v>
      </c>
      <c r="C198" s="35" t="s">
        <v>630</v>
      </c>
      <c r="D198" s="35" t="s">
        <v>341</v>
      </c>
      <c r="E198" s="35"/>
      <c r="F198" s="35" t="s">
        <v>659</v>
      </c>
      <c r="G198" s="35" t="s">
        <v>184</v>
      </c>
      <c r="H198" s="35">
        <v>113</v>
      </c>
      <c r="I198" s="35" t="s">
        <v>326</v>
      </c>
      <c r="J198" s="36">
        <v>2018</v>
      </c>
      <c r="K198" s="39">
        <v>94.1666666666666</v>
      </c>
      <c r="L198" s="37">
        <v>750000</v>
      </c>
      <c r="M198" s="35" t="s">
        <v>660</v>
      </c>
      <c r="N198" s="27">
        <v>821658</v>
      </c>
      <c r="O198" s="38">
        <v>1.40017361074941</v>
      </c>
      <c r="P198" s="38">
        <v>103.919720354546</v>
      </c>
      <c r="Q198" s="38" t="str" cm="1">
        <f t="array" ref="Q198">INDEX('MRT station dataset'!$C$3:$C$179, MATCH(MIN(SQRT(('MRT station dataset'!$E$3:$E$179-'Resale flat dataset (DV)'!O198)^2+('MRT station dataset'!$F$3:$F$179-'Resale flat dataset (DV)'!P198)^2)), SQRT(('MRT station dataset'!$E$3:$E$179-'Resale flat dataset (DV)'!O198)^2+('MRT station dataset'!$F$3:$F$179-'Resale flat dataset (DV)'!P198)^2), 0))</f>
        <v>KADALOOR LRT STATION</v>
      </c>
      <c r="R198" s="38" t="str" cm="1">
        <f t="array" ref="R198">INDEX('Mall Dataset'!$B$3:$B$157, MATCH(MIN(SQRT(('Mall Dataset'!$E$3:$E$157-'Resale flat dataset (DV)'!O198)^2+('Mall Dataset'!$F$3:$F$157-'Resale flat dataset (DV)'!P198)^2)), SQRT(('Mall Dataset'!$E$3:$E$157-'Resale flat dataset (DV)'!O198)^2+('Mall Dataset'!$F$3:$F$157-'Resale flat dataset (DV)'!P198)^2), 0))</f>
        <v>Oasis Terraces</v>
      </c>
      <c r="S198" s="38" t="str" cm="1">
        <f t="array" ref="S198">INDEX('Schools dataset'!$B$3:$B$187, MATCH(MIN(SQRT(('Schools dataset'!$J$3:$J$187-'Resale flat dataset (DV)'!O198)^2+('Schools dataset'!$K$3:$K$187-'Resale flat dataset (DV)'!P198)^2)), SQRT(('Schools dataset'!$J$3:$J$187-'Resale flat dataset (DV)'!O198)^2+('Schools dataset'!$K$3:$K$187-'Resale flat dataset (DV)'!P198)^2), 0))</f>
        <v>WATERWAY PRIMARY SCHOOL</v>
      </c>
      <c r="T198" s="39">
        <f>ACOS(COS(RADIANS(90-O198))*COS(RADIANS(90-_xlfn.XLOOKUP(Q198,'MRT station dataset'!$C$3:$C$179,'MRT station dataset'!$E$3:$E$179)))+SIN(RADIANS(90-O198))*SIN(RADIANS(90-_xlfn.XLOOKUP(Q198,'MRT station dataset'!$C$3:$C$179,'MRT station dataset'!$E$3:$E$179)))*COS(RADIANS(P198-_xlfn.XLOOKUP('Resale flat dataset (DV)'!Q198,'MRT station dataset'!$C$3:$C$179,'MRT station dataset'!$F$3:$F$179))))*6371*1000</f>
        <v>363.61799280901573</v>
      </c>
      <c r="U198" s="39">
        <f>ACOS(COS(RADIANS(90-O198))*COS(RADIANS(90-_xlfn.XLOOKUP(R198,'Mall Dataset'!$B$3:$B$157,'Mall Dataset'!$E$3:$E$157,,0)))+SIN(RADIANS(90-O198))*SIN(RADIANS(90-_xlfn.XLOOKUP(R198,'Mall Dataset'!$B$3:$B$157,'Mall Dataset'!$E$3:$E$157,,0)))*COS(RADIANS(P198-_xlfn.XLOOKUP(R198,'Mall Dataset'!$B$3:$B$157,'Mall Dataset'!$F$3:$F$157,,0))))*6371*1000</f>
        <v>779.05588832199624</v>
      </c>
      <c r="V198" s="39">
        <f>ACOS(COS(RADIANS(90-O198))*COS(RADIANS(90-_xlfn.XLOOKUP(S198,'Schools dataset'!$B$3:$B$187,'Schools dataset'!$J$3:$J$187,,0)))+SIN(RADIANS(90-O198))*SIN(RADIANS(90-_xlfn.XLOOKUP(S198,'Schools dataset'!$B$3:$B$187,'Schools dataset'!$J$3:$J$187,,0)))*COS(RADIANS(P198-_xlfn.XLOOKUP(S198,'Schools dataset'!$B$3:$B$187,'Schools dataset'!$K$3:$K$187,,0))))*6371*1000</f>
        <v>190.24152556585494</v>
      </c>
      <c r="W198" s="20">
        <f>_xlfn.XLOOKUP(T198,'HDB Recommender'!$P$10:$P$39,'HDB Recommender'!$Q$10:$Q$39,"&gt;30mins",1)</f>
        <v>5</v>
      </c>
      <c r="X198" s="20">
        <f>_xlfn.XLOOKUP(U198,'HDB Recommender'!$P$10:$P$39,'HDB Recommender'!$Q$10:$Q$39,"&gt;30mins",1)</f>
        <v>11</v>
      </c>
      <c r="Y198" s="20">
        <f>_xlfn.XLOOKUP(V198,'HDB Recommender'!$P$10:$P$39,'HDB Recommender'!$Q$10:$Q$39,"&gt;30mins",1)</f>
        <v>3</v>
      </c>
      <c r="Z198" s="39">
        <f t="shared" si="6"/>
        <v>6.333333333333333</v>
      </c>
      <c r="AA198" s="20" t="str">
        <f t="shared" si="7"/>
        <v>Within 1km</v>
      </c>
    </row>
    <row r="199" spans="2:27">
      <c r="B199" s="35" t="s">
        <v>317</v>
      </c>
      <c r="C199" s="35" t="s">
        <v>630</v>
      </c>
      <c r="D199" s="35" t="s">
        <v>341</v>
      </c>
      <c r="E199" s="35"/>
      <c r="F199" s="35" t="s">
        <v>661</v>
      </c>
      <c r="G199" s="35" t="s">
        <v>346</v>
      </c>
      <c r="H199" s="35">
        <v>113</v>
      </c>
      <c r="I199" s="35" t="s">
        <v>326</v>
      </c>
      <c r="J199" s="36">
        <v>2018</v>
      </c>
      <c r="K199" s="39">
        <v>94.1666666666666</v>
      </c>
      <c r="L199" s="37">
        <v>745000</v>
      </c>
      <c r="M199" s="35" t="s">
        <v>662</v>
      </c>
      <c r="N199" s="27">
        <v>822231</v>
      </c>
      <c r="O199" s="38">
        <v>1.40212735474243</v>
      </c>
      <c r="P199" s="38">
        <v>103.891464755643</v>
      </c>
      <c r="Q199" s="38" t="str" cm="1">
        <f t="array" ref="Q199">INDEX('MRT station dataset'!$C$3:$C$179, MATCH(MIN(SQRT(('MRT station dataset'!$E$3:$E$179-'Resale flat dataset (DV)'!O199)^2+('MRT station dataset'!$F$3:$F$179-'Resale flat dataset (DV)'!P199)^2)), SQRT(('MRT station dataset'!$E$3:$E$179-'Resale flat dataset (DV)'!O199)^2+('MRT station dataset'!$F$3:$F$179-'Resale flat dataset (DV)'!P199)^2), 0))</f>
        <v>FARMWAY LRT STATION</v>
      </c>
      <c r="R199" s="38" t="str" cm="1">
        <f t="array" ref="R199">INDEX('Mall Dataset'!$B$3:$B$157, MATCH(MIN(SQRT(('Mall Dataset'!$E$3:$E$157-'Resale flat dataset (DV)'!O199)^2+('Mall Dataset'!$F$3:$F$157-'Resale flat dataset (DV)'!P199)^2)), SQRT(('Mall Dataset'!$E$3:$E$157-'Resale flat dataset (DV)'!O199)^2+('Mall Dataset'!$F$3:$F$157-'Resale flat dataset (DV)'!P199)^2), 0))</f>
        <v>Compass One</v>
      </c>
      <c r="S199" s="38" t="str" cm="1">
        <f t="array" ref="S199">INDEX('Schools dataset'!$B$3:$B$187, MATCH(MIN(SQRT(('Schools dataset'!$J$3:$J$187-'Resale flat dataset (DV)'!O199)^2+('Schools dataset'!$K$3:$K$187-'Resale flat dataset (DV)'!P199)^2)), SQRT(('Schools dataset'!$J$3:$J$187-'Resale flat dataset (DV)'!O199)^2+('Schools dataset'!$K$3:$K$187-'Resale flat dataset (DV)'!P199)^2), 0))</f>
        <v>SPRINGDALE PRIMARY SCHOOL</v>
      </c>
      <c r="T199" s="39">
        <f>ACOS(COS(RADIANS(90-O199))*COS(RADIANS(90-_xlfn.XLOOKUP(Q199,'MRT station dataset'!$C$3:$C$179,'MRT station dataset'!$E$3:$E$179)))+SIN(RADIANS(90-O199))*SIN(RADIANS(90-_xlfn.XLOOKUP(Q199,'MRT station dataset'!$C$3:$C$179,'MRT station dataset'!$E$3:$E$179)))*COS(RADIANS(P199-_xlfn.XLOOKUP('Resale flat dataset (DV)'!Q199,'MRT station dataset'!$C$3:$C$179,'MRT station dataset'!$F$3:$F$179))))*6371*1000</f>
        <v>598.41257777041164</v>
      </c>
      <c r="U199" s="39">
        <f>ACOS(COS(RADIANS(90-O199))*COS(RADIANS(90-_xlfn.XLOOKUP(R199,'Mall Dataset'!$B$3:$B$157,'Mall Dataset'!$E$3:$E$157,,0)))+SIN(RADIANS(90-O199))*SIN(RADIANS(90-_xlfn.XLOOKUP(R199,'Mall Dataset'!$B$3:$B$157,'Mall Dataset'!$E$3:$E$157,,0)))*COS(RADIANS(P199-_xlfn.XLOOKUP(R199,'Mall Dataset'!$B$3:$B$157,'Mall Dataset'!$F$3:$F$157,,0))))*6371*1000</f>
        <v>1189.7532454636334</v>
      </c>
      <c r="V199" s="39">
        <f>ACOS(COS(RADIANS(90-O199))*COS(RADIANS(90-_xlfn.XLOOKUP(S199,'Schools dataset'!$B$3:$B$187,'Schools dataset'!$J$3:$J$187,,0)))+SIN(RADIANS(90-O199))*SIN(RADIANS(90-_xlfn.XLOOKUP(S199,'Schools dataset'!$B$3:$B$187,'Schools dataset'!$J$3:$J$187,,0)))*COS(RADIANS(P199-_xlfn.XLOOKUP(S199,'Schools dataset'!$B$3:$B$187,'Schools dataset'!$K$3:$K$187,,0))))*6371*1000</f>
        <v>794.12905810444317</v>
      </c>
      <c r="W199" s="20">
        <f>_xlfn.XLOOKUP(T199,'HDB Recommender'!$P$10:$P$39,'HDB Recommender'!$Q$10:$Q$39,"&gt;30mins",1)</f>
        <v>8</v>
      </c>
      <c r="X199" s="20">
        <f>_xlfn.XLOOKUP(U199,'HDB Recommender'!$P$10:$P$39,'HDB Recommender'!$Q$10:$Q$39,"&gt;30mins",1)</f>
        <v>16</v>
      </c>
      <c r="Y199" s="20">
        <f>_xlfn.XLOOKUP(V199,'HDB Recommender'!$P$10:$P$39,'HDB Recommender'!$Q$10:$Q$39,"&gt;30mins",1)</f>
        <v>11</v>
      </c>
      <c r="Z199" s="39">
        <f t="shared" si="6"/>
        <v>11.666666666666666</v>
      </c>
      <c r="AA199" s="20" t="str">
        <f t="shared" si="7"/>
        <v>Within 1km</v>
      </c>
    </row>
    <row r="200" spans="2:27">
      <c r="B200" s="35" t="s">
        <v>317</v>
      </c>
      <c r="C200" s="35" t="s">
        <v>630</v>
      </c>
      <c r="D200" s="35" t="s">
        <v>341</v>
      </c>
      <c r="E200" s="35"/>
      <c r="F200" s="35" t="s">
        <v>650</v>
      </c>
      <c r="G200" s="35" t="s">
        <v>349</v>
      </c>
      <c r="H200" s="35">
        <v>121</v>
      </c>
      <c r="I200" s="35" t="s">
        <v>389</v>
      </c>
      <c r="J200" s="36">
        <v>2019</v>
      </c>
      <c r="K200" s="39">
        <v>94.5</v>
      </c>
      <c r="L200" s="37">
        <v>860000</v>
      </c>
      <c r="M200" s="35" t="s">
        <v>663</v>
      </c>
      <c r="N200" s="27">
        <v>821322</v>
      </c>
      <c r="O200" s="38">
        <v>1.41139447142604</v>
      </c>
      <c r="P200" s="38">
        <v>103.897032401459</v>
      </c>
      <c r="Q200" s="38" t="str" cm="1">
        <f t="array" ref="Q200">INDEX('MRT station dataset'!$C$3:$C$179, MATCH(MIN(SQRT(('MRT station dataset'!$E$3:$E$179-'Resale flat dataset (DV)'!O200)^2+('MRT station dataset'!$F$3:$F$179-'Resale flat dataset (DV)'!P200)^2)), SQRT(('MRT station dataset'!$E$3:$E$179-'Resale flat dataset (DV)'!O200)^2+('MRT station dataset'!$F$3:$F$179-'Resale flat dataset (DV)'!P200)^2), 0))</f>
        <v>SUMANG LRT STATION</v>
      </c>
      <c r="R200" s="38" t="str" cm="1">
        <f t="array" ref="R200">INDEX('Mall Dataset'!$B$3:$B$157, MATCH(MIN(SQRT(('Mall Dataset'!$E$3:$E$157-'Resale flat dataset (DV)'!O200)^2+('Mall Dataset'!$F$3:$F$157-'Resale flat dataset (DV)'!P200)^2)), SQRT(('Mall Dataset'!$E$3:$E$157-'Resale flat dataset (DV)'!O200)^2+('Mall Dataset'!$F$3:$F$157-'Resale flat dataset (DV)'!P200)^2), 0))</f>
        <v>Waterway Point</v>
      </c>
      <c r="S200" s="38" t="str" cm="1">
        <f t="array" ref="S200">INDEX('Schools dataset'!$B$3:$B$187, MATCH(MIN(SQRT(('Schools dataset'!$J$3:$J$187-'Resale flat dataset (DV)'!O200)^2+('Schools dataset'!$K$3:$K$187-'Resale flat dataset (DV)'!P200)^2)), SQRT(('Schools dataset'!$J$3:$J$187-'Resale flat dataset (DV)'!O200)^2+('Schools dataset'!$K$3:$K$187-'Resale flat dataset (DV)'!P200)^2), 0))</f>
        <v>PUNGGOL COVE PRIMARY SCHOOL</v>
      </c>
      <c r="T200" s="39">
        <f>ACOS(COS(RADIANS(90-O200))*COS(RADIANS(90-_xlfn.XLOOKUP(Q200,'MRT station dataset'!$C$3:$C$179,'MRT station dataset'!$E$3:$E$179)))+SIN(RADIANS(90-O200))*SIN(RADIANS(90-_xlfn.XLOOKUP(Q200,'MRT station dataset'!$C$3:$C$179,'MRT station dataset'!$E$3:$E$179)))*COS(RADIANS(P200-_xlfn.XLOOKUP('Resale flat dataset (DV)'!Q200,'MRT station dataset'!$C$3:$C$179,'MRT station dataset'!$F$3:$F$179))))*6371*1000</f>
        <v>365.9959146625298</v>
      </c>
      <c r="U200" s="39">
        <f>ACOS(COS(RADIANS(90-O200))*COS(RADIANS(90-_xlfn.XLOOKUP(R200,'Mall Dataset'!$B$3:$B$157,'Mall Dataset'!$E$3:$E$157,,0)))+SIN(RADIANS(90-O200))*SIN(RADIANS(90-_xlfn.XLOOKUP(R200,'Mall Dataset'!$B$3:$B$157,'Mall Dataset'!$E$3:$E$157,,0)))*COS(RADIANS(P200-_xlfn.XLOOKUP(R200,'Mall Dataset'!$B$3:$B$157,'Mall Dataset'!$F$3:$F$157,,0))))*6371*1000</f>
        <v>798.38916072370523</v>
      </c>
      <c r="V200" s="39">
        <f>ACOS(COS(RADIANS(90-O200))*COS(RADIANS(90-_xlfn.XLOOKUP(S200,'Schools dataset'!$B$3:$B$187,'Schools dataset'!$J$3:$J$187,,0)))+SIN(RADIANS(90-O200))*SIN(RADIANS(90-_xlfn.XLOOKUP(S200,'Schools dataset'!$B$3:$B$187,'Schools dataset'!$J$3:$J$187,,0)))*COS(RADIANS(P200-_xlfn.XLOOKUP(S200,'Schools dataset'!$B$3:$B$187,'Schools dataset'!$K$3:$K$187,,0))))*6371*1000</f>
        <v>209.17357272526971</v>
      </c>
      <c r="W200" s="20">
        <f>_xlfn.XLOOKUP(T200,'HDB Recommender'!$P$10:$P$39,'HDB Recommender'!$Q$10:$Q$39,"&gt;30mins",1)</f>
        <v>5</v>
      </c>
      <c r="X200" s="20">
        <f>_xlfn.XLOOKUP(U200,'HDB Recommender'!$P$10:$P$39,'HDB Recommender'!$Q$10:$Q$39,"&gt;30mins",1)</f>
        <v>11</v>
      </c>
      <c r="Y200" s="20">
        <f>_xlfn.XLOOKUP(V200,'HDB Recommender'!$P$10:$P$39,'HDB Recommender'!$Q$10:$Q$39,"&gt;30mins",1)</f>
        <v>3</v>
      </c>
      <c r="Z200" s="39">
        <f t="shared" si="6"/>
        <v>6.333333333333333</v>
      </c>
      <c r="AA200" s="20" t="str">
        <f t="shared" si="7"/>
        <v>Within 1km</v>
      </c>
    </row>
    <row r="201" spans="2:27">
      <c r="B201" s="35" t="s">
        <v>317</v>
      </c>
      <c r="C201" s="35" t="s">
        <v>664</v>
      </c>
      <c r="D201" s="35" t="s">
        <v>318</v>
      </c>
      <c r="E201" s="35">
        <v>81</v>
      </c>
      <c r="F201" s="35" t="s">
        <v>665</v>
      </c>
      <c r="G201" s="35" t="s">
        <v>191</v>
      </c>
      <c r="H201" s="35">
        <v>60</v>
      </c>
      <c r="I201" s="35" t="s">
        <v>342</v>
      </c>
      <c r="J201" s="36">
        <v>1967</v>
      </c>
      <c r="K201" s="39">
        <v>42.3333333333333</v>
      </c>
      <c r="L201" s="37">
        <v>340000</v>
      </c>
      <c r="M201" s="35" t="s">
        <v>666</v>
      </c>
      <c r="N201" s="27">
        <v>140081</v>
      </c>
      <c r="O201" s="38">
        <v>1.3037874439370001</v>
      </c>
      <c r="P201" s="38">
        <v>103.800385265974</v>
      </c>
      <c r="Q201" s="38" t="str" cm="1">
        <f t="array" ref="Q201">INDEX('MRT station dataset'!$C$3:$C$179, MATCH(MIN(SQRT(('MRT station dataset'!$E$3:$E$179-'Resale flat dataset (DV)'!O201)^2+('MRT station dataset'!$F$3:$F$179-'Resale flat dataset (DV)'!P201)^2)), SQRT(('MRT station dataset'!$E$3:$E$179-'Resale flat dataset (DV)'!O201)^2+('MRT station dataset'!$F$3:$F$179-'Resale flat dataset (DV)'!P201)^2), 0))</f>
        <v>COMMONWEALTH MRT STATION</v>
      </c>
      <c r="R201" s="38" t="str" cm="1">
        <f t="array" ref="R201">INDEX('Mall Dataset'!$B$3:$B$157, MATCH(MIN(SQRT(('Mall Dataset'!$E$3:$E$157-'Resale flat dataset (DV)'!O201)^2+('Mall Dataset'!$F$3:$F$157-'Resale flat dataset (DV)'!P201)^2)), SQRT(('Mall Dataset'!$E$3:$E$157-'Resale flat dataset (DV)'!O201)^2+('Mall Dataset'!$F$3:$F$157-'Resale flat dataset (DV)'!P201)^2), 0))</f>
        <v>Rochester Mall</v>
      </c>
      <c r="S201" s="38" t="str" cm="1">
        <f t="array" ref="S201">INDEX('Schools dataset'!$B$3:$B$187, MATCH(MIN(SQRT(('Schools dataset'!$J$3:$J$187-'Resale flat dataset (DV)'!O201)^2+('Schools dataset'!$K$3:$K$187-'Resale flat dataset (DV)'!P201)^2)), SQRT(('Schools dataset'!$J$3:$J$187-'Resale flat dataset (DV)'!O201)^2+('Schools dataset'!$K$3:$K$187-'Resale flat dataset (DV)'!P201)^2), 0))</f>
        <v>NEW TOWN PRIMARY SCHOOL</v>
      </c>
      <c r="T201" s="39">
        <f>ACOS(COS(RADIANS(90-O201))*COS(RADIANS(90-_xlfn.XLOOKUP(Q201,'MRT station dataset'!$C$3:$C$179,'MRT station dataset'!$E$3:$E$179)))+SIN(RADIANS(90-O201))*SIN(RADIANS(90-_xlfn.XLOOKUP(Q201,'MRT station dataset'!$C$3:$C$179,'MRT station dataset'!$E$3:$E$179)))*COS(RADIANS(P201-_xlfn.XLOOKUP('Resale flat dataset (DV)'!Q201,'MRT station dataset'!$C$3:$C$179,'MRT station dataset'!$F$3:$F$179))))*6371*1000</f>
        <v>278.4558616356465</v>
      </c>
      <c r="U201" s="39">
        <f>ACOS(COS(RADIANS(90-O201))*COS(RADIANS(90-_xlfn.XLOOKUP(R201,'Mall Dataset'!$B$3:$B$157,'Mall Dataset'!$E$3:$E$157,,0)))+SIN(RADIANS(90-O201))*SIN(RADIANS(90-_xlfn.XLOOKUP(R201,'Mall Dataset'!$B$3:$B$157,'Mall Dataset'!$E$3:$E$157,,0)))*COS(RADIANS(P201-_xlfn.XLOOKUP(R201,'Mall Dataset'!$B$3:$B$157,'Mall Dataset'!$F$3:$F$157,,0))))*6371*1000</f>
        <v>1339.3383238079005</v>
      </c>
      <c r="V201" s="39">
        <f>ACOS(COS(RADIANS(90-O201))*COS(RADIANS(90-_xlfn.XLOOKUP(S201,'Schools dataset'!$B$3:$B$187,'Schools dataset'!$J$3:$J$187,,0)))+SIN(RADIANS(90-O201))*SIN(RADIANS(90-_xlfn.XLOOKUP(S201,'Schools dataset'!$B$3:$B$187,'Schools dataset'!$J$3:$J$187,,0)))*COS(RADIANS(P201-_xlfn.XLOOKUP(S201,'Schools dataset'!$B$3:$B$187,'Schools dataset'!$K$3:$K$187,,0))))*6371*1000</f>
        <v>444.58088548506794</v>
      </c>
      <c r="W201" s="20">
        <f>_xlfn.XLOOKUP(T201,'HDB Recommender'!$P$10:$P$39,'HDB Recommender'!$Q$10:$Q$39,"&gt;30mins",1)</f>
        <v>4</v>
      </c>
      <c r="X201" s="20">
        <f>_xlfn.XLOOKUP(U201,'HDB Recommender'!$P$10:$P$39,'HDB Recommender'!$Q$10:$Q$39,"&gt;30mins",1)</f>
        <v>18</v>
      </c>
      <c r="Y201" s="20">
        <f>_xlfn.XLOOKUP(V201,'HDB Recommender'!$P$10:$P$39,'HDB Recommender'!$Q$10:$Q$39,"&gt;30mins",1)</f>
        <v>6</v>
      </c>
      <c r="Z201" s="39">
        <f t="shared" si="6"/>
        <v>9.3333333333333339</v>
      </c>
      <c r="AA201" s="20" t="str">
        <f t="shared" si="7"/>
        <v>Within 1km</v>
      </c>
    </row>
    <row r="202" spans="2:27">
      <c r="B202" s="35" t="s">
        <v>317</v>
      </c>
      <c r="C202" s="35" t="s">
        <v>664</v>
      </c>
      <c r="D202" s="35" t="s">
        <v>318</v>
      </c>
      <c r="E202" s="35">
        <v>40</v>
      </c>
      <c r="F202" s="35" t="s">
        <v>667</v>
      </c>
      <c r="G202" s="35" t="s">
        <v>349</v>
      </c>
      <c r="H202" s="35">
        <v>59</v>
      </c>
      <c r="I202" s="35" t="s">
        <v>326</v>
      </c>
      <c r="J202" s="36">
        <v>1975</v>
      </c>
      <c r="K202" s="39">
        <v>50.75</v>
      </c>
      <c r="L202" s="37">
        <v>350000</v>
      </c>
      <c r="M202" s="35" t="s">
        <v>668</v>
      </c>
      <c r="N202" s="27">
        <v>270040</v>
      </c>
      <c r="O202" s="38">
        <v>1.3071759084319601</v>
      </c>
      <c r="P202" s="38">
        <v>103.793500328714</v>
      </c>
      <c r="Q202" s="38" t="str" cm="1">
        <f t="array" ref="Q202">INDEX('MRT station dataset'!$C$3:$C$179, MATCH(MIN(SQRT(('MRT station dataset'!$E$3:$E$179-'Resale flat dataset (DV)'!O202)^2+('MRT station dataset'!$F$3:$F$179-'Resale flat dataset (DV)'!P202)^2)), SQRT(('MRT station dataset'!$E$3:$E$179-'Resale flat dataset (DV)'!O202)^2+('MRT station dataset'!$F$3:$F$179-'Resale flat dataset (DV)'!P202)^2), 0))</f>
        <v>BUONA VISTA MRT STATION</v>
      </c>
      <c r="R202" s="38" t="str" cm="1">
        <f t="array" ref="R202">INDEX('Mall Dataset'!$B$3:$B$157, MATCH(MIN(SQRT(('Mall Dataset'!$E$3:$E$157-'Resale flat dataset (DV)'!O202)^2+('Mall Dataset'!$F$3:$F$157-'Resale flat dataset (DV)'!P202)^2)), SQRT(('Mall Dataset'!$E$3:$E$157-'Resale flat dataset (DV)'!O202)^2+('Mall Dataset'!$F$3:$F$157-'Resale flat dataset (DV)'!P202)^2), 0))</f>
        <v>The Star Vista</v>
      </c>
      <c r="S202" s="38" t="str" cm="1">
        <f t="array" ref="S202">INDEX('Schools dataset'!$B$3:$B$187, MATCH(MIN(SQRT(('Schools dataset'!$J$3:$J$187-'Resale flat dataset (DV)'!O202)^2+('Schools dataset'!$K$3:$K$187-'Resale flat dataset (DV)'!P202)^2)), SQRT(('Schools dataset'!$J$3:$J$187-'Resale flat dataset (DV)'!O202)^2+('Schools dataset'!$K$3:$K$187-'Resale flat dataset (DV)'!P202)^2), 0))</f>
        <v>NEW TOWN PRIMARY SCHOOL</v>
      </c>
      <c r="T202" s="39">
        <f>ACOS(COS(RADIANS(90-O202))*COS(RADIANS(90-_xlfn.XLOOKUP(Q202,'MRT station dataset'!$C$3:$C$179,'MRT station dataset'!$E$3:$E$179)))+SIN(RADIANS(90-O202))*SIN(RADIANS(90-_xlfn.XLOOKUP(Q202,'MRT station dataset'!$C$3:$C$179,'MRT station dataset'!$E$3:$E$179)))*COS(RADIANS(P202-_xlfn.XLOOKUP('Resale flat dataset (DV)'!Q202,'MRT station dataset'!$C$3:$C$179,'MRT station dataset'!$F$3:$F$179))))*6371*1000</f>
        <v>366.89407448996025</v>
      </c>
      <c r="U202" s="39">
        <f>ACOS(COS(RADIANS(90-O202))*COS(RADIANS(90-_xlfn.XLOOKUP(R202,'Mall Dataset'!$B$3:$B$157,'Mall Dataset'!$E$3:$E$157,,0)))+SIN(RADIANS(90-O202))*SIN(RADIANS(90-_xlfn.XLOOKUP(R202,'Mall Dataset'!$B$3:$B$157,'Mall Dataset'!$E$3:$E$157,,0)))*COS(RADIANS(P202-_xlfn.XLOOKUP(R202,'Mall Dataset'!$B$3:$B$157,'Mall Dataset'!$F$3:$F$157,,0))))*6371*1000</f>
        <v>561.44546616465971</v>
      </c>
      <c r="V202" s="39">
        <f>ACOS(COS(RADIANS(90-O202))*COS(RADIANS(90-_xlfn.XLOOKUP(S202,'Schools dataset'!$B$3:$B$187,'Schools dataset'!$J$3:$J$187,,0)))+SIN(RADIANS(90-O202))*SIN(RADIANS(90-_xlfn.XLOOKUP(S202,'Schools dataset'!$B$3:$B$187,'Schools dataset'!$J$3:$J$187,,0)))*COS(RADIANS(P202-_xlfn.XLOOKUP(S202,'Schools dataset'!$B$3:$B$187,'Schools dataset'!$K$3:$K$187,,0))))*6371*1000</f>
        <v>1089.5069884197571</v>
      </c>
      <c r="W202" s="20">
        <f>_xlfn.XLOOKUP(T202,'HDB Recommender'!$P$10:$P$39,'HDB Recommender'!$Q$10:$Q$39,"&gt;30mins",1)</f>
        <v>5</v>
      </c>
      <c r="X202" s="20">
        <f>_xlfn.XLOOKUP(U202,'HDB Recommender'!$P$10:$P$39,'HDB Recommender'!$Q$10:$Q$39,"&gt;30mins",1)</f>
        <v>8</v>
      </c>
      <c r="Y202" s="20">
        <f>_xlfn.XLOOKUP(V202,'HDB Recommender'!$P$10:$P$39,'HDB Recommender'!$Q$10:$Q$39,"&gt;30mins",1)</f>
        <v>15</v>
      </c>
      <c r="Z202" s="39">
        <f t="shared" si="6"/>
        <v>9.3333333333333339</v>
      </c>
      <c r="AA202" s="20" t="str">
        <f t="shared" si="7"/>
        <v>between 1km and 2km</v>
      </c>
    </row>
    <row r="203" spans="2:27">
      <c r="B203" s="35" t="s">
        <v>317</v>
      </c>
      <c r="C203" s="35" t="s">
        <v>664</v>
      </c>
      <c r="D203" s="35" t="s">
        <v>318</v>
      </c>
      <c r="E203" s="35">
        <v>160</v>
      </c>
      <c r="F203" s="35" t="s">
        <v>669</v>
      </c>
      <c r="G203" s="35" t="s">
        <v>349</v>
      </c>
      <c r="H203" s="35">
        <v>72</v>
      </c>
      <c r="I203" s="35" t="s">
        <v>326</v>
      </c>
      <c r="J203" s="36">
        <v>1970</v>
      </c>
      <c r="K203" s="39">
        <v>45.8333333333333</v>
      </c>
      <c r="L203" s="37">
        <v>369000</v>
      </c>
      <c r="M203" s="35" t="s">
        <v>670</v>
      </c>
      <c r="N203" s="27">
        <v>140160</v>
      </c>
      <c r="O203" s="38">
        <v>1.29209690708572</v>
      </c>
      <c r="P203" s="38">
        <v>103.80422982116499</v>
      </c>
      <c r="Q203" s="38" t="str" cm="1">
        <f t="array" ref="Q203">INDEX('MRT station dataset'!$C$3:$C$179, MATCH(MIN(SQRT(('MRT station dataset'!$E$3:$E$179-'Resale flat dataset (DV)'!O203)^2+('MRT station dataset'!$F$3:$F$179-'Resale flat dataset (DV)'!P203)^2)), SQRT(('MRT station dataset'!$E$3:$E$179-'Resale flat dataset (DV)'!O203)^2+('MRT station dataset'!$F$3:$F$179-'Resale flat dataset (DV)'!P203)^2), 0))</f>
        <v>QUEENSTOWN MRT STATION</v>
      </c>
      <c r="R203" s="38" t="str" cm="1">
        <f t="array" ref="R203">INDEX('Mall Dataset'!$B$3:$B$157, MATCH(MIN(SQRT(('Mall Dataset'!$E$3:$E$157-'Resale flat dataset (DV)'!O203)^2+('Mall Dataset'!$F$3:$F$157-'Resale flat dataset (DV)'!P203)^2)), SQRT(('Mall Dataset'!$E$3:$E$157-'Resale flat dataset (DV)'!O203)^2+('Mall Dataset'!$F$3:$F$157-'Resale flat dataset (DV)'!P203)^2), 0))</f>
        <v>Anchorpoint</v>
      </c>
      <c r="S203" s="38" t="str" cm="1">
        <f t="array" ref="S203">INDEX('Schools dataset'!$B$3:$B$187, MATCH(MIN(SQRT(('Schools dataset'!$J$3:$J$187-'Resale flat dataset (DV)'!O203)^2+('Schools dataset'!$K$3:$K$187-'Resale flat dataset (DV)'!P203)^2)), SQRT(('Schools dataset'!$J$3:$J$187-'Resale flat dataset (DV)'!O203)^2+('Schools dataset'!$K$3:$K$187-'Resale flat dataset (DV)'!P203)^2), 0))</f>
        <v>QUEENSTOWN PRIMARY SCHOOL</v>
      </c>
      <c r="T203" s="39">
        <f>ACOS(COS(RADIANS(90-O203))*COS(RADIANS(90-_xlfn.XLOOKUP(Q203,'MRT station dataset'!$C$3:$C$179,'MRT station dataset'!$E$3:$E$179)))+SIN(RADIANS(90-O203))*SIN(RADIANS(90-_xlfn.XLOOKUP(Q203,'MRT station dataset'!$C$3:$C$179,'MRT station dataset'!$E$3:$E$179)))*COS(RADIANS(P203-_xlfn.XLOOKUP('Resale flat dataset (DV)'!Q203,'MRT station dataset'!$C$3:$C$179,'MRT station dataset'!$F$3:$F$179))))*6371*1000</f>
        <v>362.79900172677304</v>
      </c>
      <c r="U203" s="39">
        <f>ACOS(COS(RADIANS(90-O203))*COS(RADIANS(90-_xlfn.XLOOKUP(R203,'Mall Dataset'!$B$3:$B$157,'Mall Dataset'!$E$3:$E$157,,0)))+SIN(RADIANS(90-O203))*SIN(RADIANS(90-_xlfn.XLOOKUP(R203,'Mall Dataset'!$B$3:$B$157,'Mall Dataset'!$E$3:$E$157,,0)))*COS(RADIANS(P203-_xlfn.XLOOKUP(R203,'Mall Dataset'!$B$3:$B$157,'Mall Dataset'!$F$3:$F$157,,0))))*6371*1000</f>
        <v>383.53151887527434</v>
      </c>
      <c r="V203" s="39">
        <f>ACOS(COS(RADIANS(90-O203))*COS(RADIANS(90-_xlfn.XLOOKUP(S203,'Schools dataset'!$B$3:$B$187,'Schools dataset'!$J$3:$J$187,,0)))+SIN(RADIANS(90-O203))*SIN(RADIANS(90-_xlfn.XLOOKUP(S203,'Schools dataset'!$B$3:$B$187,'Schools dataset'!$J$3:$J$187,,0)))*COS(RADIANS(P203-_xlfn.XLOOKUP(S203,'Schools dataset'!$B$3:$B$187,'Schools dataset'!$K$3:$K$187,,0))))*6371*1000</f>
        <v>538.58862906983381</v>
      </c>
      <c r="W203" s="20">
        <f>_xlfn.XLOOKUP(T203,'HDB Recommender'!$P$10:$P$39,'HDB Recommender'!$Q$10:$Q$39,"&gt;30mins",1)</f>
        <v>5</v>
      </c>
      <c r="X203" s="20">
        <f>_xlfn.XLOOKUP(U203,'HDB Recommender'!$P$10:$P$39,'HDB Recommender'!$Q$10:$Q$39,"&gt;30mins",1)</f>
        <v>6</v>
      </c>
      <c r="Y203" s="20">
        <f>_xlfn.XLOOKUP(V203,'HDB Recommender'!$P$10:$P$39,'HDB Recommender'!$Q$10:$Q$39,"&gt;30mins",1)</f>
        <v>8</v>
      </c>
      <c r="Z203" s="39">
        <f t="shared" si="6"/>
        <v>6.333333333333333</v>
      </c>
      <c r="AA203" s="20" t="str">
        <f t="shared" si="7"/>
        <v>Within 1km</v>
      </c>
    </row>
    <row r="204" spans="2:27">
      <c r="B204" s="35" t="s">
        <v>317</v>
      </c>
      <c r="C204" s="35" t="s">
        <v>664</v>
      </c>
      <c r="D204" s="35" t="s">
        <v>318</v>
      </c>
      <c r="E204" s="35"/>
      <c r="F204" s="35" t="s">
        <v>671</v>
      </c>
      <c r="G204" s="35" t="s">
        <v>323</v>
      </c>
      <c r="H204" s="35">
        <v>76</v>
      </c>
      <c r="I204" s="35" t="s">
        <v>326</v>
      </c>
      <c r="J204" s="36">
        <v>1973</v>
      </c>
      <c r="K204" s="39">
        <v>48.6666666666666</v>
      </c>
      <c r="L204" s="37">
        <v>420000</v>
      </c>
      <c r="M204" s="35" t="s">
        <v>672</v>
      </c>
      <c r="N204" s="27">
        <v>140023</v>
      </c>
      <c r="O204" s="38">
        <v>1.29429993967601</v>
      </c>
      <c r="P204" s="38">
        <v>103.799725944793</v>
      </c>
      <c r="Q204" s="38" t="str" cm="1">
        <f t="array" ref="Q204">INDEX('MRT station dataset'!$C$3:$C$179, MATCH(MIN(SQRT(('MRT station dataset'!$E$3:$E$179-'Resale flat dataset (DV)'!O204)^2+('MRT station dataset'!$F$3:$F$179-'Resale flat dataset (DV)'!P204)^2)), SQRT(('MRT station dataset'!$E$3:$E$179-'Resale flat dataset (DV)'!O204)^2+('MRT station dataset'!$F$3:$F$179-'Resale flat dataset (DV)'!P204)^2), 0))</f>
        <v>QUEENSTOWN MRT STATION</v>
      </c>
      <c r="R204" s="38" t="str" cm="1">
        <f t="array" ref="R204">INDEX('Mall Dataset'!$B$3:$B$157, MATCH(MIN(SQRT(('Mall Dataset'!$E$3:$E$157-'Resale flat dataset (DV)'!O204)^2+('Mall Dataset'!$F$3:$F$157-'Resale flat dataset (DV)'!P204)^2)), SQRT(('Mall Dataset'!$E$3:$E$157-'Resale flat dataset (DV)'!O204)^2+('Mall Dataset'!$F$3:$F$157-'Resale flat dataset (DV)'!P204)^2), 0))</f>
        <v>Queensway Shopping Centre</v>
      </c>
      <c r="S204" s="38" t="str" cm="1">
        <f t="array" ref="S204">INDEX('Schools dataset'!$B$3:$B$187, MATCH(MIN(SQRT(('Schools dataset'!$J$3:$J$187-'Resale flat dataset (DV)'!O204)^2+('Schools dataset'!$K$3:$K$187-'Resale flat dataset (DV)'!P204)^2)), SQRT(('Schools dataset'!$J$3:$J$187-'Resale flat dataset (DV)'!O204)^2+('Schools dataset'!$K$3:$K$187-'Resale flat dataset (DV)'!P204)^2), 0))</f>
        <v>NEW TOWN PRIMARY SCHOOL</v>
      </c>
      <c r="T204" s="39">
        <f>ACOS(COS(RADIANS(90-O204))*COS(RADIANS(90-_xlfn.XLOOKUP(Q204,'MRT station dataset'!$C$3:$C$179,'MRT station dataset'!$E$3:$E$179)))+SIN(RADIANS(90-O204))*SIN(RADIANS(90-_xlfn.XLOOKUP(Q204,'MRT station dataset'!$C$3:$C$179,'MRT station dataset'!$E$3:$E$179)))*COS(RADIANS(P204-_xlfn.XLOOKUP('Resale flat dataset (DV)'!Q204,'MRT station dataset'!$C$3:$C$179,'MRT station dataset'!$F$3:$F$179))))*6371*1000</f>
        <v>689.58403559964609</v>
      </c>
      <c r="U204" s="39">
        <f>ACOS(COS(RADIANS(90-O204))*COS(RADIANS(90-_xlfn.XLOOKUP(R204,'Mall Dataset'!$B$3:$B$157,'Mall Dataset'!$E$3:$E$157,,0)))+SIN(RADIANS(90-O204))*SIN(RADIANS(90-_xlfn.XLOOKUP(R204,'Mall Dataset'!$B$3:$B$157,'Mall Dataset'!$E$3:$E$157,,0)))*COS(RADIANS(P204-_xlfn.XLOOKUP(R204,'Mall Dataset'!$B$3:$B$157,'Mall Dataset'!$F$3:$F$157,,0))))*6371*1000</f>
        <v>847.39109292927651</v>
      </c>
      <c r="V204" s="39">
        <f>ACOS(COS(RADIANS(90-O204))*COS(RADIANS(90-_xlfn.XLOOKUP(S204,'Schools dataset'!$B$3:$B$187,'Schools dataset'!$J$3:$J$187,,0)))+SIN(RADIANS(90-O204))*SIN(RADIANS(90-_xlfn.XLOOKUP(S204,'Schools dataset'!$B$3:$B$187,'Schools dataset'!$J$3:$J$187,,0)))*COS(RADIANS(P204-_xlfn.XLOOKUP(S204,'Schools dataset'!$B$3:$B$187,'Schools dataset'!$K$3:$K$187,,0))))*6371*1000</f>
        <v>613.42023884336231</v>
      </c>
      <c r="W204" s="20">
        <f>_xlfn.XLOOKUP(T204,'HDB Recommender'!$P$10:$P$39,'HDB Recommender'!$Q$10:$Q$39,"&gt;30mins",1)</f>
        <v>10</v>
      </c>
      <c r="X204" s="20">
        <f>_xlfn.XLOOKUP(U204,'HDB Recommender'!$P$10:$P$39,'HDB Recommender'!$Q$10:$Q$39,"&gt;30mins",1)</f>
        <v>12</v>
      </c>
      <c r="Y204" s="20">
        <f>_xlfn.XLOOKUP(V204,'HDB Recommender'!$P$10:$P$39,'HDB Recommender'!$Q$10:$Q$39,"&gt;30mins",1)</f>
        <v>9</v>
      </c>
      <c r="Z204" s="39">
        <f t="shared" si="6"/>
        <v>10.333333333333334</v>
      </c>
      <c r="AA204" s="20" t="str">
        <f t="shared" si="7"/>
        <v>Within 1km</v>
      </c>
    </row>
    <row r="205" spans="2:27">
      <c r="B205" s="35" t="s">
        <v>317</v>
      </c>
      <c r="C205" s="35" t="s">
        <v>664</v>
      </c>
      <c r="D205" s="35" t="s">
        <v>20</v>
      </c>
      <c r="E205" s="35">
        <v>30</v>
      </c>
      <c r="F205" s="35" t="s">
        <v>673</v>
      </c>
      <c r="G205" s="35" t="s">
        <v>674</v>
      </c>
      <c r="H205" s="35">
        <v>93</v>
      </c>
      <c r="I205" s="35" t="s">
        <v>335</v>
      </c>
      <c r="J205" s="36">
        <v>2018</v>
      </c>
      <c r="K205" s="39">
        <v>93.75</v>
      </c>
      <c r="L205" s="37">
        <v>985000</v>
      </c>
      <c r="M205" s="35" t="s">
        <v>675</v>
      </c>
      <c r="N205" s="27">
        <v>272030</v>
      </c>
      <c r="O205" s="38">
        <v>1.30881985260159</v>
      </c>
      <c r="P205" s="38">
        <v>103.78383897179999</v>
      </c>
      <c r="Q205" s="38" t="str" cm="1">
        <f t="array" ref="Q205">INDEX('MRT station dataset'!$C$3:$C$179, MATCH(MIN(SQRT(('MRT station dataset'!$E$3:$E$179-'Resale flat dataset (DV)'!O205)^2+('MRT station dataset'!$F$3:$F$179-'Resale flat dataset (DV)'!P205)^2)), SQRT(('MRT station dataset'!$E$3:$E$179-'Resale flat dataset (DV)'!O205)^2+('MRT station dataset'!$F$3:$F$179-'Resale flat dataset (DV)'!P205)^2), 0))</f>
        <v>DOVER MRT STATION</v>
      </c>
      <c r="R205" s="38" t="str" cm="1">
        <f t="array" ref="R205">INDEX('Mall Dataset'!$B$3:$B$157, MATCH(MIN(SQRT(('Mall Dataset'!$E$3:$E$157-'Resale flat dataset (DV)'!O205)^2+('Mall Dataset'!$F$3:$F$157-'Resale flat dataset (DV)'!P205)^2)), SQRT(('Mall Dataset'!$E$3:$E$157-'Resale flat dataset (DV)'!O205)^2+('Mall Dataset'!$F$3:$F$157-'Resale flat dataset (DV)'!P205)^2), 0))</f>
        <v>The Star Vista</v>
      </c>
      <c r="S205" s="38" t="str" cm="1">
        <f t="array" ref="S205">INDEX('Schools dataset'!$B$3:$B$187, MATCH(MIN(SQRT(('Schools dataset'!$J$3:$J$187-'Resale flat dataset (DV)'!O205)^2+('Schools dataset'!$K$3:$K$187-'Resale flat dataset (DV)'!P205)^2)), SQRT(('Schools dataset'!$J$3:$J$187-'Resale flat dataset (DV)'!O205)^2+('Schools dataset'!$K$3:$K$187-'Resale flat dataset (DV)'!P205)^2), 0))</f>
        <v>HENRY PARK PRIMARY SCHOOL</v>
      </c>
      <c r="T205" s="39">
        <f>ACOS(COS(RADIANS(90-O205))*COS(RADIANS(90-_xlfn.XLOOKUP(Q205,'MRT station dataset'!$C$3:$C$179,'MRT station dataset'!$E$3:$E$179)))+SIN(RADIANS(90-O205))*SIN(RADIANS(90-_xlfn.XLOOKUP(Q205,'MRT station dataset'!$C$3:$C$179,'MRT station dataset'!$E$3:$E$179)))*COS(RADIANS(P205-_xlfn.XLOOKUP('Resale flat dataset (DV)'!Q205,'MRT station dataset'!$C$3:$C$179,'MRT station dataset'!$F$3:$F$179))))*6371*1000</f>
        <v>649.22639639172769</v>
      </c>
      <c r="U205" s="39">
        <f>ACOS(COS(RADIANS(90-O205))*COS(RADIANS(90-_xlfn.XLOOKUP(R205,'Mall Dataset'!$B$3:$B$157,'Mall Dataset'!$E$3:$E$157,,0)))+SIN(RADIANS(90-O205))*SIN(RADIANS(90-_xlfn.XLOOKUP(R205,'Mall Dataset'!$B$3:$B$157,'Mall Dataset'!$E$3:$E$157,,0)))*COS(RADIANS(P205-_xlfn.XLOOKUP(R205,'Mall Dataset'!$B$3:$B$157,'Mall Dataset'!$F$3:$F$157,,0))))*6371*1000</f>
        <v>560.26608832979764</v>
      </c>
      <c r="V205" s="39">
        <f>ACOS(COS(RADIANS(90-O205))*COS(RADIANS(90-_xlfn.XLOOKUP(S205,'Schools dataset'!$B$3:$B$187,'Schools dataset'!$J$3:$J$187,,0)))+SIN(RADIANS(90-O205))*SIN(RADIANS(90-_xlfn.XLOOKUP(S205,'Schools dataset'!$B$3:$B$187,'Schools dataset'!$J$3:$J$187,,0)))*COS(RADIANS(P205-_xlfn.XLOOKUP(S205,'Schools dataset'!$B$3:$B$187,'Schools dataset'!$K$3:$K$187,,0))))*6371*1000</f>
        <v>875.09263426538155</v>
      </c>
      <c r="W205" s="20">
        <f>_xlfn.XLOOKUP(T205,'HDB Recommender'!$P$10:$P$39,'HDB Recommender'!$Q$10:$Q$39,"&gt;30mins",1)</f>
        <v>9</v>
      </c>
      <c r="X205" s="20">
        <f>_xlfn.XLOOKUP(U205,'HDB Recommender'!$P$10:$P$39,'HDB Recommender'!$Q$10:$Q$39,"&gt;30mins",1)</f>
        <v>8</v>
      </c>
      <c r="Y205" s="20">
        <f>_xlfn.XLOOKUP(V205,'HDB Recommender'!$P$10:$P$39,'HDB Recommender'!$Q$10:$Q$39,"&gt;30mins",1)</f>
        <v>12</v>
      </c>
      <c r="Z205" s="39">
        <f t="shared" si="6"/>
        <v>9.6666666666666661</v>
      </c>
      <c r="AA205" s="20" t="str">
        <f t="shared" si="7"/>
        <v>Within 1km</v>
      </c>
    </row>
    <row r="206" spans="2:27">
      <c r="B206" s="35" t="s">
        <v>317</v>
      </c>
      <c r="C206" s="35" t="s">
        <v>664</v>
      </c>
      <c r="D206" s="35" t="s">
        <v>20</v>
      </c>
      <c r="E206" s="35"/>
      <c r="F206" s="35" t="s">
        <v>676</v>
      </c>
      <c r="G206" s="35" t="s">
        <v>189</v>
      </c>
      <c r="H206" s="35">
        <v>104</v>
      </c>
      <c r="I206" s="35" t="s">
        <v>335</v>
      </c>
      <c r="J206" s="36">
        <v>1998</v>
      </c>
      <c r="K206" s="39">
        <v>74.25</v>
      </c>
      <c r="L206" s="37">
        <v>880000</v>
      </c>
      <c r="M206" s="35" t="s">
        <v>677</v>
      </c>
      <c r="N206" s="27">
        <v>272003</v>
      </c>
      <c r="O206" s="38">
        <v>1.30872888811713</v>
      </c>
      <c r="P206" s="38">
        <v>103.796738854783</v>
      </c>
      <c r="Q206" s="38" t="str" cm="1">
        <f t="array" ref="Q206">INDEX('MRT station dataset'!$C$3:$C$179, MATCH(MIN(SQRT(('MRT station dataset'!$E$3:$E$179-'Resale flat dataset (DV)'!O206)^2+('MRT station dataset'!$F$3:$F$179-'Resale flat dataset (DV)'!P206)^2)), SQRT(('MRT station dataset'!$E$3:$E$179-'Resale flat dataset (DV)'!O206)^2+('MRT station dataset'!$F$3:$F$179-'Resale flat dataset (DV)'!P206)^2), 0))</f>
        <v>HOLLAND VILLAGE MRT STATION</v>
      </c>
      <c r="R206" s="38" t="str" cm="1">
        <f t="array" ref="R206">INDEX('Mall Dataset'!$B$3:$B$157, MATCH(MIN(SQRT(('Mall Dataset'!$E$3:$E$157-'Resale flat dataset (DV)'!O206)^2+('Mall Dataset'!$F$3:$F$157-'Resale flat dataset (DV)'!P206)^2)), SQRT(('Mall Dataset'!$E$3:$E$157-'Resale flat dataset (DV)'!O206)^2+('Mall Dataset'!$F$3:$F$157-'Resale flat dataset (DV)'!P206)^2), 0))</f>
        <v>The Star Vista</v>
      </c>
      <c r="S206" s="38" t="str" cm="1">
        <f t="array" ref="S206">INDEX('Schools dataset'!$B$3:$B$187, MATCH(MIN(SQRT(('Schools dataset'!$J$3:$J$187-'Resale flat dataset (DV)'!O206)^2+('Schools dataset'!$K$3:$K$187-'Resale flat dataset (DV)'!P206)^2)), SQRT(('Schools dataset'!$J$3:$J$187-'Resale flat dataset (DV)'!O206)^2+('Schools dataset'!$K$3:$K$187-'Resale flat dataset (DV)'!P206)^2), 0))</f>
        <v>NEW TOWN PRIMARY SCHOOL</v>
      </c>
      <c r="T206" s="39">
        <f>ACOS(COS(RADIANS(90-O206))*COS(RADIANS(90-_xlfn.XLOOKUP(Q206,'MRT station dataset'!$C$3:$C$179,'MRT station dataset'!$E$3:$E$179)))+SIN(RADIANS(90-O206))*SIN(RADIANS(90-_xlfn.XLOOKUP(Q206,'MRT station dataset'!$C$3:$C$179,'MRT station dataset'!$E$3:$E$179)))*COS(RADIANS(P206-_xlfn.XLOOKUP('Resale flat dataset (DV)'!Q206,'MRT station dataset'!$C$3:$C$179,'MRT station dataset'!$F$3:$F$179))))*6371*1000</f>
        <v>346.70607378986659</v>
      </c>
      <c r="U206" s="39">
        <f>ACOS(COS(RADIANS(90-O206))*COS(RADIANS(90-_xlfn.XLOOKUP(R206,'Mall Dataset'!$B$3:$B$157,'Mall Dataset'!$E$3:$E$157,,0)))+SIN(RADIANS(90-O206))*SIN(RADIANS(90-_xlfn.XLOOKUP(R206,'Mall Dataset'!$B$3:$B$157,'Mall Dataset'!$E$3:$E$157,,0)))*COS(RADIANS(P206-_xlfn.XLOOKUP(R206,'Mall Dataset'!$B$3:$B$157,'Mall Dataset'!$F$3:$F$157,,0))))*6371*1000</f>
        <v>944.31578346082085</v>
      </c>
      <c r="V206" s="39">
        <f>ACOS(COS(RADIANS(90-O206))*COS(RADIANS(90-_xlfn.XLOOKUP(S206,'Schools dataset'!$B$3:$B$187,'Schools dataset'!$J$3:$J$187,,0)))+SIN(RADIANS(90-O206))*SIN(RADIANS(90-_xlfn.XLOOKUP(S206,'Schools dataset'!$B$3:$B$187,'Schools dataset'!$J$3:$J$187,,0)))*COS(RADIANS(P206-_xlfn.XLOOKUP(S206,'Schools dataset'!$B$3:$B$187,'Schools dataset'!$K$3:$K$187,,0))))*6371*1000</f>
        <v>1054.4378254325914</v>
      </c>
      <c r="W206" s="20">
        <f>_xlfn.XLOOKUP(T206,'HDB Recommender'!$P$10:$P$39,'HDB Recommender'!$Q$10:$Q$39,"&gt;30mins",1)</f>
        <v>5</v>
      </c>
      <c r="X206" s="20">
        <f>_xlfn.XLOOKUP(U206,'HDB Recommender'!$P$10:$P$39,'HDB Recommender'!$Q$10:$Q$39,"&gt;30mins",1)</f>
        <v>13</v>
      </c>
      <c r="Y206" s="20">
        <f>_xlfn.XLOOKUP(V206,'HDB Recommender'!$P$10:$P$39,'HDB Recommender'!$Q$10:$Q$39,"&gt;30mins",1)</f>
        <v>15</v>
      </c>
      <c r="Z206" s="39">
        <f t="shared" si="6"/>
        <v>11</v>
      </c>
      <c r="AA206" s="20" t="str">
        <f t="shared" si="7"/>
        <v>between 1km and 2km</v>
      </c>
    </row>
    <row r="207" spans="2:27">
      <c r="B207" s="35" t="s">
        <v>317</v>
      </c>
      <c r="C207" s="35" t="s">
        <v>664</v>
      </c>
      <c r="D207" s="35" t="s">
        <v>20</v>
      </c>
      <c r="E207" s="35"/>
      <c r="F207" s="35" t="s">
        <v>678</v>
      </c>
      <c r="G207" s="35" t="s">
        <v>349</v>
      </c>
      <c r="H207" s="35">
        <v>96</v>
      </c>
      <c r="I207" s="35" t="s">
        <v>335</v>
      </c>
      <c r="J207" s="36">
        <v>2011</v>
      </c>
      <c r="K207" s="39">
        <v>86.9166666666666</v>
      </c>
      <c r="L207" s="37">
        <v>828000</v>
      </c>
      <c r="M207" s="35" t="s">
        <v>679</v>
      </c>
      <c r="N207" s="27">
        <v>143062</v>
      </c>
      <c r="O207" s="38">
        <v>1.2944605758846</v>
      </c>
      <c r="P207" s="38">
        <v>103.810978956227</v>
      </c>
      <c r="Q207" s="38" t="str" cm="1">
        <f t="array" ref="Q207">INDEX('MRT station dataset'!$C$3:$C$179, MATCH(MIN(SQRT(('MRT station dataset'!$E$3:$E$179-'Resale flat dataset (DV)'!O207)^2+('MRT station dataset'!$F$3:$F$179-'Resale flat dataset (DV)'!P207)^2)), SQRT(('MRT station dataset'!$E$3:$E$179-'Resale flat dataset (DV)'!O207)^2+('MRT station dataset'!$F$3:$F$179-'Resale flat dataset (DV)'!P207)^2), 0))</f>
        <v>QUEENSTOWN MRT STATION</v>
      </c>
      <c r="R207" s="38" t="str" cm="1">
        <f t="array" ref="R207">INDEX('Mall Dataset'!$B$3:$B$157, MATCH(MIN(SQRT(('Mall Dataset'!$E$3:$E$157-'Resale flat dataset (DV)'!O207)^2+('Mall Dataset'!$F$3:$F$157-'Resale flat dataset (DV)'!P207)^2)), SQRT(('Mall Dataset'!$E$3:$E$157-'Resale flat dataset (DV)'!O207)^2+('Mall Dataset'!$F$3:$F$157-'Resale flat dataset (DV)'!P207)^2), 0))</f>
        <v>Anchorpoint</v>
      </c>
      <c r="S207" s="38" t="str" cm="1">
        <f t="array" ref="S207">INDEX('Schools dataset'!$B$3:$B$187, MATCH(MIN(SQRT(('Schools dataset'!$J$3:$J$187-'Resale flat dataset (DV)'!O207)^2+('Schools dataset'!$K$3:$K$187-'Resale flat dataset (DV)'!P207)^2)), SQRT(('Schools dataset'!$J$3:$J$187-'Resale flat dataset (DV)'!O207)^2+('Schools dataset'!$K$3:$K$187-'Resale flat dataset (DV)'!P207)^2), 0))</f>
        <v>QUEENSTOWN PRIMARY SCHOOL</v>
      </c>
      <c r="T207" s="39">
        <f>ACOS(COS(RADIANS(90-O207))*COS(RADIANS(90-_xlfn.XLOOKUP(Q207,'MRT station dataset'!$C$3:$C$179,'MRT station dataset'!$E$3:$E$179)))+SIN(RADIANS(90-O207))*SIN(RADIANS(90-_xlfn.XLOOKUP(Q207,'MRT station dataset'!$C$3:$C$179,'MRT station dataset'!$E$3:$E$179)))*COS(RADIANS(P207-_xlfn.XLOOKUP('Resale flat dataset (DV)'!Q207,'MRT station dataset'!$C$3:$C$179,'MRT station dataset'!$F$3:$F$179))))*6371*1000</f>
        <v>566.72031475643553</v>
      </c>
      <c r="U207" s="39">
        <f>ACOS(COS(RADIANS(90-O207))*COS(RADIANS(90-_xlfn.XLOOKUP(R207,'Mall Dataset'!$B$3:$B$157,'Mall Dataset'!$E$3:$E$157,,0)))+SIN(RADIANS(90-O207))*SIN(RADIANS(90-_xlfn.XLOOKUP(R207,'Mall Dataset'!$B$3:$B$157,'Mall Dataset'!$E$3:$E$157,,0)))*COS(RADIANS(P207-_xlfn.XLOOKUP(R207,'Mall Dataset'!$B$3:$B$157,'Mall Dataset'!$F$3:$F$157,,0))))*6371*1000</f>
        <v>856.77334510282094</v>
      </c>
      <c r="V207" s="39">
        <f>ACOS(COS(RADIANS(90-O207))*COS(RADIANS(90-_xlfn.XLOOKUP(S207,'Schools dataset'!$B$3:$B$187,'Schools dataset'!$J$3:$J$187,,0)))+SIN(RADIANS(90-O207))*SIN(RADIANS(90-_xlfn.XLOOKUP(S207,'Schools dataset'!$B$3:$B$187,'Schools dataset'!$J$3:$J$187,,0)))*COS(RADIANS(P207-_xlfn.XLOOKUP(S207,'Schools dataset'!$B$3:$B$187,'Schools dataset'!$K$3:$K$187,,0))))*6371*1000</f>
        <v>388.83396950005067</v>
      </c>
      <c r="W207" s="20">
        <f>_xlfn.XLOOKUP(T207,'HDB Recommender'!$P$10:$P$39,'HDB Recommender'!$Q$10:$Q$39,"&gt;30mins",1)</f>
        <v>8</v>
      </c>
      <c r="X207" s="20">
        <f>_xlfn.XLOOKUP(U207,'HDB Recommender'!$P$10:$P$39,'HDB Recommender'!$Q$10:$Q$39,"&gt;30mins",1)</f>
        <v>12</v>
      </c>
      <c r="Y207" s="20">
        <f>_xlfn.XLOOKUP(V207,'HDB Recommender'!$P$10:$P$39,'HDB Recommender'!$Q$10:$Q$39,"&gt;30mins",1)</f>
        <v>6</v>
      </c>
      <c r="Z207" s="39">
        <f t="shared" si="6"/>
        <v>8.6666666666666661</v>
      </c>
      <c r="AA207" s="20" t="str">
        <f t="shared" si="7"/>
        <v>Within 1km</v>
      </c>
    </row>
    <row r="208" spans="2:27">
      <c r="B208" s="35" t="s">
        <v>317</v>
      </c>
      <c r="C208" s="35" t="s">
        <v>680</v>
      </c>
      <c r="D208" s="35" t="s">
        <v>395</v>
      </c>
      <c r="E208" s="35"/>
      <c r="F208" s="35" t="s">
        <v>681</v>
      </c>
      <c r="G208" s="35" t="s">
        <v>184</v>
      </c>
      <c r="H208" s="35">
        <v>47</v>
      </c>
      <c r="I208" s="35" t="s">
        <v>335</v>
      </c>
      <c r="J208" s="36">
        <v>2019</v>
      </c>
      <c r="K208" s="39">
        <v>94.6666666666666</v>
      </c>
      <c r="L208" s="37">
        <v>345000</v>
      </c>
      <c r="M208" s="35" t="s">
        <v>682</v>
      </c>
      <c r="N208" s="27">
        <v>751363</v>
      </c>
      <c r="O208" s="38">
        <v>1.4457601658532799</v>
      </c>
      <c r="P208" s="38">
        <v>103.814267716736</v>
      </c>
      <c r="Q208" s="38" t="str" cm="1">
        <f t="array" ref="Q208">INDEX('MRT station dataset'!$C$3:$C$179, MATCH(MIN(SQRT(('MRT station dataset'!$E$3:$E$179-'Resale flat dataset (DV)'!O208)^2+('MRT station dataset'!$F$3:$F$179-'Resale flat dataset (DV)'!P208)^2)), SQRT(('MRT station dataset'!$E$3:$E$179-'Resale flat dataset (DV)'!O208)^2+('MRT station dataset'!$F$3:$F$179-'Resale flat dataset (DV)'!P208)^2), 0))</f>
        <v>SEMBAWANG MRT STATION</v>
      </c>
      <c r="R208" s="38" t="str" cm="1">
        <f t="array" ref="R208">INDEX('Mall Dataset'!$B$3:$B$157, MATCH(MIN(SQRT(('Mall Dataset'!$E$3:$E$157-'Resale flat dataset (DV)'!O208)^2+('Mall Dataset'!$F$3:$F$157-'Resale flat dataset (DV)'!P208)^2)), SQRT(('Mall Dataset'!$E$3:$E$157-'Resale flat dataset (DV)'!O208)^2+('Mall Dataset'!$F$3:$F$157-'Resale flat dataset (DV)'!P208)^2), 0))</f>
        <v>Sun Plaza</v>
      </c>
      <c r="S208" s="38" t="str" cm="1">
        <f t="array" ref="S208">INDEX('Schools dataset'!$B$3:$B$187, MATCH(MIN(SQRT(('Schools dataset'!$J$3:$J$187-'Resale flat dataset (DV)'!O208)^2+('Schools dataset'!$K$3:$K$187-'Resale flat dataset (DV)'!P208)^2)), SQRT(('Schools dataset'!$J$3:$J$187-'Resale flat dataset (DV)'!O208)^2+('Schools dataset'!$K$3:$K$187-'Resale flat dataset (DV)'!P208)^2), 0))</f>
        <v>CANBERRA PRIMARY SCHOOL</v>
      </c>
      <c r="T208" s="39">
        <f>ACOS(COS(RADIANS(90-O208))*COS(RADIANS(90-_xlfn.XLOOKUP(Q208,'MRT station dataset'!$C$3:$C$179,'MRT station dataset'!$E$3:$E$179)))+SIN(RADIANS(90-O208))*SIN(RADIANS(90-_xlfn.XLOOKUP(Q208,'MRT station dataset'!$C$3:$C$179,'MRT station dataset'!$E$3:$E$179)))*COS(RADIANS(P208-_xlfn.XLOOKUP('Resale flat dataset (DV)'!Q208,'MRT station dataset'!$C$3:$C$179,'MRT station dataset'!$F$3:$F$179))))*6371*1000</f>
        <v>737.5216519699876</v>
      </c>
      <c r="U208" s="39">
        <f>ACOS(COS(RADIANS(90-O208))*COS(RADIANS(90-_xlfn.XLOOKUP(R208,'Mall Dataset'!$B$3:$B$157,'Mall Dataset'!$E$3:$E$157,,0)))+SIN(RADIANS(90-O208))*SIN(RADIANS(90-_xlfn.XLOOKUP(R208,'Mall Dataset'!$B$3:$B$157,'Mall Dataset'!$E$3:$E$157,,0)))*COS(RADIANS(P208-_xlfn.XLOOKUP(R208,'Mall Dataset'!$B$3:$B$157,'Mall Dataset'!$F$3:$F$157,,0))))*6371*1000</f>
        <v>645.63904826330031</v>
      </c>
      <c r="V208" s="39">
        <f>ACOS(COS(RADIANS(90-O208))*COS(RADIANS(90-_xlfn.XLOOKUP(S208,'Schools dataset'!$B$3:$B$187,'Schools dataset'!$J$3:$J$187,,0)))+SIN(RADIANS(90-O208))*SIN(RADIANS(90-_xlfn.XLOOKUP(S208,'Schools dataset'!$B$3:$B$187,'Schools dataset'!$J$3:$J$187,,0)))*COS(RADIANS(P208-_xlfn.XLOOKUP(S208,'Schools dataset'!$B$3:$B$187,'Schools dataset'!$K$3:$K$187,,0))))*6371*1000</f>
        <v>634.67723795090137</v>
      </c>
      <c r="W208" s="20">
        <f>_xlfn.XLOOKUP(T208,'HDB Recommender'!$P$10:$P$39,'HDB Recommender'!$Q$10:$Q$39,"&gt;30mins",1)</f>
        <v>10</v>
      </c>
      <c r="X208" s="20">
        <f>_xlfn.XLOOKUP(U208,'HDB Recommender'!$P$10:$P$39,'HDB Recommender'!$Q$10:$Q$39,"&gt;30mins",1)</f>
        <v>9</v>
      </c>
      <c r="Y208" s="20">
        <f>_xlfn.XLOOKUP(V208,'HDB Recommender'!$P$10:$P$39,'HDB Recommender'!$Q$10:$Q$39,"&gt;30mins",1)</f>
        <v>9</v>
      </c>
      <c r="Z208" s="39">
        <f t="shared" si="6"/>
        <v>9.3333333333333339</v>
      </c>
      <c r="AA208" s="20" t="str">
        <f t="shared" si="7"/>
        <v>Within 1km</v>
      </c>
    </row>
    <row r="209" spans="2:27">
      <c r="B209" s="35" t="s">
        <v>317</v>
      </c>
      <c r="C209" s="35" t="s">
        <v>680</v>
      </c>
      <c r="D209" s="35" t="s">
        <v>318</v>
      </c>
      <c r="E209" s="35"/>
      <c r="F209" s="35" t="s">
        <v>683</v>
      </c>
      <c r="G209" s="35" t="s">
        <v>323</v>
      </c>
      <c r="H209" s="35">
        <v>68</v>
      </c>
      <c r="I209" s="35" t="s">
        <v>335</v>
      </c>
      <c r="J209" s="36">
        <v>2018</v>
      </c>
      <c r="K209" s="39">
        <v>94.0833333333333</v>
      </c>
      <c r="L209" s="37">
        <v>470000</v>
      </c>
      <c r="M209" s="35" t="s">
        <v>684</v>
      </c>
      <c r="N209" s="27">
        <v>752128</v>
      </c>
      <c r="O209" s="38">
        <v>1.44514889153347</v>
      </c>
      <c r="P209" s="38">
        <v>103.833925659353</v>
      </c>
      <c r="Q209" s="38" t="str" cm="1">
        <f t="array" ref="Q209">INDEX('MRT station dataset'!$C$3:$C$179, MATCH(MIN(SQRT(('MRT station dataset'!$E$3:$E$179-'Resale flat dataset (DV)'!O209)^2+('MRT station dataset'!$F$3:$F$179-'Resale flat dataset (DV)'!P209)^2)), SQRT(('MRT station dataset'!$E$3:$E$179-'Resale flat dataset (DV)'!O209)^2+('MRT station dataset'!$F$3:$F$179-'Resale flat dataset (DV)'!P209)^2), 0))</f>
        <v>CANBERRA MRT STATION</v>
      </c>
      <c r="R209" s="38" t="str" cm="1">
        <f t="array" ref="R209">INDEX('Mall Dataset'!$B$3:$B$157, MATCH(MIN(SQRT(('Mall Dataset'!$E$3:$E$157-'Resale flat dataset (DV)'!O209)^2+('Mall Dataset'!$F$3:$F$157-'Resale flat dataset (DV)'!P209)^2)), SQRT(('Mall Dataset'!$E$3:$E$157-'Resale flat dataset (DV)'!O209)^2+('Mall Dataset'!$F$3:$F$157-'Resale flat dataset (DV)'!P209)^2), 0))</f>
        <v>Canberra Plaza</v>
      </c>
      <c r="S209" s="38" t="str" cm="1">
        <f t="array" ref="S209">INDEX('Schools dataset'!$B$3:$B$187, MATCH(MIN(SQRT(('Schools dataset'!$J$3:$J$187-'Resale flat dataset (DV)'!O209)^2+('Schools dataset'!$K$3:$K$187-'Resale flat dataset (DV)'!P209)^2)), SQRT(('Schools dataset'!$J$3:$J$187-'Resale flat dataset (DV)'!O209)^2+('Schools dataset'!$K$3:$K$187-'Resale flat dataset (DV)'!P209)^2), 0))</f>
        <v>CHONGFU SCHOOL</v>
      </c>
      <c r="T209" s="39">
        <f>ACOS(COS(RADIANS(90-O209))*COS(RADIANS(90-_xlfn.XLOOKUP(Q209,'MRT station dataset'!$C$3:$C$179,'MRT station dataset'!$E$3:$E$179)))+SIN(RADIANS(90-O209))*SIN(RADIANS(90-_xlfn.XLOOKUP(Q209,'MRT station dataset'!$C$3:$C$179,'MRT station dataset'!$E$3:$E$179)))*COS(RADIANS(P209-_xlfn.XLOOKUP('Resale flat dataset (DV)'!Q209,'MRT station dataset'!$C$3:$C$179,'MRT station dataset'!$F$3:$F$179))))*6371*1000</f>
        <v>522.05765437083016</v>
      </c>
      <c r="U209" s="39">
        <f>ACOS(COS(RADIANS(90-O209))*COS(RADIANS(90-_xlfn.XLOOKUP(R209,'Mall Dataset'!$B$3:$B$157,'Mall Dataset'!$E$3:$E$157,,0)))+SIN(RADIANS(90-O209))*SIN(RADIANS(90-_xlfn.XLOOKUP(R209,'Mall Dataset'!$B$3:$B$157,'Mall Dataset'!$E$3:$E$157,,0)))*COS(RADIANS(P209-_xlfn.XLOOKUP(R209,'Mall Dataset'!$B$3:$B$157,'Mall Dataset'!$F$3:$F$157,,0))))*6371*1000</f>
        <v>438.39886104196046</v>
      </c>
      <c r="V209" s="39">
        <f>ACOS(COS(RADIANS(90-O209))*COS(RADIANS(90-_xlfn.XLOOKUP(S209,'Schools dataset'!$B$3:$B$187,'Schools dataset'!$J$3:$J$187,,0)))+SIN(RADIANS(90-O209))*SIN(RADIANS(90-_xlfn.XLOOKUP(S209,'Schools dataset'!$B$3:$B$187,'Schools dataset'!$J$3:$J$187,,0)))*COS(RADIANS(P209-_xlfn.XLOOKUP(S209,'Schools dataset'!$B$3:$B$187,'Schools dataset'!$K$3:$K$187,,0))))*6371*1000</f>
        <v>938.03501330660799</v>
      </c>
      <c r="W209" s="20">
        <f>_xlfn.XLOOKUP(T209,'HDB Recommender'!$P$10:$P$39,'HDB Recommender'!$Q$10:$Q$39,"&gt;30mins",1)</f>
        <v>7</v>
      </c>
      <c r="X209" s="20">
        <f>_xlfn.XLOOKUP(U209,'HDB Recommender'!$P$10:$P$39,'HDB Recommender'!$Q$10:$Q$39,"&gt;30mins",1)</f>
        <v>6</v>
      </c>
      <c r="Y209" s="20">
        <f>_xlfn.XLOOKUP(V209,'HDB Recommender'!$P$10:$P$39,'HDB Recommender'!$Q$10:$Q$39,"&gt;30mins",1)</f>
        <v>13</v>
      </c>
      <c r="Z209" s="39">
        <f t="shared" si="6"/>
        <v>8.6666666666666661</v>
      </c>
      <c r="AA209" s="20" t="str">
        <f t="shared" si="7"/>
        <v>Within 1km</v>
      </c>
    </row>
    <row r="210" spans="2:27">
      <c r="B210" s="35" t="s">
        <v>317</v>
      </c>
      <c r="C210" s="35" t="s">
        <v>680</v>
      </c>
      <c r="D210" s="35" t="s">
        <v>318</v>
      </c>
      <c r="E210" s="35"/>
      <c r="F210" s="35" t="s">
        <v>683</v>
      </c>
      <c r="G210" s="35" t="s">
        <v>189</v>
      </c>
      <c r="H210" s="35">
        <v>67</v>
      </c>
      <c r="I210" s="35" t="s">
        <v>335</v>
      </c>
      <c r="J210" s="36">
        <v>2018</v>
      </c>
      <c r="K210" s="39">
        <v>93.8333333333333</v>
      </c>
      <c r="L210" s="37">
        <v>430000</v>
      </c>
      <c r="M210" s="35" t="s">
        <v>685</v>
      </c>
      <c r="N210" s="27">
        <v>751107</v>
      </c>
      <c r="O210" s="38">
        <v>1.4499047462200001</v>
      </c>
      <c r="P210" s="38">
        <v>103.83297924096399</v>
      </c>
      <c r="Q210" s="38" t="str" cm="1">
        <f t="array" ref="Q210">INDEX('MRT station dataset'!$C$3:$C$179, MATCH(MIN(SQRT(('MRT station dataset'!$E$3:$E$179-'Resale flat dataset (DV)'!O210)^2+('MRT station dataset'!$F$3:$F$179-'Resale flat dataset (DV)'!P210)^2)), SQRT(('MRT station dataset'!$E$3:$E$179-'Resale flat dataset (DV)'!O210)^2+('MRT station dataset'!$F$3:$F$179-'Resale flat dataset (DV)'!P210)^2), 0))</f>
        <v>CANBERRA MRT STATION</v>
      </c>
      <c r="R210" s="38" t="str" cm="1">
        <f t="array" ref="R210">INDEX('Mall Dataset'!$B$3:$B$157, MATCH(MIN(SQRT(('Mall Dataset'!$E$3:$E$157-'Resale flat dataset (DV)'!O210)^2+('Mall Dataset'!$F$3:$F$157-'Resale flat dataset (DV)'!P210)^2)), SQRT(('Mall Dataset'!$E$3:$E$157-'Resale flat dataset (DV)'!O210)^2+('Mall Dataset'!$F$3:$F$157-'Resale flat dataset (DV)'!P210)^2), 0))</f>
        <v>Canberra Plaza</v>
      </c>
      <c r="S210" s="38" t="str" cm="1">
        <f t="array" ref="S210">INDEX('Schools dataset'!$B$3:$B$187, MATCH(MIN(SQRT(('Schools dataset'!$J$3:$J$187-'Resale flat dataset (DV)'!O210)^2+('Schools dataset'!$K$3:$K$187-'Resale flat dataset (DV)'!P210)^2)), SQRT(('Schools dataset'!$J$3:$J$187-'Resale flat dataset (DV)'!O210)^2+('Schools dataset'!$K$3:$K$187-'Resale flat dataset (DV)'!P210)^2), 0))</f>
        <v>WELLINGTON PRIMARY SCHOOL</v>
      </c>
      <c r="T210" s="39">
        <f>ACOS(COS(RADIANS(90-O210))*COS(RADIANS(90-_xlfn.XLOOKUP(Q210,'MRT station dataset'!$C$3:$C$179,'MRT station dataset'!$E$3:$E$179)))+SIN(RADIANS(90-O210))*SIN(RADIANS(90-_xlfn.XLOOKUP(Q210,'MRT station dataset'!$C$3:$C$179,'MRT station dataset'!$E$3:$E$179)))*COS(RADIANS(P210-_xlfn.XLOOKUP('Resale flat dataset (DV)'!Q210,'MRT station dataset'!$C$3:$C$179,'MRT station dataset'!$F$3:$F$179))))*6371*1000</f>
        <v>839.87980124541696</v>
      </c>
      <c r="U210" s="39">
        <f>ACOS(COS(RADIANS(90-O210))*COS(RADIANS(90-_xlfn.XLOOKUP(R210,'Mall Dataset'!$B$3:$B$157,'Mall Dataset'!$E$3:$E$157,,0)))+SIN(RADIANS(90-O210))*SIN(RADIANS(90-_xlfn.XLOOKUP(R210,'Mall Dataset'!$B$3:$B$157,'Mall Dataset'!$E$3:$E$157,,0)))*COS(RADIANS(P210-_xlfn.XLOOKUP(R210,'Mall Dataset'!$B$3:$B$157,'Mall Dataset'!$F$3:$F$157,,0))))*6371*1000</f>
        <v>770.47732675997781</v>
      </c>
      <c r="V210" s="39">
        <f>ACOS(COS(RADIANS(90-O210))*COS(RADIANS(90-_xlfn.XLOOKUP(S210,'Schools dataset'!$B$3:$B$187,'Schools dataset'!$J$3:$J$187,,0)))+SIN(RADIANS(90-O210))*SIN(RADIANS(90-_xlfn.XLOOKUP(S210,'Schools dataset'!$B$3:$B$187,'Schools dataset'!$J$3:$J$187,,0)))*COS(RADIANS(P210-_xlfn.XLOOKUP(S210,'Schools dataset'!$B$3:$B$187,'Schools dataset'!$K$3:$K$187,,0))))*6371*1000</f>
        <v>1179.7923815586748</v>
      </c>
      <c r="W210" s="20">
        <f>_xlfn.XLOOKUP(T210,'HDB Recommender'!$P$10:$P$39,'HDB Recommender'!$Q$10:$Q$39,"&gt;30mins",1)</f>
        <v>12</v>
      </c>
      <c r="X210" s="20">
        <f>_xlfn.XLOOKUP(U210,'HDB Recommender'!$P$10:$P$39,'HDB Recommender'!$Q$10:$Q$39,"&gt;30mins",1)</f>
        <v>11</v>
      </c>
      <c r="Y210" s="20">
        <f>_xlfn.XLOOKUP(V210,'HDB Recommender'!$P$10:$P$39,'HDB Recommender'!$Q$10:$Q$39,"&gt;30mins",1)</f>
        <v>16</v>
      </c>
      <c r="Z210" s="39">
        <f t="shared" si="6"/>
        <v>13</v>
      </c>
      <c r="AA210" s="20" t="str">
        <f t="shared" si="7"/>
        <v>between 1km and 2km</v>
      </c>
    </row>
    <row r="211" spans="2:27">
      <c r="B211" s="35" t="s">
        <v>317</v>
      </c>
      <c r="C211" s="35" t="s">
        <v>680</v>
      </c>
      <c r="D211" s="35" t="s">
        <v>318</v>
      </c>
      <c r="E211" s="35"/>
      <c r="F211" s="35" t="s">
        <v>683</v>
      </c>
      <c r="G211" s="35" t="s">
        <v>189</v>
      </c>
      <c r="H211" s="35">
        <v>68</v>
      </c>
      <c r="I211" s="35" t="s">
        <v>335</v>
      </c>
      <c r="J211" s="36">
        <v>2018</v>
      </c>
      <c r="K211" s="39">
        <v>94.0833333333333</v>
      </c>
      <c r="L211" s="37">
        <v>440000</v>
      </c>
      <c r="M211" s="35" t="s">
        <v>686</v>
      </c>
      <c r="N211" s="27">
        <v>752129</v>
      </c>
      <c r="O211" s="38">
        <v>1.4448701734316201</v>
      </c>
      <c r="P211" s="38">
        <v>103.83297416400499</v>
      </c>
      <c r="Q211" s="38" t="str" cm="1">
        <f t="array" ref="Q211">INDEX('MRT station dataset'!$C$3:$C$179, MATCH(MIN(SQRT(('MRT station dataset'!$E$3:$E$179-'Resale flat dataset (DV)'!O211)^2+('MRT station dataset'!$F$3:$F$179-'Resale flat dataset (DV)'!P211)^2)), SQRT(('MRT station dataset'!$E$3:$E$179-'Resale flat dataset (DV)'!O211)^2+('MRT station dataset'!$F$3:$F$179-'Resale flat dataset (DV)'!P211)^2), 0))</f>
        <v>CANBERRA MRT STATION</v>
      </c>
      <c r="R211" s="38" t="str" cm="1">
        <f t="array" ref="R211">INDEX('Mall Dataset'!$B$3:$B$157, MATCH(MIN(SQRT(('Mall Dataset'!$E$3:$E$157-'Resale flat dataset (DV)'!O211)^2+('Mall Dataset'!$F$3:$F$157-'Resale flat dataset (DV)'!P211)^2)), SQRT(('Mall Dataset'!$E$3:$E$157-'Resale flat dataset (DV)'!O211)^2+('Mall Dataset'!$F$3:$F$157-'Resale flat dataset (DV)'!P211)^2), 0))</f>
        <v>Canberra Plaza</v>
      </c>
      <c r="S211" s="38" t="str" cm="1">
        <f t="array" ref="S211">INDEX('Schools dataset'!$B$3:$B$187, MATCH(MIN(SQRT(('Schools dataset'!$J$3:$J$187-'Resale flat dataset (DV)'!O211)^2+('Schools dataset'!$K$3:$K$187-'Resale flat dataset (DV)'!P211)^2)), SQRT(('Schools dataset'!$J$3:$J$187-'Resale flat dataset (DV)'!O211)^2+('Schools dataset'!$K$3:$K$187-'Resale flat dataset (DV)'!P211)^2), 0))</f>
        <v>CHONGFU SCHOOL</v>
      </c>
      <c r="T211" s="39">
        <f>ACOS(COS(RADIANS(90-O211))*COS(RADIANS(90-_xlfn.XLOOKUP(Q211,'MRT station dataset'!$C$3:$C$179,'MRT station dataset'!$E$3:$E$179)))+SIN(RADIANS(90-O211))*SIN(RADIANS(90-_xlfn.XLOOKUP(Q211,'MRT station dataset'!$C$3:$C$179,'MRT station dataset'!$E$3:$E$179)))*COS(RADIANS(P211-_xlfn.XLOOKUP('Resale flat dataset (DV)'!Q211,'MRT station dataset'!$C$3:$C$179,'MRT station dataset'!$F$3:$F$179))))*6371*1000</f>
        <v>413.7714965839798</v>
      </c>
      <c r="U211" s="39">
        <f>ACOS(COS(RADIANS(90-O211))*COS(RADIANS(90-_xlfn.XLOOKUP(R211,'Mall Dataset'!$B$3:$B$157,'Mall Dataset'!$E$3:$E$157,,0)))+SIN(RADIANS(90-O211))*SIN(RADIANS(90-_xlfn.XLOOKUP(R211,'Mall Dataset'!$B$3:$B$157,'Mall Dataset'!$E$3:$E$157,,0)))*COS(RADIANS(P211-_xlfn.XLOOKUP(R211,'Mall Dataset'!$B$3:$B$157,'Mall Dataset'!$F$3:$F$157,,0))))*6371*1000</f>
        <v>329.7834308699492</v>
      </c>
      <c r="V211" s="39">
        <f>ACOS(COS(RADIANS(90-O211))*COS(RADIANS(90-_xlfn.XLOOKUP(S211,'Schools dataset'!$B$3:$B$187,'Schools dataset'!$J$3:$J$187,,0)))+SIN(RADIANS(90-O211))*SIN(RADIANS(90-_xlfn.XLOOKUP(S211,'Schools dataset'!$B$3:$B$187,'Schools dataset'!$J$3:$J$187,,0)))*COS(RADIANS(P211-_xlfn.XLOOKUP(S211,'Schools dataset'!$B$3:$B$187,'Schools dataset'!$K$3:$K$187,,0))))*6371*1000</f>
        <v>983.33782382959998</v>
      </c>
      <c r="W211" s="20">
        <f>_xlfn.XLOOKUP(T211,'HDB Recommender'!$P$10:$P$39,'HDB Recommender'!$Q$10:$Q$39,"&gt;30mins",1)</f>
        <v>6</v>
      </c>
      <c r="X211" s="20">
        <f>_xlfn.XLOOKUP(U211,'HDB Recommender'!$P$10:$P$39,'HDB Recommender'!$Q$10:$Q$39,"&gt;30mins",1)</f>
        <v>5</v>
      </c>
      <c r="Y211" s="20">
        <f>_xlfn.XLOOKUP(V211,'HDB Recommender'!$P$10:$P$39,'HDB Recommender'!$Q$10:$Q$39,"&gt;30mins",1)</f>
        <v>14</v>
      </c>
      <c r="Z211" s="39">
        <f t="shared" si="6"/>
        <v>8.3333333333333339</v>
      </c>
      <c r="AA211" s="20" t="str">
        <f t="shared" si="7"/>
        <v>Within 1km</v>
      </c>
    </row>
    <row r="212" spans="2:27">
      <c r="B212" s="35" t="s">
        <v>317</v>
      </c>
      <c r="C212" s="35" t="s">
        <v>680</v>
      </c>
      <c r="D212" s="35" t="s">
        <v>20</v>
      </c>
      <c r="E212" s="35"/>
      <c r="F212" s="35" t="s">
        <v>687</v>
      </c>
      <c r="G212" s="35" t="s">
        <v>323</v>
      </c>
      <c r="H212" s="35">
        <v>93</v>
      </c>
      <c r="I212" s="35" t="s">
        <v>335</v>
      </c>
      <c r="J212" s="36">
        <v>2018</v>
      </c>
      <c r="K212" s="39">
        <v>93.4166666666666</v>
      </c>
      <c r="L212" s="37">
        <v>618000</v>
      </c>
      <c r="M212" s="35" t="s">
        <v>688</v>
      </c>
      <c r="N212" s="27">
        <v>752119</v>
      </c>
      <c r="O212" s="38">
        <v>1.4463701393172901</v>
      </c>
      <c r="P212" s="38">
        <v>103.831574876885</v>
      </c>
      <c r="Q212" s="38" t="str" cm="1">
        <f t="array" ref="Q212">INDEX('MRT station dataset'!$C$3:$C$179, MATCH(MIN(SQRT(('MRT station dataset'!$E$3:$E$179-'Resale flat dataset (DV)'!O212)^2+('MRT station dataset'!$F$3:$F$179-'Resale flat dataset (DV)'!P212)^2)), SQRT(('MRT station dataset'!$E$3:$E$179-'Resale flat dataset (DV)'!O212)^2+('MRT station dataset'!$F$3:$F$179-'Resale flat dataset (DV)'!P212)^2), 0))</f>
        <v>CANBERRA MRT STATION</v>
      </c>
      <c r="R212" s="38" t="str" cm="1">
        <f t="array" ref="R212">INDEX('Mall Dataset'!$B$3:$B$157, MATCH(MIN(SQRT(('Mall Dataset'!$E$3:$E$157-'Resale flat dataset (DV)'!O212)^2+('Mall Dataset'!$F$3:$F$157-'Resale flat dataset (DV)'!P212)^2)), SQRT(('Mall Dataset'!$E$3:$E$157-'Resale flat dataset (DV)'!O212)^2+('Mall Dataset'!$F$3:$F$157-'Resale flat dataset (DV)'!P212)^2), 0))</f>
        <v>Canberra Plaza</v>
      </c>
      <c r="S212" s="38" t="str" cm="1">
        <f t="array" ref="S212">INDEX('Schools dataset'!$B$3:$B$187, MATCH(MIN(SQRT(('Schools dataset'!$J$3:$J$187-'Resale flat dataset (DV)'!O212)^2+('Schools dataset'!$K$3:$K$187-'Resale flat dataset (DV)'!P212)^2)), SQRT(('Schools dataset'!$J$3:$J$187-'Resale flat dataset (DV)'!O212)^2+('Schools dataset'!$K$3:$K$187-'Resale flat dataset (DV)'!P212)^2), 0))</f>
        <v>WELLINGTON PRIMARY SCHOOL</v>
      </c>
      <c r="T212" s="39">
        <f>ACOS(COS(RADIANS(90-O212))*COS(RADIANS(90-_xlfn.XLOOKUP(Q212,'MRT station dataset'!$C$3:$C$179,'MRT station dataset'!$E$3:$E$179)))+SIN(RADIANS(90-O212))*SIN(RADIANS(90-_xlfn.XLOOKUP(Q212,'MRT station dataset'!$C$3:$C$179,'MRT station dataset'!$E$3:$E$179)))*COS(RADIANS(P212-_xlfn.XLOOKUP('Resale flat dataset (DV)'!Q212,'MRT station dataset'!$C$3:$C$179,'MRT station dataset'!$F$3:$F$179))))*6371*1000</f>
        <v>419.11403091962131</v>
      </c>
      <c r="U212" s="39">
        <f>ACOS(COS(RADIANS(90-O212))*COS(RADIANS(90-_xlfn.XLOOKUP(R212,'Mall Dataset'!$B$3:$B$157,'Mall Dataset'!$E$3:$E$157,,0)))+SIN(RADIANS(90-O212))*SIN(RADIANS(90-_xlfn.XLOOKUP(R212,'Mall Dataset'!$B$3:$B$157,'Mall Dataset'!$E$3:$E$157,,0)))*COS(RADIANS(P212-_xlfn.XLOOKUP(R212,'Mall Dataset'!$B$3:$B$157,'Mall Dataset'!$F$3:$F$157,,0))))*6371*1000</f>
        <v>347.64366345747908</v>
      </c>
      <c r="V212" s="39">
        <f>ACOS(COS(RADIANS(90-O212))*COS(RADIANS(90-_xlfn.XLOOKUP(S212,'Schools dataset'!$B$3:$B$187,'Schools dataset'!$J$3:$J$187,,0)))+SIN(RADIANS(90-O212))*SIN(RADIANS(90-_xlfn.XLOOKUP(S212,'Schools dataset'!$B$3:$B$187,'Schools dataset'!$J$3:$J$187,,0)))*COS(RADIANS(P212-_xlfn.XLOOKUP(S212,'Schools dataset'!$B$3:$B$187,'Schools dataset'!$K$3:$K$187,,0))))*6371*1000</f>
        <v>1167.5817978667621</v>
      </c>
      <c r="W212" s="20">
        <f>_xlfn.XLOOKUP(T212,'HDB Recommender'!$P$10:$P$39,'HDB Recommender'!$Q$10:$Q$39,"&gt;30mins",1)</f>
        <v>6</v>
      </c>
      <c r="X212" s="20">
        <f>_xlfn.XLOOKUP(U212,'HDB Recommender'!$P$10:$P$39,'HDB Recommender'!$Q$10:$Q$39,"&gt;30mins",1)</f>
        <v>5</v>
      </c>
      <c r="Y212" s="20">
        <f>_xlfn.XLOOKUP(V212,'HDB Recommender'!$P$10:$P$39,'HDB Recommender'!$Q$10:$Q$39,"&gt;30mins",1)</f>
        <v>16</v>
      </c>
      <c r="Z212" s="39">
        <f t="shared" si="6"/>
        <v>9</v>
      </c>
      <c r="AA212" s="20" t="str">
        <f t="shared" si="7"/>
        <v>between 1km and 2km</v>
      </c>
    </row>
    <row r="213" spans="2:27">
      <c r="B213" s="35" t="s">
        <v>317</v>
      </c>
      <c r="C213" s="35" t="s">
        <v>680</v>
      </c>
      <c r="D213" s="35" t="s">
        <v>20</v>
      </c>
      <c r="E213" s="35"/>
      <c r="F213" s="35" t="s">
        <v>683</v>
      </c>
      <c r="G213" s="35" t="s">
        <v>191</v>
      </c>
      <c r="H213" s="35">
        <v>93</v>
      </c>
      <c r="I213" s="35" t="s">
        <v>335</v>
      </c>
      <c r="J213" s="36">
        <v>2018</v>
      </c>
      <c r="K213" s="39">
        <v>94.0833333333333</v>
      </c>
      <c r="L213" s="37">
        <v>590000</v>
      </c>
      <c r="M213" s="35" t="s">
        <v>689</v>
      </c>
      <c r="N213" s="27">
        <v>753128</v>
      </c>
      <c r="O213" s="38">
        <v>1.44466202296921</v>
      </c>
      <c r="P213" s="38">
        <v>103.833900949952</v>
      </c>
      <c r="Q213" s="38" t="str" cm="1">
        <f t="array" ref="Q213">INDEX('MRT station dataset'!$C$3:$C$179, MATCH(MIN(SQRT(('MRT station dataset'!$E$3:$E$179-'Resale flat dataset (DV)'!O213)^2+('MRT station dataset'!$F$3:$F$179-'Resale flat dataset (DV)'!P213)^2)), SQRT(('MRT station dataset'!$E$3:$E$179-'Resale flat dataset (DV)'!O213)^2+('MRT station dataset'!$F$3:$F$179-'Resale flat dataset (DV)'!P213)^2), 0))</f>
        <v>CANBERRA MRT STATION</v>
      </c>
      <c r="R213" s="38" t="str" cm="1">
        <f t="array" ref="R213">INDEX('Mall Dataset'!$B$3:$B$157, MATCH(MIN(SQRT(('Mall Dataset'!$E$3:$E$157-'Resale flat dataset (DV)'!O213)^2+('Mall Dataset'!$F$3:$F$157-'Resale flat dataset (DV)'!P213)^2)), SQRT(('Mall Dataset'!$E$3:$E$157-'Resale flat dataset (DV)'!O213)^2+('Mall Dataset'!$F$3:$F$157-'Resale flat dataset (DV)'!P213)^2), 0))</f>
        <v>Canberra Plaza</v>
      </c>
      <c r="S213" s="38" t="str" cm="1">
        <f t="array" ref="S213">INDEX('Schools dataset'!$B$3:$B$187, MATCH(MIN(SQRT(('Schools dataset'!$J$3:$J$187-'Resale flat dataset (DV)'!O213)^2+('Schools dataset'!$K$3:$K$187-'Resale flat dataset (DV)'!P213)^2)), SQRT(('Schools dataset'!$J$3:$J$187-'Resale flat dataset (DV)'!O213)^2+('Schools dataset'!$K$3:$K$187-'Resale flat dataset (DV)'!P213)^2), 0))</f>
        <v>CHONGFU SCHOOL</v>
      </c>
      <c r="T213" s="39">
        <f>ACOS(COS(RADIANS(90-O213))*COS(RADIANS(90-_xlfn.XLOOKUP(Q213,'MRT station dataset'!$C$3:$C$179,'MRT station dataset'!$E$3:$E$179)))+SIN(RADIANS(90-O213))*SIN(RADIANS(90-_xlfn.XLOOKUP(Q213,'MRT station dataset'!$C$3:$C$179,'MRT station dataset'!$E$3:$E$179)))*COS(RADIANS(P213-_xlfn.XLOOKUP('Resale flat dataset (DV)'!Q213,'MRT station dataset'!$C$3:$C$179,'MRT station dataset'!$F$3:$F$179))))*6371*1000</f>
        <v>498.2313428401859</v>
      </c>
      <c r="U213" s="39">
        <f>ACOS(COS(RADIANS(90-O213))*COS(RADIANS(90-_xlfn.XLOOKUP(R213,'Mall Dataset'!$B$3:$B$157,'Mall Dataset'!$E$3:$E$157,,0)))+SIN(RADIANS(90-O213))*SIN(RADIANS(90-_xlfn.XLOOKUP(R213,'Mall Dataset'!$B$3:$B$157,'Mall Dataset'!$E$3:$E$157,,0)))*COS(RADIANS(P213-_xlfn.XLOOKUP(R213,'Mall Dataset'!$B$3:$B$157,'Mall Dataset'!$F$3:$F$157,,0))))*6371*1000</f>
        <v>415.97945883656439</v>
      </c>
      <c r="V213" s="39">
        <f>ACOS(COS(RADIANS(90-O213))*COS(RADIANS(90-_xlfn.XLOOKUP(S213,'Schools dataset'!$B$3:$B$187,'Schools dataset'!$J$3:$J$187,,0)))+SIN(RADIANS(90-O213))*SIN(RADIANS(90-_xlfn.XLOOKUP(S213,'Schools dataset'!$B$3:$B$187,'Schools dataset'!$J$3:$J$187,,0)))*COS(RADIANS(P213-_xlfn.XLOOKUP(S213,'Schools dataset'!$B$3:$B$187,'Schools dataset'!$K$3:$K$187,,0))))*6371*1000</f>
        <v>897.48881944482787</v>
      </c>
      <c r="W213" s="20">
        <f>_xlfn.XLOOKUP(T213,'HDB Recommender'!$P$10:$P$39,'HDB Recommender'!$Q$10:$Q$39,"&gt;30mins",1)</f>
        <v>7</v>
      </c>
      <c r="X213" s="20">
        <f>_xlfn.XLOOKUP(U213,'HDB Recommender'!$P$10:$P$39,'HDB Recommender'!$Q$10:$Q$39,"&gt;30mins",1)</f>
        <v>6</v>
      </c>
      <c r="Y213" s="20">
        <f>_xlfn.XLOOKUP(V213,'HDB Recommender'!$P$10:$P$39,'HDB Recommender'!$Q$10:$Q$39,"&gt;30mins",1)</f>
        <v>12</v>
      </c>
      <c r="Z213" s="39">
        <f t="shared" si="6"/>
        <v>8.3333333333333339</v>
      </c>
      <c r="AA213" s="20" t="str">
        <f t="shared" si="7"/>
        <v>Within 1km</v>
      </c>
    </row>
    <row r="214" spans="2:27">
      <c r="B214" s="35" t="s">
        <v>317</v>
      </c>
      <c r="C214" s="35" t="s">
        <v>680</v>
      </c>
      <c r="D214" s="35" t="s">
        <v>20</v>
      </c>
      <c r="E214" s="35"/>
      <c r="F214" s="35" t="s">
        <v>683</v>
      </c>
      <c r="G214" s="35" t="s">
        <v>349</v>
      </c>
      <c r="H214" s="35">
        <v>93</v>
      </c>
      <c r="I214" s="35" t="s">
        <v>335</v>
      </c>
      <c r="J214" s="36">
        <v>2018</v>
      </c>
      <c r="K214" s="39">
        <v>93.8333333333333</v>
      </c>
      <c r="L214" s="37">
        <v>525000</v>
      </c>
      <c r="M214" s="35" t="s">
        <v>690</v>
      </c>
      <c r="N214" s="27">
        <v>753107</v>
      </c>
      <c r="O214" s="38">
        <v>1.44855782306648</v>
      </c>
      <c r="P214" s="38">
        <v>103.83386478600001</v>
      </c>
      <c r="Q214" s="38" t="str" cm="1">
        <f t="array" ref="Q214">INDEX('MRT station dataset'!$C$3:$C$179, MATCH(MIN(SQRT(('MRT station dataset'!$E$3:$E$179-'Resale flat dataset (DV)'!O214)^2+('MRT station dataset'!$F$3:$F$179-'Resale flat dataset (DV)'!P214)^2)), SQRT(('MRT station dataset'!$E$3:$E$179-'Resale flat dataset (DV)'!O214)^2+('MRT station dataset'!$F$3:$F$179-'Resale flat dataset (DV)'!P214)^2), 0))</f>
        <v>CANBERRA MRT STATION</v>
      </c>
      <c r="R214" s="38" t="str" cm="1">
        <f t="array" ref="R214">INDEX('Mall Dataset'!$B$3:$B$157, MATCH(MIN(SQRT(('Mall Dataset'!$E$3:$E$157-'Resale flat dataset (DV)'!O214)^2+('Mall Dataset'!$F$3:$F$157-'Resale flat dataset (DV)'!P214)^2)), SQRT(('Mall Dataset'!$E$3:$E$157-'Resale flat dataset (DV)'!O214)^2+('Mall Dataset'!$F$3:$F$157-'Resale flat dataset (DV)'!P214)^2), 0))</f>
        <v>Canberra Plaza</v>
      </c>
      <c r="S214" s="38" t="str" cm="1">
        <f t="array" ref="S214">INDEX('Schools dataset'!$B$3:$B$187, MATCH(MIN(SQRT(('Schools dataset'!$J$3:$J$187-'Resale flat dataset (DV)'!O214)^2+('Schools dataset'!$K$3:$K$187-'Resale flat dataset (DV)'!P214)^2)), SQRT(('Schools dataset'!$J$3:$J$187-'Resale flat dataset (DV)'!O214)^2+('Schools dataset'!$K$3:$K$187-'Resale flat dataset (DV)'!P214)^2), 0))</f>
        <v>CHONGFU SCHOOL</v>
      </c>
      <c r="T214" s="39">
        <f>ACOS(COS(RADIANS(90-O214))*COS(RADIANS(90-_xlfn.XLOOKUP(Q214,'MRT station dataset'!$C$3:$C$179,'MRT station dataset'!$E$3:$E$179)))+SIN(RADIANS(90-O214))*SIN(RADIANS(90-_xlfn.XLOOKUP(Q214,'MRT station dataset'!$C$3:$C$179,'MRT station dataset'!$E$3:$E$179)))*COS(RADIANS(P214-_xlfn.XLOOKUP('Resale flat dataset (DV)'!Q214,'MRT station dataset'!$C$3:$C$179,'MRT station dataset'!$F$3:$F$179))))*6371*1000</f>
        <v>763.30463946338</v>
      </c>
      <c r="U214" s="39">
        <f>ACOS(COS(RADIANS(90-O214))*COS(RADIANS(90-_xlfn.XLOOKUP(R214,'Mall Dataset'!$B$3:$B$157,'Mall Dataset'!$E$3:$E$157,,0)))+SIN(RADIANS(90-O214))*SIN(RADIANS(90-_xlfn.XLOOKUP(R214,'Mall Dataset'!$B$3:$B$157,'Mall Dataset'!$E$3:$E$157,,0)))*COS(RADIANS(P214-_xlfn.XLOOKUP(R214,'Mall Dataset'!$B$3:$B$157,'Mall Dataset'!$F$3:$F$157,,0))))*6371*1000</f>
        <v>685.50635681517599</v>
      </c>
      <c r="V214" s="39">
        <f>ACOS(COS(RADIANS(90-O214))*COS(RADIANS(90-_xlfn.XLOOKUP(S214,'Schools dataset'!$B$3:$B$187,'Schools dataset'!$J$3:$J$187,,0)))+SIN(RADIANS(90-O214))*SIN(RADIANS(90-_xlfn.XLOOKUP(S214,'Schools dataset'!$B$3:$B$187,'Schools dataset'!$J$3:$J$187,,0)))*COS(RADIANS(P214-_xlfn.XLOOKUP(S214,'Schools dataset'!$B$3:$B$187,'Schools dataset'!$K$3:$K$187,,0))))*6371*1000</f>
        <v>1262.9511141267469</v>
      </c>
      <c r="W214" s="20">
        <f>_xlfn.XLOOKUP(T214,'HDB Recommender'!$P$10:$P$39,'HDB Recommender'!$Q$10:$Q$39,"&gt;30mins",1)</f>
        <v>11</v>
      </c>
      <c r="X214" s="20">
        <f>_xlfn.XLOOKUP(U214,'HDB Recommender'!$P$10:$P$39,'HDB Recommender'!$Q$10:$Q$39,"&gt;30mins",1)</f>
        <v>10</v>
      </c>
      <c r="Y214" s="20">
        <f>_xlfn.XLOOKUP(V214,'HDB Recommender'!$P$10:$P$39,'HDB Recommender'!$Q$10:$Q$39,"&gt;30mins",1)</f>
        <v>17</v>
      </c>
      <c r="Z214" s="39">
        <f t="shared" si="6"/>
        <v>12.666666666666666</v>
      </c>
      <c r="AA214" s="20" t="str">
        <f t="shared" si="7"/>
        <v>between 1km and 2km</v>
      </c>
    </row>
    <row r="215" spans="2:27">
      <c r="B215" s="35" t="s">
        <v>317</v>
      </c>
      <c r="C215" s="35" t="s">
        <v>680</v>
      </c>
      <c r="D215" s="35" t="s">
        <v>20</v>
      </c>
      <c r="E215" s="35"/>
      <c r="F215" s="35" t="s">
        <v>691</v>
      </c>
      <c r="G215" s="35" t="s">
        <v>184</v>
      </c>
      <c r="H215" s="35">
        <v>93</v>
      </c>
      <c r="I215" s="35" t="s">
        <v>335</v>
      </c>
      <c r="J215" s="36">
        <v>2018</v>
      </c>
      <c r="K215" s="39">
        <v>93.6666666666666</v>
      </c>
      <c r="L215" s="37">
        <v>623888</v>
      </c>
      <c r="M215" s="35" t="s">
        <v>692</v>
      </c>
      <c r="N215" s="27">
        <v>753108</v>
      </c>
      <c r="O215" s="38">
        <v>1.4473533014919899</v>
      </c>
      <c r="P215" s="38">
        <v>103.831796158318</v>
      </c>
      <c r="Q215" s="38" t="str" cm="1">
        <f t="array" ref="Q215">INDEX('MRT station dataset'!$C$3:$C$179, MATCH(MIN(SQRT(('MRT station dataset'!$E$3:$E$179-'Resale flat dataset (DV)'!O215)^2+('MRT station dataset'!$F$3:$F$179-'Resale flat dataset (DV)'!P215)^2)), SQRT(('MRT station dataset'!$E$3:$E$179-'Resale flat dataset (DV)'!O215)^2+('MRT station dataset'!$F$3:$F$179-'Resale flat dataset (DV)'!P215)^2), 0))</f>
        <v>CANBERRA MRT STATION</v>
      </c>
      <c r="R215" s="38" t="str" cm="1">
        <f t="array" ref="R215">INDEX('Mall Dataset'!$B$3:$B$157, MATCH(MIN(SQRT(('Mall Dataset'!$E$3:$E$157-'Resale flat dataset (DV)'!O215)^2+('Mall Dataset'!$F$3:$F$157-'Resale flat dataset (DV)'!P215)^2)), SQRT(('Mall Dataset'!$E$3:$E$157-'Resale flat dataset (DV)'!O215)^2+('Mall Dataset'!$F$3:$F$157-'Resale flat dataset (DV)'!P215)^2), 0))</f>
        <v>Canberra Plaza</v>
      </c>
      <c r="S215" s="38" t="str" cm="1">
        <f t="array" ref="S215">INDEX('Schools dataset'!$B$3:$B$187, MATCH(MIN(SQRT(('Schools dataset'!$J$3:$J$187-'Resale flat dataset (DV)'!O215)^2+('Schools dataset'!$K$3:$K$187-'Resale flat dataset (DV)'!P215)^2)), SQRT(('Schools dataset'!$J$3:$J$187-'Resale flat dataset (DV)'!O215)^2+('Schools dataset'!$K$3:$K$187-'Resale flat dataset (DV)'!P215)^2), 0))</f>
        <v>WELLINGTON PRIMARY SCHOOL</v>
      </c>
      <c r="T215" s="39">
        <f>ACOS(COS(RADIANS(90-O215))*COS(RADIANS(90-_xlfn.XLOOKUP(Q215,'MRT station dataset'!$C$3:$C$179,'MRT station dataset'!$E$3:$E$179)))+SIN(RADIANS(90-O215))*SIN(RADIANS(90-_xlfn.XLOOKUP(Q215,'MRT station dataset'!$C$3:$C$179,'MRT station dataset'!$E$3:$E$179)))*COS(RADIANS(P215-_xlfn.XLOOKUP('Resale flat dataset (DV)'!Q215,'MRT station dataset'!$C$3:$C$179,'MRT station dataset'!$F$3:$F$179))))*6371*1000</f>
        <v>527.22882502818584</v>
      </c>
      <c r="U215" s="39">
        <f>ACOS(COS(RADIANS(90-O215))*COS(RADIANS(90-_xlfn.XLOOKUP(R215,'Mall Dataset'!$B$3:$B$157,'Mall Dataset'!$E$3:$E$157,,0)))+SIN(RADIANS(90-O215))*SIN(RADIANS(90-_xlfn.XLOOKUP(R215,'Mall Dataset'!$B$3:$B$157,'Mall Dataset'!$E$3:$E$157,,0)))*COS(RADIANS(P215-_xlfn.XLOOKUP(R215,'Mall Dataset'!$B$3:$B$157,'Mall Dataset'!$F$3:$F$157,,0))))*6371*1000</f>
        <v>458.28641199895804</v>
      </c>
      <c r="V215" s="39">
        <f>ACOS(COS(RADIANS(90-O215))*COS(RADIANS(90-_xlfn.XLOOKUP(S215,'Schools dataset'!$B$3:$B$187,'Schools dataset'!$J$3:$J$187,,0)))+SIN(RADIANS(90-O215))*SIN(RADIANS(90-_xlfn.XLOOKUP(S215,'Schools dataset'!$B$3:$B$187,'Schools dataset'!$J$3:$J$187,,0)))*COS(RADIANS(P215-_xlfn.XLOOKUP(S215,'Schools dataset'!$B$3:$B$187,'Schools dataset'!$K$3:$K$187,,0))))*6371*1000</f>
        <v>1138.4726524839882</v>
      </c>
      <c r="W215" s="20">
        <f>_xlfn.XLOOKUP(T215,'HDB Recommender'!$P$10:$P$39,'HDB Recommender'!$Q$10:$Q$39,"&gt;30mins",1)</f>
        <v>8</v>
      </c>
      <c r="X215" s="20">
        <f>_xlfn.XLOOKUP(U215,'HDB Recommender'!$P$10:$P$39,'HDB Recommender'!$Q$10:$Q$39,"&gt;30mins",1)</f>
        <v>7</v>
      </c>
      <c r="Y215" s="20">
        <f>_xlfn.XLOOKUP(V215,'HDB Recommender'!$P$10:$P$39,'HDB Recommender'!$Q$10:$Q$39,"&gt;30mins",1)</f>
        <v>16</v>
      </c>
      <c r="Z215" s="39">
        <f t="shared" si="6"/>
        <v>10.333333333333334</v>
      </c>
      <c r="AA215" s="20" t="str">
        <f t="shared" si="7"/>
        <v>between 1km and 2km</v>
      </c>
    </row>
    <row r="216" spans="2:27">
      <c r="B216" s="35" t="s">
        <v>317</v>
      </c>
      <c r="C216" s="35" t="s">
        <v>680</v>
      </c>
      <c r="D216" s="35" t="s">
        <v>20</v>
      </c>
      <c r="E216" s="35"/>
      <c r="F216" s="35" t="s">
        <v>691</v>
      </c>
      <c r="G216" s="35" t="s">
        <v>189</v>
      </c>
      <c r="H216" s="35">
        <v>93</v>
      </c>
      <c r="I216" s="35" t="s">
        <v>335</v>
      </c>
      <c r="J216" s="36">
        <v>2018</v>
      </c>
      <c r="K216" s="39">
        <v>93.6666666666666</v>
      </c>
      <c r="L216" s="37">
        <v>570000</v>
      </c>
      <c r="M216" s="35" t="s">
        <v>693</v>
      </c>
      <c r="N216" s="27">
        <v>752108</v>
      </c>
      <c r="O216" s="38">
        <v>1.4481895167335199</v>
      </c>
      <c r="P216" s="38">
        <v>103.831856910403</v>
      </c>
      <c r="Q216" s="38" t="str" cm="1">
        <f t="array" ref="Q216">INDEX('MRT station dataset'!$C$3:$C$179, MATCH(MIN(SQRT(('MRT station dataset'!$E$3:$E$179-'Resale flat dataset (DV)'!O216)^2+('MRT station dataset'!$F$3:$F$179-'Resale flat dataset (DV)'!P216)^2)), SQRT(('MRT station dataset'!$E$3:$E$179-'Resale flat dataset (DV)'!O216)^2+('MRT station dataset'!$F$3:$F$179-'Resale flat dataset (DV)'!P216)^2), 0))</f>
        <v>CANBERRA MRT STATION</v>
      </c>
      <c r="R216" s="38" t="str" cm="1">
        <f t="array" ref="R216">INDEX('Mall Dataset'!$B$3:$B$157, MATCH(MIN(SQRT(('Mall Dataset'!$E$3:$E$157-'Resale flat dataset (DV)'!O216)^2+('Mall Dataset'!$F$3:$F$157-'Resale flat dataset (DV)'!P216)^2)), SQRT(('Mall Dataset'!$E$3:$E$157-'Resale flat dataset (DV)'!O216)^2+('Mall Dataset'!$F$3:$F$157-'Resale flat dataset (DV)'!P216)^2), 0))</f>
        <v>Canberra Plaza</v>
      </c>
      <c r="S216" s="38" t="str" cm="1">
        <f t="array" ref="S216">INDEX('Schools dataset'!$B$3:$B$187, MATCH(MIN(SQRT(('Schools dataset'!$J$3:$J$187-'Resale flat dataset (DV)'!O216)^2+('Schools dataset'!$K$3:$K$187-'Resale flat dataset (DV)'!P216)^2)), SQRT(('Schools dataset'!$J$3:$J$187-'Resale flat dataset (DV)'!O216)^2+('Schools dataset'!$K$3:$K$187-'Resale flat dataset (DV)'!P216)^2), 0))</f>
        <v>WELLINGTON PRIMARY SCHOOL</v>
      </c>
      <c r="T216" s="39">
        <f>ACOS(COS(RADIANS(90-O216))*COS(RADIANS(90-_xlfn.XLOOKUP(Q216,'MRT station dataset'!$C$3:$C$179,'MRT station dataset'!$E$3:$E$179)))+SIN(RADIANS(90-O216))*SIN(RADIANS(90-_xlfn.XLOOKUP(Q216,'MRT station dataset'!$C$3:$C$179,'MRT station dataset'!$E$3:$E$179)))*COS(RADIANS(P216-_xlfn.XLOOKUP('Resale flat dataset (DV)'!Q216,'MRT station dataset'!$C$3:$C$179,'MRT station dataset'!$F$3:$F$179))))*6371*1000</f>
        <v>614.62216856017562</v>
      </c>
      <c r="U216" s="39">
        <f>ACOS(COS(RADIANS(90-O216))*COS(RADIANS(90-_xlfn.XLOOKUP(R216,'Mall Dataset'!$B$3:$B$157,'Mall Dataset'!$E$3:$E$157,,0)))+SIN(RADIANS(90-O216))*SIN(RADIANS(90-_xlfn.XLOOKUP(R216,'Mall Dataset'!$B$3:$B$157,'Mall Dataset'!$E$3:$E$157,,0)))*COS(RADIANS(P216-_xlfn.XLOOKUP(R216,'Mall Dataset'!$B$3:$B$157,'Mall Dataset'!$F$3:$F$157,,0))))*6371*1000</f>
        <v>548.33429090531752</v>
      </c>
      <c r="V216" s="39">
        <f>ACOS(COS(RADIANS(90-O216))*COS(RADIANS(90-_xlfn.XLOOKUP(S216,'Schools dataset'!$B$3:$B$187,'Schools dataset'!$J$3:$J$187,,0)))+SIN(RADIANS(90-O216))*SIN(RADIANS(90-_xlfn.XLOOKUP(S216,'Schools dataset'!$B$3:$B$187,'Schools dataset'!$J$3:$J$187,,0)))*COS(RADIANS(P216-_xlfn.XLOOKUP(S216,'Schools dataset'!$B$3:$B$187,'Schools dataset'!$K$3:$K$187,,0))))*6371*1000</f>
        <v>1108.6780592590071</v>
      </c>
      <c r="W216" s="20">
        <f>_xlfn.XLOOKUP(T216,'HDB Recommender'!$P$10:$P$39,'HDB Recommender'!$Q$10:$Q$39,"&gt;30mins",1)</f>
        <v>9</v>
      </c>
      <c r="X216" s="20">
        <f>_xlfn.XLOOKUP(U216,'HDB Recommender'!$P$10:$P$39,'HDB Recommender'!$Q$10:$Q$39,"&gt;30mins",1)</f>
        <v>8</v>
      </c>
      <c r="Y216" s="20">
        <f>_xlfn.XLOOKUP(V216,'HDB Recommender'!$P$10:$P$39,'HDB Recommender'!$Q$10:$Q$39,"&gt;30mins",1)</f>
        <v>15</v>
      </c>
      <c r="Z216" s="39">
        <f t="shared" si="6"/>
        <v>10.666666666666666</v>
      </c>
      <c r="AA216" s="20" t="str">
        <f t="shared" si="7"/>
        <v>between 1km and 2km</v>
      </c>
    </row>
    <row r="217" spans="2:27">
      <c r="B217" s="35" t="s">
        <v>317</v>
      </c>
      <c r="C217" s="35" t="s">
        <v>680</v>
      </c>
      <c r="D217" s="35" t="s">
        <v>20</v>
      </c>
      <c r="E217" s="35"/>
      <c r="F217" s="35" t="s">
        <v>691</v>
      </c>
      <c r="G217" s="35" t="s">
        <v>349</v>
      </c>
      <c r="H217" s="35">
        <v>93</v>
      </c>
      <c r="I217" s="35" t="s">
        <v>335</v>
      </c>
      <c r="J217" s="36">
        <v>2018</v>
      </c>
      <c r="K217" s="39">
        <v>93.8333333333333</v>
      </c>
      <c r="L217" s="37">
        <v>545000</v>
      </c>
      <c r="M217" s="35" t="s">
        <v>694</v>
      </c>
      <c r="N217" s="27">
        <v>754115</v>
      </c>
      <c r="O217" s="38">
        <v>1.4455435718776799</v>
      </c>
      <c r="P217" s="38">
        <v>103.828991632152</v>
      </c>
      <c r="Q217" s="38" t="str" cm="1">
        <f t="array" ref="Q217">INDEX('MRT station dataset'!$C$3:$C$179, MATCH(MIN(SQRT(('MRT station dataset'!$E$3:$E$179-'Resale flat dataset (DV)'!O217)^2+('MRT station dataset'!$F$3:$F$179-'Resale flat dataset (DV)'!P217)^2)), SQRT(('MRT station dataset'!$E$3:$E$179-'Resale flat dataset (DV)'!O217)^2+('MRT station dataset'!$F$3:$F$179-'Resale flat dataset (DV)'!P217)^2), 0))</f>
        <v>CANBERRA MRT STATION</v>
      </c>
      <c r="R217" s="38" t="str" cm="1">
        <f t="array" ref="R217">INDEX('Mall Dataset'!$B$3:$B$157, MATCH(MIN(SQRT(('Mall Dataset'!$E$3:$E$157-'Resale flat dataset (DV)'!O217)^2+('Mall Dataset'!$F$3:$F$157-'Resale flat dataset (DV)'!P217)^2)), SQRT(('Mall Dataset'!$E$3:$E$157-'Resale flat dataset (DV)'!O217)^2+('Mall Dataset'!$F$3:$F$157-'Resale flat dataset (DV)'!P217)^2), 0))</f>
        <v>Canberra Plaza</v>
      </c>
      <c r="S217" s="38" t="str" cm="1">
        <f t="array" ref="S217">INDEX('Schools dataset'!$B$3:$B$187, MATCH(MIN(SQRT(('Schools dataset'!$J$3:$J$187-'Resale flat dataset (DV)'!O217)^2+('Schools dataset'!$K$3:$K$187-'Resale flat dataset (DV)'!P217)^2)), SQRT(('Schools dataset'!$J$3:$J$187-'Resale flat dataset (DV)'!O217)^2+('Schools dataset'!$K$3:$K$187-'Resale flat dataset (DV)'!P217)^2), 0))</f>
        <v>SEMBAWANG PRIMARY SCHOOL</v>
      </c>
      <c r="T217" s="39">
        <f>ACOS(COS(RADIANS(90-O217))*COS(RADIANS(90-_xlfn.XLOOKUP(Q217,'MRT station dataset'!$C$3:$C$179,'MRT station dataset'!$E$3:$E$179)))+SIN(RADIANS(90-O217))*SIN(RADIANS(90-_xlfn.XLOOKUP(Q217,'MRT station dataset'!$C$3:$C$179,'MRT station dataset'!$E$3:$E$179)))*COS(RADIANS(P217-_xlfn.XLOOKUP('Resale flat dataset (DV)'!Q217,'MRT station dataset'!$C$3:$C$179,'MRT station dataset'!$F$3:$F$179))))*6371*1000</f>
        <v>282.89243756304239</v>
      </c>
      <c r="U217" s="39">
        <f>ACOS(COS(RADIANS(90-O217))*COS(RADIANS(90-_xlfn.XLOOKUP(R217,'Mall Dataset'!$B$3:$B$157,'Mall Dataset'!$E$3:$E$157,,0)))+SIN(RADIANS(90-O217))*SIN(RADIANS(90-_xlfn.XLOOKUP(R217,'Mall Dataset'!$B$3:$B$157,'Mall Dataset'!$E$3:$E$157,,0)))*COS(RADIANS(P217-_xlfn.XLOOKUP(R217,'Mall Dataset'!$B$3:$B$157,'Mall Dataset'!$F$3:$F$157,,0))))*6371*1000</f>
        <v>272.96625563447031</v>
      </c>
      <c r="V217" s="39">
        <f>ACOS(COS(RADIANS(90-O217))*COS(RADIANS(90-_xlfn.XLOOKUP(S217,'Schools dataset'!$B$3:$B$187,'Schools dataset'!$J$3:$J$187,,0)))+SIN(RADIANS(90-O217))*SIN(RADIANS(90-_xlfn.XLOOKUP(S217,'Schools dataset'!$B$3:$B$187,'Schools dataset'!$J$3:$J$187,,0)))*COS(RADIANS(P217-_xlfn.XLOOKUP(S217,'Schools dataset'!$B$3:$B$187,'Schools dataset'!$K$3:$K$187,,0))))*6371*1000</f>
        <v>887.69702621392116</v>
      </c>
      <c r="W217" s="20">
        <f>_xlfn.XLOOKUP(T217,'HDB Recommender'!$P$10:$P$39,'HDB Recommender'!$Q$10:$Q$39,"&gt;30mins",1)</f>
        <v>4</v>
      </c>
      <c r="X217" s="20">
        <f>_xlfn.XLOOKUP(U217,'HDB Recommender'!$P$10:$P$39,'HDB Recommender'!$Q$10:$Q$39,"&gt;30mins",1)</f>
        <v>4</v>
      </c>
      <c r="Y217" s="20">
        <f>_xlfn.XLOOKUP(V217,'HDB Recommender'!$P$10:$P$39,'HDB Recommender'!$Q$10:$Q$39,"&gt;30mins",1)</f>
        <v>12</v>
      </c>
      <c r="Z217" s="39">
        <f t="shared" si="6"/>
        <v>6.666666666666667</v>
      </c>
      <c r="AA217" s="20" t="str">
        <f t="shared" si="7"/>
        <v>Within 1km</v>
      </c>
    </row>
    <row r="218" spans="2:27">
      <c r="B218" s="35" t="s">
        <v>317</v>
      </c>
      <c r="C218" s="35" t="s">
        <v>680</v>
      </c>
      <c r="D218" s="35" t="s">
        <v>20</v>
      </c>
      <c r="E218" s="35"/>
      <c r="F218" s="35" t="s">
        <v>681</v>
      </c>
      <c r="G218" s="35" t="s">
        <v>184</v>
      </c>
      <c r="H218" s="35">
        <v>93</v>
      </c>
      <c r="I218" s="35" t="s">
        <v>335</v>
      </c>
      <c r="J218" s="36">
        <v>2019</v>
      </c>
      <c r="K218" s="39">
        <v>94.6666666666666</v>
      </c>
      <c r="L218" s="37">
        <v>585000</v>
      </c>
      <c r="M218" s="35" t="s">
        <v>695</v>
      </c>
      <c r="N218" s="27">
        <v>753362</v>
      </c>
      <c r="O218" s="38">
        <v>1.44668372388674</v>
      </c>
      <c r="P218" s="38">
        <v>103.813225771052</v>
      </c>
      <c r="Q218" s="38" t="str" cm="1">
        <f t="array" ref="Q218">INDEX('MRT station dataset'!$C$3:$C$179, MATCH(MIN(SQRT(('MRT station dataset'!$E$3:$E$179-'Resale flat dataset (DV)'!O218)^2+('MRT station dataset'!$F$3:$F$179-'Resale flat dataset (DV)'!P218)^2)), SQRT(('MRT station dataset'!$E$3:$E$179-'Resale flat dataset (DV)'!O218)^2+('MRT station dataset'!$F$3:$F$179-'Resale flat dataset (DV)'!P218)^2), 0))</f>
        <v>SEMBAWANG MRT STATION</v>
      </c>
      <c r="R218" s="38" t="str" cm="1">
        <f t="array" ref="R218">INDEX('Mall Dataset'!$B$3:$B$157, MATCH(MIN(SQRT(('Mall Dataset'!$E$3:$E$157-'Resale flat dataset (DV)'!O218)^2+('Mall Dataset'!$F$3:$F$157-'Resale flat dataset (DV)'!P218)^2)), SQRT(('Mall Dataset'!$E$3:$E$157-'Resale flat dataset (DV)'!O218)^2+('Mall Dataset'!$F$3:$F$157-'Resale flat dataset (DV)'!P218)^2), 0))</f>
        <v>Sun Plaza</v>
      </c>
      <c r="S218" s="38" t="str" cm="1">
        <f t="array" ref="S218">INDEX('Schools dataset'!$B$3:$B$187, MATCH(MIN(SQRT(('Schools dataset'!$J$3:$J$187-'Resale flat dataset (DV)'!O218)^2+('Schools dataset'!$K$3:$K$187-'Resale flat dataset (DV)'!P218)^2)), SQRT(('Schools dataset'!$J$3:$J$187-'Resale flat dataset (DV)'!O218)^2+('Schools dataset'!$K$3:$K$187-'Resale flat dataset (DV)'!P218)^2), 0))</f>
        <v>CANBERRA PRIMARY SCHOOL</v>
      </c>
      <c r="T218" s="39">
        <f>ACOS(COS(RADIANS(90-O218))*COS(RADIANS(90-_xlfn.XLOOKUP(Q218,'MRT station dataset'!$C$3:$C$179,'MRT station dataset'!$E$3:$E$179)))+SIN(RADIANS(90-O218))*SIN(RADIANS(90-_xlfn.XLOOKUP(Q218,'MRT station dataset'!$C$3:$C$179,'MRT station dataset'!$E$3:$E$179)))*COS(RADIANS(P218-_xlfn.XLOOKUP('Resale flat dataset (DV)'!Q218,'MRT station dataset'!$C$3:$C$179,'MRT station dataset'!$F$3:$F$179))))*6371*1000</f>
        <v>799.51602511705983</v>
      </c>
      <c r="U218" s="39">
        <f>ACOS(COS(RADIANS(90-O218))*COS(RADIANS(90-_xlfn.XLOOKUP(R218,'Mall Dataset'!$B$3:$B$157,'Mall Dataset'!$E$3:$E$157,,0)))+SIN(RADIANS(90-O218))*SIN(RADIANS(90-_xlfn.XLOOKUP(R218,'Mall Dataset'!$B$3:$B$157,'Mall Dataset'!$E$3:$E$157,,0)))*COS(RADIANS(P218-_xlfn.XLOOKUP(R218,'Mall Dataset'!$B$3:$B$157,'Mall Dataset'!$F$3:$F$157,,0))))*6371*1000</f>
        <v>720.91455637108413</v>
      </c>
      <c r="V218" s="39">
        <f>ACOS(COS(RADIANS(90-O218))*COS(RADIANS(90-_xlfn.XLOOKUP(S218,'Schools dataset'!$B$3:$B$187,'Schools dataset'!$J$3:$J$187,,0)))+SIN(RADIANS(90-O218))*SIN(RADIANS(90-_xlfn.XLOOKUP(S218,'Schools dataset'!$B$3:$B$187,'Schools dataset'!$J$3:$J$187,,0)))*COS(RADIANS(P218-_xlfn.XLOOKUP(S218,'Schools dataset'!$B$3:$B$187,'Schools dataset'!$K$3:$K$187,,0))))*6371*1000</f>
        <v>586.12815415409659</v>
      </c>
      <c r="W218" s="20">
        <f>_xlfn.XLOOKUP(T218,'HDB Recommender'!$P$10:$P$39,'HDB Recommender'!$Q$10:$Q$39,"&gt;30mins",1)</f>
        <v>11</v>
      </c>
      <c r="X218" s="20">
        <f>_xlfn.XLOOKUP(U218,'HDB Recommender'!$P$10:$P$39,'HDB Recommender'!$Q$10:$Q$39,"&gt;30mins",1)</f>
        <v>10</v>
      </c>
      <c r="Y218" s="20">
        <f>_xlfn.XLOOKUP(V218,'HDB Recommender'!$P$10:$P$39,'HDB Recommender'!$Q$10:$Q$39,"&gt;30mins",1)</f>
        <v>8</v>
      </c>
      <c r="Z218" s="39">
        <f t="shared" si="6"/>
        <v>9.6666666666666661</v>
      </c>
      <c r="AA218" s="20" t="str">
        <f t="shared" si="7"/>
        <v>Within 1km</v>
      </c>
    </row>
    <row r="219" spans="2:27">
      <c r="B219" s="35" t="s">
        <v>317</v>
      </c>
      <c r="C219" s="35" t="s">
        <v>680</v>
      </c>
      <c r="D219" s="35" t="s">
        <v>20</v>
      </c>
      <c r="E219" s="35">
        <v>318</v>
      </c>
      <c r="F219" s="35" t="s">
        <v>696</v>
      </c>
      <c r="G219" s="35" t="s">
        <v>184</v>
      </c>
      <c r="H219" s="35">
        <v>100</v>
      </c>
      <c r="I219" s="35" t="s">
        <v>335</v>
      </c>
      <c r="J219" s="36">
        <v>1999</v>
      </c>
      <c r="K219" s="39">
        <v>74.5833333333333</v>
      </c>
      <c r="L219" s="37">
        <v>503000</v>
      </c>
      <c r="M219" s="35" t="s">
        <v>697</v>
      </c>
      <c r="N219" s="27">
        <v>750318</v>
      </c>
      <c r="O219" s="38">
        <v>1.44623076981756</v>
      </c>
      <c r="P219" s="38">
        <v>103.819993931128</v>
      </c>
      <c r="Q219" s="38" t="str" cm="1">
        <f t="array" ref="Q219">INDEX('MRT station dataset'!$C$3:$C$179, MATCH(MIN(SQRT(('MRT station dataset'!$E$3:$E$179-'Resale flat dataset (DV)'!O219)^2+('MRT station dataset'!$F$3:$F$179-'Resale flat dataset (DV)'!P219)^2)), SQRT(('MRT station dataset'!$E$3:$E$179-'Resale flat dataset (DV)'!O219)^2+('MRT station dataset'!$F$3:$F$179-'Resale flat dataset (DV)'!P219)^2), 0))</f>
        <v>SEMBAWANG MRT STATION</v>
      </c>
      <c r="R219" s="38" t="str" cm="1">
        <f t="array" ref="R219">INDEX('Mall Dataset'!$B$3:$B$157, MATCH(MIN(SQRT(('Mall Dataset'!$E$3:$E$157-'Resale flat dataset (DV)'!O219)^2+('Mall Dataset'!$F$3:$F$157-'Resale flat dataset (DV)'!P219)^2)), SQRT(('Mall Dataset'!$E$3:$E$157-'Resale flat dataset (DV)'!O219)^2+('Mall Dataset'!$F$3:$F$157-'Resale flat dataset (DV)'!P219)^2), 0))</f>
        <v>Sun Plaza</v>
      </c>
      <c r="S219" s="38" t="str" cm="1">
        <f t="array" ref="S219">INDEX('Schools dataset'!$B$3:$B$187, MATCH(MIN(SQRT(('Schools dataset'!$J$3:$J$187-'Resale flat dataset (DV)'!O219)^2+('Schools dataset'!$K$3:$K$187-'Resale flat dataset (DV)'!P219)^2)), SQRT(('Schools dataset'!$J$3:$J$187-'Resale flat dataset (DV)'!O219)^2+('Schools dataset'!$K$3:$K$187-'Resale flat dataset (DV)'!P219)^2), 0))</f>
        <v>SEMBAWANG PRIMARY SCHOOL</v>
      </c>
      <c r="T219" s="39">
        <f>ACOS(COS(RADIANS(90-O219))*COS(RADIANS(90-_xlfn.XLOOKUP(Q219,'MRT station dataset'!$C$3:$C$179,'MRT station dataset'!$E$3:$E$179)))+SIN(RADIANS(90-O219))*SIN(RADIANS(90-_xlfn.XLOOKUP(Q219,'MRT station dataset'!$C$3:$C$179,'MRT station dataset'!$E$3:$E$179)))*COS(RADIANS(P219-_xlfn.XLOOKUP('Resale flat dataset (DV)'!Q219,'MRT station dataset'!$C$3:$C$179,'MRT station dataset'!$F$3:$F$179))))*6371*1000</f>
        <v>319.04455741578562</v>
      </c>
      <c r="U219" s="39">
        <f>ACOS(COS(RADIANS(90-O219))*COS(RADIANS(90-_xlfn.XLOOKUP(R219,'Mall Dataset'!$B$3:$B$157,'Mall Dataset'!$E$3:$E$157,,0)))+SIN(RADIANS(90-O219))*SIN(RADIANS(90-_xlfn.XLOOKUP(R219,'Mall Dataset'!$B$3:$B$157,'Mall Dataset'!$E$3:$E$157,,0)))*COS(RADIANS(P219-_xlfn.XLOOKUP(R219,'Mall Dataset'!$B$3:$B$157,'Mall Dataset'!$F$3:$F$157,,0))))*6371*1000</f>
        <v>228.48833762932765</v>
      </c>
      <c r="V219" s="39">
        <f>ACOS(COS(RADIANS(90-O219))*COS(RADIANS(90-_xlfn.XLOOKUP(S219,'Schools dataset'!$B$3:$B$187,'Schools dataset'!$J$3:$J$187,,0)))+SIN(RADIANS(90-O219))*SIN(RADIANS(90-_xlfn.XLOOKUP(S219,'Schools dataset'!$B$3:$B$187,'Schools dataset'!$J$3:$J$187,,0)))*COS(RADIANS(P219-_xlfn.XLOOKUP(S219,'Schools dataset'!$B$3:$B$187,'Schools dataset'!$K$3:$K$187,,0))))*6371*1000</f>
        <v>174.56272929096372</v>
      </c>
      <c r="W219" s="20">
        <f>_xlfn.XLOOKUP(T219,'HDB Recommender'!$P$10:$P$39,'HDB Recommender'!$Q$10:$Q$39,"&gt;30mins",1)</f>
        <v>5</v>
      </c>
      <c r="X219" s="20">
        <f>_xlfn.XLOOKUP(U219,'HDB Recommender'!$P$10:$P$39,'HDB Recommender'!$Q$10:$Q$39,"&gt;30mins",1)</f>
        <v>4</v>
      </c>
      <c r="Y219" s="20">
        <f>_xlfn.XLOOKUP(V219,'HDB Recommender'!$P$10:$P$39,'HDB Recommender'!$Q$10:$Q$39,"&gt;30mins",1)</f>
        <v>3</v>
      </c>
      <c r="Z219" s="39">
        <f t="shared" si="6"/>
        <v>4</v>
      </c>
      <c r="AA219" s="20" t="str">
        <f t="shared" si="7"/>
        <v>Within 1km</v>
      </c>
    </row>
    <row r="220" spans="2:27">
      <c r="B220" s="35" t="s">
        <v>317</v>
      </c>
      <c r="C220" s="35" t="s">
        <v>680</v>
      </c>
      <c r="D220" s="35" t="s">
        <v>341</v>
      </c>
      <c r="E220" s="35">
        <v>401</v>
      </c>
      <c r="F220" s="35" t="s">
        <v>698</v>
      </c>
      <c r="G220" s="35" t="s">
        <v>323</v>
      </c>
      <c r="H220" s="35">
        <v>110</v>
      </c>
      <c r="I220" s="35" t="s">
        <v>326</v>
      </c>
      <c r="J220" s="36">
        <v>2001</v>
      </c>
      <c r="K220" s="39">
        <v>76.5833333333333</v>
      </c>
      <c r="L220" s="37">
        <v>520000</v>
      </c>
      <c r="M220" s="35" t="s">
        <v>699</v>
      </c>
      <c r="N220" s="27">
        <v>750401</v>
      </c>
      <c r="O220" s="38">
        <v>1.4542701802165099</v>
      </c>
      <c r="P220" s="38">
        <v>103.815812639222</v>
      </c>
      <c r="Q220" s="38" t="str" cm="1">
        <f t="array" ref="Q220">INDEX('MRT station dataset'!$C$3:$C$179, MATCH(MIN(SQRT(('MRT station dataset'!$E$3:$E$179-'Resale flat dataset (DV)'!O220)^2+('MRT station dataset'!$F$3:$F$179-'Resale flat dataset (DV)'!P220)^2)), SQRT(('MRT station dataset'!$E$3:$E$179-'Resale flat dataset (DV)'!O220)^2+('MRT station dataset'!$F$3:$F$179-'Resale flat dataset (DV)'!P220)^2), 0))</f>
        <v>SEMBAWANG MRT STATION</v>
      </c>
      <c r="R220" s="38" t="str" cm="1">
        <f t="array" ref="R220">INDEX('Mall Dataset'!$B$3:$B$157, MATCH(MIN(SQRT(('Mall Dataset'!$E$3:$E$157-'Resale flat dataset (DV)'!O220)^2+('Mall Dataset'!$F$3:$F$157-'Resale flat dataset (DV)'!P220)^2)), SQRT(('Mall Dataset'!$E$3:$E$157-'Resale flat dataset (DV)'!O220)^2+('Mall Dataset'!$F$3:$F$157-'Resale flat dataset (DV)'!P220)^2), 0))</f>
        <v>Sun Plaza</v>
      </c>
      <c r="S220" s="38" t="str" cm="1">
        <f t="array" ref="S220">INDEX('Schools dataset'!$B$3:$B$187, MATCH(MIN(SQRT(('Schools dataset'!$J$3:$J$187-'Resale flat dataset (DV)'!O220)^2+('Schools dataset'!$K$3:$K$187-'Resale flat dataset (DV)'!P220)^2)), SQRT(('Schools dataset'!$J$3:$J$187-'Resale flat dataset (DV)'!O220)^2+('Schools dataset'!$K$3:$K$187-'Resale flat dataset (DV)'!P220)^2), 0))</f>
        <v>ENDEAVOUR PRIMARY SCHOOL</v>
      </c>
      <c r="T220" s="39">
        <f>ACOS(COS(RADIANS(90-O220))*COS(RADIANS(90-_xlfn.XLOOKUP(Q220,'MRT station dataset'!$C$3:$C$179,'MRT station dataset'!$E$3:$E$179)))+SIN(RADIANS(90-O220))*SIN(RADIANS(90-_xlfn.XLOOKUP(Q220,'MRT station dataset'!$C$3:$C$179,'MRT station dataset'!$E$3:$E$179)))*COS(RADIANS(P220-_xlfn.XLOOKUP('Resale flat dataset (DV)'!Q220,'MRT station dataset'!$C$3:$C$179,'MRT station dataset'!$F$3:$F$179))))*6371*1000</f>
        <v>739.70539450248475</v>
      </c>
      <c r="U220" s="39">
        <f>ACOS(COS(RADIANS(90-O220))*COS(RADIANS(90-_xlfn.XLOOKUP(R220,'Mall Dataset'!$B$3:$B$157,'Mall Dataset'!$E$3:$E$157,,0)))+SIN(RADIANS(90-O220))*SIN(RADIANS(90-_xlfn.XLOOKUP(R220,'Mall Dataset'!$B$3:$B$157,'Mall Dataset'!$E$3:$E$157,,0)))*COS(RADIANS(P220-_xlfn.XLOOKUP(R220,'Mall Dataset'!$B$3:$B$157,'Mall Dataset'!$F$3:$F$157,,0))))*6371*1000</f>
        <v>788.10126963126663</v>
      </c>
      <c r="V220" s="39">
        <f>ACOS(COS(RADIANS(90-O220))*COS(RADIANS(90-_xlfn.XLOOKUP(S220,'Schools dataset'!$B$3:$B$187,'Schools dataset'!$J$3:$J$187,,0)))+SIN(RADIANS(90-O220))*SIN(RADIANS(90-_xlfn.XLOOKUP(S220,'Schools dataset'!$B$3:$B$187,'Schools dataset'!$J$3:$J$187,,0)))*COS(RADIANS(P220-_xlfn.XLOOKUP(S220,'Schools dataset'!$B$3:$B$187,'Schools dataset'!$K$3:$K$187,,0))))*6371*1000</f>
        <v>157.44717930924023</v>
      </c>
      <c r="W220" s="20">
        <f>_xlfn.XLOOKUP(T220,'HDB Recommender'!$P$10:$P$39,'HDB Recommender'!$Q$10:$Q$39,"&gt;30mins",1)</f>
        <v>10</v>
      </c>
      <c r="X220" s="20">
        <f>_xlfn.XLOOKUP(U220,'HDB Recommender'!$P$10:$P$39,'HDB Recommender'!$Q$10:$Q$39,"&gt;30mins",1)</f>
        <v>11</v>
      </c>
      <c r="Y220" s="20">
        <f>_xlfn.XLOOKUP(V220,'HDB Recommender'!$P$10:$P$39,'HDB Recommender'!$Q$10:$Q$39,"&gt;30mins",1)</f>
        <v>3</v>
      </c>
      <c r="Z220" s="39">
        <f t="shared" si="6"/>
        <v>8</v>
      </c>
      <c r="AA220" s="20" t="str">
        <f t="shared" si="7"/>
        <v>Within 1km</v>
      </c>
    </row>
    <row r="221" spans="2:27">
      <c r="B221" s="35" t="s">
        <v>317</v>
      </c>
      <c r="C221" s="35" t="s">
        <v>680</v>
      </c>
      <c r="D221" s="35" t="s">
        <v>341</v>
      </c>
      <c r="E221" s="35"/>
      <c r="F221" s="35" t="s">
        <v>700</v>
      </c>
      <c r="G221" s="35" t="s">
        <v>349</v>
      </c>
      <c r="H221" s="35">
        <v>110</v>
      </c>
      <c r="I221" s="35" t="s">
        <v>326</v>
      </c>
      <c r="J221" s="36">
        <v>2001</v>
      </c>
      <c r="K221" s="39">
        <v>76.9166666666666</v>
      </c>
      <c r="L221" s="37">
        <v>525000</v>
      </c>
      <c r="M221" s="35" t="s">
        <v>701</v>
      </c>
      <c r="N221" s="27">
        <v>752503</v>
      </c>
      <c r="O221" s="38">
        <v>1.4503945645138201</v>
      </c>
      <c r="P221" s="38">
        <v>103.822066427146</v>
      </c>
      <c r="Q221" s="38" t="str" cm="1">
        <f t="array" ref="Q221">INDEX('MRT station dataset'!$C$3:$C$179, MATCH(MIN(SQRT(('MRT station dataset'!$E$3:$E$179-'Resale flat dataset (DV)'!O221)^2+('MRT station dataset'!$F$3:$F$179-'Resale flat dataset (DV)'!P221)^2)), SQRT(('MRT station dataset'!$E$3:$E$179-'Resale flat dataset (DV)'!O221)^2+('MRT station dataset'!$F$3:$F$179-'Resale flat dataset (DV)'!P221)^2), 0))</f>
        <v>SEMBAWANG MRT STATION</v>
      </c>
      <c r="R221" s="38" t="str" cm="1">
        <f t="array" ref="R221">INDEX('Mall Dataset'!$B$3:$B$157, MATCH(MIN(SQRT(('Mall Dataset'!$E$3:$E$157-'Resale flat dataset (DV)'!O221)^2+('Mall Dataset'!$F$3:$F$157-'Resale flat dataset (DV)'!P221)^2)), SQRT(('Mall Dataset'!$E$3:$E$157-'Resale flat dataset (DV)'!O221)^2+('Mall Dataset'!$F$3:$F$157-'Resale flat dataset (DV)'!P221)^2), 0))</f>
        <v>Sun Plaza</v>
      </c>
      <c r="S221" s="38" t="str" cm="1">
        <f t="array" ref="S221">INDEX('Schools dataset'!$B$3:$B$187, MATCH(MIN(SQRT(('Schools dataset'!$J$3:$J$187-'Resale flat dataset (DV)'!O221)^2+('Schools dataset'!$K$3:$K$187-'Resale flat dataset (DV)'!P221)^2)), SQRT(('Schools dataset'!$J$3:$J$187-'Resale flat dataset (DV)'!O221)^2+('Schools dataset'!$K$3:$K$187-'Resale flat dataset (DV)'!P221)^2), 0))</f>
        <v>WELLINGTON PRIMARY SCHOOL</v>
      </c>
      <c r="T221" s="39">
        <f>ACOS(COS(RADIANS(90-O221))*COS(RADIANS(90-_xlfn.XLOOKUP(Q221,'MRT station dataset'!$C$3:$C$179,'MRT station dataset'!$E$3:$E$179)))+SIN(RADIANS(90-O221))*SIN(RADIANS(90-_xlfn.XLOOKUP(Q221,'MRT station dataset'!$C$3:$C$179,'MRT station dataset'!$E$3:$E$179)))*COS(RADIANS(P221-_xlfn.XLOOKUP('Resale flat dataset (DV)'!Q221,'MRT station dataset'!$C$3:$C$179,'MRT station dataset'!$F$3:$F$179))))*6371*1000</f>
        <v>271.08047475546891</v>
      </c>
      <c r="U221" s="39">
        <f>ACOS(COS(RADIANS(90-O221))*COS(RADIANS(90-_xlfn.XLOOKUP(R221,'Mall Dataset'!$B$3:$B$157,'Mall Dataset'!$E$3:$E$157,,0)))+SIN(RADIANS(90-O221))*SIN(RADIANS(90-_xlfn.XLOOKUP(R221,'Mall Dataset'!$B$3:$B$157,'Mall Dataset'!$E$3:$E$157,,0)))*COS(RADIANS(P221-_xlfn.XLOOKUP(R221,'Mall Dataset'!$B$3:$B$157,'Mall Dataset'!$F$3:$F$157,,0))))*6371*1000</f>
        <v>371.15631937441805</v>
      </c>
      <c r="V221" s="39">
        <f>ACOS(COS(RADIANS(90-O221))*COS(RADIANS(90-_xlfn.XLOOKUP(S221,'Schools dataset'!$B$3:$B$187,'Schools dataset'!$J$3:$J$187,,0)))+SIN(RADIANS(90-O221))*SIN(RADIANS(90-_xlfn.XLOOKUP(S221,'Schools dataset'!$B$3:$B$187,'Schools dataset'!$J$3:$J$187,,0)))*COS(RADIANS(P221-_xlfn.XLOOKUP(S221,'Schools dataset'!$B$3:$B$187,'Schools dataset'!$K$3:$K$187,,0))))*6371*1000</f>
        <v>151.96938142902928</v>
      </c>
      <c r="W221" s="20">
        <f>_xlfn.XLOOKUP(T221,'HDB Recommender'!$P$10:$P$39,'HDB Recommender'!$Q$10:$Q$39,"&gt;30mins",1)</f>
        <v>4</v>
      </c>
      <c r="X221" s="20">
        <f>_xlfn.XLOOKUP(U221,'HDB Recommender'!$P$10:$P$39,'HDB Recommender'!$Q$10:$Q$39,"&gt;30mins",1)</f>
        <v>5</v>
      </c>
      <c r="Y221" s="20">
        <f>_xlfn.XLOOKUP(V221,'HDB Recommender'!$P$10:$P$39,'HDB Recommender'!$Q$10:$Q$39,"&gt;30mins",1)</f>
        <v>3</v>
      </c>
      <c r="Z221" s="39">
        <f t="shared" si="6"/>
        <v>4</v>
      </c>
      <c r="AA221" s="20" t="str">
        <f t="shared" si="7"/>
        <v>Within 1km</v>
      </c>
    </row>
    <row r="222" spans="2:27">
      <c r="B222" s="35" t="s">
        <v>317</v>
      </c>
      <c r="C222" s="35" t="s">
        <v>680</v>
      </c>
      <c r="D222" s="35" t="s">
        <v>383</v>
      </c>
      <c r="E222" s="35">
        <v>304</v>
      </c>
      <c r="F222" s="35" t="s">
        <v>702</v>
      </c>
      <c r="G222" s="35" t="s">
        <v>191</v>
      </c>
      <c r="H222" s="35">
        <v>140</v>
      </c>
      <c r="I222" s="35" t="s">
        <v>384</v>
      </c>
      <c r="J222" s="36">
        <v>1998</v>
      </c>
      <c r="K222" s="39">
        <v>74.25</v>
      </c>
      <c r="L222" s="37">
        <v>735000</v>
      </c>
      <c r="M222" s="35" t="s">
        <v>703</v>
      </c>
      <c r="N222" s="27">
        <v>750304</v>
      </c>
      <c r="O222" s="38">
        <v>1.4451192074325401</v>
      </c>
      <c r="P222" s="38">
        <v>103.822259561569</v>
      </c>
      <c r="Q222" s="38" t="str" cm="1">
        <f t="array" ref="Q222">INDEX('MRT station dataset'!$C$3:$C$179, MATCH(MIN(SQRT(('MRT station dataset'!$E$3:$E$179-'Resale flat dataset (DV)'!O222)^2+('MRT station dataset'!$F$3:$F$179-'Resale flat dataset (DV)'!P222)^2)), SQRT(('MRT station dataset'!$E$3:$E$179-'Resale flat dataset (DV)'!O222)^2+('MRT station dataset'!$F$3:$F$179-'Resale flat dataset (DV)'!P222)^2), 0))</f>
        <v>SEMBAWANG MRT STATION</v>
      </c>
      <c r="R222" s="38" t="str" cm="1">
        <f t="array" ref="R222">INDEX('Mall Dataset'!$B$3:$B$157, MATCH(MIN(SQRT(('Mall Dataset'!$E$3:$E$157-'Resale flat dataset (DV)'!O222)^2+('Mall Dataset'!$F$3:$F$157-'Resale flat dataset (DV)'!P222)^2)), SQRT(('Mall Dataset'!$E$3:$E$157-'Resale flat dataset (DV)'!O222)^2+('Mall Dataset'!$F$3:$F$157-'Resale flat dataset (DV)'!P222)^2), 0))</f>
        <v>Sun Plaza</v>
      </c>
      <c r="S222" s="38" t="str" cm="1">
        <f t="array" ref="S222">INDEX('Schools dataset'!$B$3:$B$187, MATCH(MIN(SQRT(('Schools dataset'!$J$3:$J$187-'Resale flat dataset (DV)'!O222)^2+('Schools dataset'!$K$3:$K$187-'Resale flat dataset (DV)'!P222)^2)), SQRT(('Schools dataset'!$J$3:$J$187-'Resale flat dataset (DV)'!O222)^2+('Schools dataset'!$K$3:$K$187-'Resale flat dataset (DV)'!P222)^2), 0))</f>
        <v>SEMBAWANG PRIMARY SCHOOL</v>
      </c>
      <c r="T222" s="39">
        <f>ACOS(COS(RADIANS(90-O222))*COS(RADIANS(90-_xlfn.XLOOKUP(Q222,'MRT station dataset'!$C$3:$C$179,'MRT station dataset'!$E$3:$E$179)))+SIN(RADIANS(90-O222))*SIN(RADIANS(90-_xlfn.XLOOKUP(Q222,'MRT station dataset'!$C$3:$C$179,'MRT station dataset'!$E$3:$E$179)))*COS(RADIANS(P222-_xlfn.XLOOKUP('Resale flat dataset (DV)'!Q222,'MRT station dataset'!$C$3:$C$179,'MRT station dataset'!$F$3:$F$179))))*6371*1000</f>
        <v>508.94090740868569</v>
      </c>
      <c r="U222" s="39">
        <f>ACOS(COS(RADIANS(90-O222))*COS(RADIANS(90-_xlfn.XLOOKUP(R222,'Mall Dataset'!$B$3:$B$157,'Mall Dataset'!$E$3:$E$157,,0)))+SIN(RADIANS(90-O222))*SIN(RADIANS(90-_xlfn.XLOOKUP(R222,'Mall Dataset'!$B$3:$B$157,'Mall Dataset'!$E$3:$E$157,,0)))*COS(RADIANS(P222-_xlfn.XLOOKUP(R222,'Mall Dataset'!$B$3:$B$157,'Mall Dataset'!$F$3:$F$157,,0))))*6371*1000</f>
        <v>460.6743722949227</v>
      </c>
      <c r="V222" s="39">
        <f>ACOS(COS(RADIANS(90-O222))*COS(RADIANS(90-_xlfn.XLOOKUP(S222,'Schools dataset'!$B$3:$B$187,'Schools dataset'!$J$3:$J$187,,0)))+SIN(RADIANS(90-O222))*SIN(RADIANS(90-_xlfn.XLOOKUP(S222,'Schools dataset'!$B$3:$B$187,'Schools dataset'!$J$3:$J$187,,0)))*COS(RADIANS(P222-_xlfn.XLOOKUP(S222,'Schools dataset'!$B$3:$B$187,'Schools dataset'!$K$3:$K$187,,0))))*6371*1000</f>
        <v>137.87707312402864</v>
      </c>
      <c r="W222" s="20">
        <f>_xlfn.XLOOKUP(T222,'HDB Recommender'!$P$10:$P$39,'HDB Recommender'!$Q$10:$Q$39,"&gt;30mins",1)</f>
        <v>7</v>
      </c>
      <c r="X222" s="20">
        <f>_xlfn.XLOOKUP(U222,'HDB Recommender'!$P$10:$P$39,'HDB Recommender'!$Q$10:$Q$39,"&gt;30mins",1)</f>
        <v>7</v>
      </c>
      <c r="Y222" s="20">
        <f>_xlfn.XLOOKUP(V222,'HDB Recommender'!$P$10:$P$39,'HDB Recommender'!$Q$10:$Q$39,"&gt;30mins",1)</f>
        <v>2</v>
      </c>
      <c r="Z222" s="39">
        <f t="shared" si="6"/>
        <v>5.333333333333333</v>
      </c>
      <c r="AA222" s="20" t="str">
        <f t="shared" si="7"/>
        <v>Within 1km</v>
      </c>
    </row>
    <row r="223" spans="2:27">
      <c r="B223" s="35" t="s">
        <v>317</v>
      </c>
      <c r="C223" s="35" t="s">
        <v>680</v>
      </c>
      <c r="D223" s="35" t="s">
        <v>383</v>
      </c>
      <c r="E223" s="35">
        <v>310</v>
      </c>
      <c r="F223" s="35" t="s">
        <v>702</v>
      </c>
      <c r="G223" s="35" t="s">
        <v>184</v>
      </c>
      <c r="H223" s="35">
        <v>143</v>
      </c>
      <c r="I223" s="35" t="s">
        <v>392</v>
      </c>
      <c r="J223" s="36">
        <v>1998</v>
      </c>
      <c r="K223" s="39">
        <v>74.0833333333333</v>
      </c>
      <c r="L223" s="37">
        <v>810000</v>
      </c>
      <c r="M223" s="35" t="s">
        <v>704</v>
      </c>
      <c r="N223" s="27">
        <v>750310</v>
      </c>
      <c r="O223" s="38">
        <v>1.4470356102903199</v>
      </c>
      <c r="P223" s="38">
        <v>103.82209866943001</v>
      </c>
      <c r="Q223" s="38" t="str" cm="1">
        <f t="array" ref="Q223">INDEX('MRT station dataset'!$C$3:$C$179, MATCH(MIN(SQRT(('MRT station dataset'!$E$3:$E$179-'Resale flat dataset (DV)'!O223)^2+('MRT station dataset'!$F$3:$F$179-'Resale flat dataset (DV)'!P223)^2)), SQRT(('MRT station dataset'!$E$3:$E$179-'Resale flat dataset (DV)'!O223)^2+('MRT station dataset'!$F$3:$F$179-'Resale flat dataset (DV)'!P223)^2), 0))</f>
        <v>SEMBAWANG MRT STATION</v>
      </c>
      <c r="R223" s="38" t="str" cm="1">
        <f t="array" ref="R223">INDEX('Mall Dataset'!$B$3:$B$157, MATCH(MIN(SQRT(('Mall Dataset'!$E$3:$E$157-'Resale flat dataset (DV)'!O223)^2+('Mall Dataset'!$F$3:$F$157-'Resale flat dataset (DV)'!P223)^2)), SQRT(('Mall Dataset'!$E$3:$E$157-'Resale flat dataset (DV)'!O223)^2+('Mall Dataset'!$F$3:$F$157-'Resale flat dataset (DV)'!P223)^2), 0))</f>
        <v>Sun Plaza</v>
      </c>
      <c r="S223" s="38" t="str" cm="1">
        <f t="array" ref="S223">INDEX('Schools dataset'!$B$3:$B$187, MATCH(MIN(SQRT(('Schools dataset'!$J$3:$J$187-'Resale flat dataset (DV)'!O223)^2+('Schools dataset'!$K$3:$K$187-'Resale flat dataset (DV)'!P223)^2)), SQRT(('Schools dataset'!$J$3:$J$187-'Resale flat dataset (DV)'!O223)^2+('Schools dataset'!$K$3:$K$187-'Resale flat dataset (DV)'!P223)^2), 0))</f>
        <v>SEMBAWANG PRIMARY SCHOOL</v>
      </c>
      <c r="T223" s="39">
        <f>ACOS(COS(RADIANS(90-O223))*COS(RADIANS(90-_xlfn.XLOOKUP(Q223,'MRT station dataset'!$C$3:$C$179,'MRT station dataset'!$E$3:$E$179)))+SIN(RADIANS(90-O223))*SIN(RADIANS(90-_xlfn.XLOOKUP(Q223,'MRT station dataset'!$C$3:$C$179,'MRT station dataset'!$E$3:$E$179)))*COS(RADIANS(P223-_xlfn.XLOOKUP('Resale flat dataset (DV)'!Q223,'MRT station dataset'!$C$3:$C$179,'MRT station dataset'!$F$3:$F$179))))*6371*1000</f>
        <v>327.28551222307601</v>
      </c>
      <c r="U223" s="39">
        <f>ACOS(COS(RADIANS(90-O223))*COS(RADIANS(90-_xlfn.XLOOKUP(R223,'Mall Dataset'!$B$3:$B$157,'Mall Dataset'!$E$3:$E$157,,0)))+SIN(RADIANS(90-O223))*SIN(RADIANS(90-_xlfn.XLOOKUP(R223,'Mall Dataset'!$B$3:$B$157,'Mall Dataset'!$E$3:$E$157,,0)))*COS(RADIANS(P223-_xlfn.XLOOKUP(R223,'Mall Dataset'!$B$3:$B$157,'Mall Dataset'!$F$3:$F$157,,0))))*6371*1000</f>
        <v>315.5911051378564</v>
      </c>
      <c r="V223" s="39">
        <f>ACOS(COS(RADIANS(90-O223))*COS(RADIANS(90-_xlfn.XLOOKUP(S223,'Schools dataset'!$B$3:$B$187,'Schools dataset'!$J$3:$J$187,,0)))+SIN(RADIANS(90-O223))*SIN(RADIANS(90-_xlfn.XLOOKUP(S223,'Schools dataset'!$B$3:$B$187,'Schools dataset'!$J$3:$J$187,,0)))*COS(RADIANS(P223-_xlfn.XLOOKUP(S223,'Schools dataset'!$B$3:$B$187,'Schools dataset'!$K$3:$K$187,,0))))*6371*1000</f>
        <v>251.78859927218423</v>
      </c>
      <c r="W223" s="20">
        <f>_xlfn.XLOOKUP(T223,'HDB Recommender'!$P$10:$P$39,'HDB Recommender'!$Q$10:$Q$39,"&gt;30mins",1)</f>
        <v>5</v>
      </c>
      <c r="X223" s="20">
        <f>_xlfn.XLOOKUP(U223,'HDB Recommender'!$P$10:$P$39,'HDB Recommender'!$Q$10:$Q$39,"&gt;30mins",1)</f>
        <v>5</v>
      </c>
      <c r="Y223" s="20">
        <f>_xlfn.XLOOKUP(V223,'HDB Recommender'!$P$10:$P$39,'HDB Recommender'!$Q$10:$Q$39,"&gt;30mins",1)</f>
        <v>4</v>
      </c>
      <c r="Z223" s="39">
        <f t="shared" si="6"/>
        <v>4.666666666666667</v>
      </c>
      <c r="AA223" s="20" t="str">
        <f t="shared" si="7"/>
        <v>Within 1km</v>
      </c>
    </row>
    <row r="224" spans="2:27">
      <c r="B224" s="35" t="s">
        <v>317</v>
      </c>
      <c r="C224" s="35" t="s">
        <v>705</v>
      </c>
      <c r="D224" s="35" t="s">
        <v>395</v>
      </c>
      <c r="E224" s="35"/>
      <c r="F224" s="35" t="s">
        <v>706</v>
      </c>
      <c r="G224" s="35" t="s">
        <v>349</v>
      </c>
      <c r="H224" s="35">
        <v>48</v>
      </c>
      <c r="I224" s="35" t="s">
        <v>335</v>
      </c>
      <c r="J224" s="36">
        <v>2013</v>
      </c>
      <c r="K224" s="39">
        <v>88.4166666666666</v>
      </c>
      <c r="L224" s="37">
        <v>315000</v>
      </c>
      <c r="M224" s="35" t="s">
        <v>707</v>
      </c>
      <c r="N224" s="27">
        <v>541210</v>
      </c>
      <c r="O224" s="38">
        <v>1.38480080631986</v>
      </c>
      <c r="P224" s="38">
        <v>103.900105508026</v>
      </c>
      <c r="Q224" s="38" t="str" cm="1">
        <f t="array" ref="Q224">INDEX('MRT station dataset'!$C$3:$C$179, MATCH(MIN(SQRT(('MRT station dataset'!$E$3:$E$179-'Resale flat dataset (DV)'!O224)^2+('MRT station dataset'!$F$3:$F$179-'Resale flat dataset (DV)'!P224)^2)), SQRT(('MRT station dataset'!$E$3:$E$179-'Resale flat dataset (DV)'!O224)^2+('MRT station dataset'!$F$3:$F$179-'Resale flat dataset (DV)'!P224)^2), 0))</f>
        <v>KANGKAR LRT STATION</v>
      </c>
      <c r="R224" s="38" t="str" cm="1">
        <f t="array" ref="R224">INDEX('Mall Dataset'!$B$3:$B$157, MATCH(MIN(SQRT(('Mall Dataset'!$E$3:$E$157-'Resale flat dataset (DV)'!O224)^2+('Mall Dataset'!$F$3:$F$157-'Resale flat dataset (DV)'!P224)^2)), SQRT(('Mall Dataset'!$E$3:$E$157-'Resale flat dataset (DV)'!O224)^2+('Mall Dataset'!$F$3:$F$157-'Resale flat dataset (DV)'!P224)^2), 0))</f>
        <v>Rivervale Plaza</v>
      </c>
      <c r="S224" s="38" t="str" cm="1">
        <f t="array" ref="S224">INDEX('Schools dataset'!$B$3:$B$187, MATCH(MIN(SQRT(('Schools dataset'!$J$3:$J$187-'Resale flat dataset (DV)'!O224)^2+('Schools dataset'!$K$3:$K$187-'Resale flat dataset (DV)'!P224)^2)), SQRT(('Schools dataset'!$J$3:$J$187-'Resale flat dataset (DV)'!O224)^2+('Schools dataset'!$K$3:$K$187-'Resale flat dataset (DV)'!P224)^2), 0))</f>
        <v>NORTH SPRING PRIMARY SCHOOL</v>
      </c>
      <c r="T224" s="39">
        <f>ACOS(COS(RADIANS(90-O224))*COS(RADIANS(90-_xlfn.XLOOKUP(Q224,'MRT station dataset'!$C$3:$C$179,'MRT station dataset'!$E$3:$E$179)))+SIN(RADIANS(90-O224))*SIN(RADIANS(90-_xlfn.XLOOKUP(Q224,'MRT station dataset'!$C$3:$C$179,'MRT station dataset'!$E$3:$E$179)))*COS(RADIANS(P224-_xlfn.XLOOKUP('Resale flat dataset (DV)'!Q224,'MRT station dataset'!$C$3:$C$179,'MRT station dataset'!$F$3:$F$179))))*6371*1000</f>
        <v>249.27577903106001</v>
      </c>
      <c r="U224" s="39">
        <f>ACOS(COS(RADIANS(90-O224))*COS(RADIANS(90-_xlfn.XLOOKUP(R224,'Mall Dataset'!$B$3:$B$157,'Mall Dataset'!$E$3:$E$157,,0)))+SIN(RADIANS(90-O224))*SIN(RADIANS(90-_xlfn.XLOOKUP(R224,'Mall Dataset'!$B$3:$B$157,'Mall Dataset'!$E$3:$E$157,,0)))*COS(RADIANS(P224-_xlfn.XLOOKUP(R224,'Mall Dataset'!$B$3:$B$157,'Mall Dataset'!$F$3:$F$157,,0))))*6371*1000</f>
        <v>223.44584912983478</v>
      </c>
      <c r="V224" s="39">
        <f>ACOS(COS(RADIANS(90-O224))*COS(RADIANS(90-_xlfn.XLOOKUP(S224,'Schools dataset'!$B$3:$B$187,'Schools dataset'!$J$3:$J$187,,0)))+SIN(RADIANS(90-O224))*SIN(RADIANS(90-_xlfn.XLOOKUP(S224,'Schools dataset'!$B$3:$B$187,'Schools dataset'!$J$3:$J$187,,0)))*COS(RADIANS(P224-_xlfn.XLOOKUP(S224,'Schools dataset'!$B$3:$B$187,'Schools dataset'!$K$3:$K$187,,0))))*6371*1000</f>
        <v>426.29093806757254</v>
      </c>
      <c r="W224" s="20">
        <f>_xlfn.XLOOKUP(T224,'HDB Recommender'!$P$10:$P$39,'HDB Recommender'!$Q$10:$Q$39,"&gt;30mins",1)</f>
        <v>4</v>
      </c>
      <c r="X224" s="20">
        <f>_xlfn.XLOOKUP(U224,'HDB Recommender'!$P$10:$P$39,'HDB Recommender'!$Q$10:$Q$39,"&gt;30mins",1)</f>
        <v>3</v>
      </c>
      <c r="Y224" s="20">
        <f>_xlfn.XLOOKUP(V224,'HDB Recommender'!$P$10:$P$39,'HDB Recommender'!$Q$10:$Q$39,"&gt;30mins",1)</f>
        <v>6</v>
      </c>
      <c r="Z224" s="39">
        <f t="shared" si="6"/>
        <v>4.333333333333333</v>
      </c>
      <c r="AA224" s="20" t="str">
        <f t="shared" si="7"/>
        <v>Within 1km</v>
      </c>
    </row>
    <row r="225" spans="2:27">
      <c r="B225" s="35" t="s">
        <v>317</v>
      </c>
      <c r="C225" s="35" t="s">
        <v>705</v>
      </c>
      <c r="D225" s="35" t="s">
        <v>395</v>
      </c>
      <c r="E225" s="35"/>
      <c r="F225" s="35" t="s">
        <v>708</v>
      </c>
      <c r="G225" s="35" t="s">
        <v>323</v>
      </c>
      <c r="H225" s="35">
        <v>47</v>
      </c>
      <c r="I225" s="35" t="s">
        <v>335</v>
      </c>
      <c r="J225" s="36">
        <v>2018</v>
      </c>
      <c r="K225" s="39">
        <v>93.8333333333333</v>
      </c>
      <c r="L225" s="37">
        <v>371000</v>
      </c>
      <c r="M225" s="35" t="s">
        <v>709</v>
      </c>
      <c r="N225" s="27">
        <v>791418</v>
      </c>
      <c r="O225" s="38">
        <v>1.3910074574634299</v>
      </c>
      <c r="P225" s="38">
        <v>103.879606736157</v>
      </c>
      <c r="Q225" s="38" t="str" cm="1">
        <f t="array" ref="Q225">INDEX('MRT station dataset'!$C$3:$C$179, MATCH(MIN(SQRT(('MRT station dataset'!$E$3:$E$179-'Resale flat dataset (DV)'!O225)^2+('MRT station dataset'!$F$3:$F$179-'Resale flat dataset (DV)'!P225)^2)), SQRT(('MRT station dataset'!$E$3:$E$179-'Resale flat dataset (DV)'!O225)^2+('MRT station dataset'!$F$3:$F$179-'Resale flat dataset (DV)'!P225)^2), 0))</f>
        <v>LAYAR LRT STATION</v>
      </c>
      <c r="R225" s="38" t="str" cm="1">
        <f t="array" ref="R225">INDEX('Mall Dataset'!$B$3:$B$157, MATCH(MIN(SQRT(('Mall Dataset'!$E$3:$E$157-'Resale flat dataset (DV)'!O225)^2+('Mall Dataset'!$F$3:$F$157-'Resale flat dataset (DV)'!P225)^2)), SQRT(('Mall Dataset'!$E$3:$E$157-'Resale flat dataset (DV)'!O225)^2+('Mall Dataset'!$F$3:$F$157-'Resale flat dataset (DV)'!P225)^2), 0))</f>
        <v>The Seletar Mall</v>
      </c>
      <c r="S225" s="38" t="str" cm="1">
        <f t="array" ref="S225">INDEX('Schools dataset'!$B$3:$B$187, MATCH(MIN(SQRT(('Schools dataset'!$J$3:$J$187-'Resale flat dataset (DV)'!O225)^2+('Schools dataset'!$K$3:$K$187-'Resale flat dataset (DV)'!P225)^2)), SQRT(('Schools dataset'!$J$3:$J$187-'Resale flat dataset (DV)'!O225)^2+('Schools dataset'!$K$3:$K$187-'Resale flat dataset (DV)'!P225)^2), 0))</f>
        <v>SENGKANG GREEN PRIMARY SCHOOL</v>
      </c>
      <c r="T225" s="39">
        <f>ACOS(COS(RADIANS(90-O225))*COS(RADIANS(90-_xlfn.XLOOKUP(Q225,'MRT station dataset'!$C$3:$C$179,'MRT station dataset'!$E$3:$E$179)))+SIN(RADIANS(90-O225))*SIN(RADIANS(90-_xlfn.XLOOKUP(Q225,'MRT station dataset'!$C$3:$C$179,'MRT station dataset'!$E$3:$E$179)))*COS(RADIANS(P225-_xlfn.XLOOKUP('Resale flat dataset (DV)'!Q225,'MRT station dataset'!$C$3:$C$179,'MRT station dataset'!$F$3:$F$179))))*6371*1000</f>
        <v>129.11137698515307</v>
      </c>
      <c r="U225" s="39">
        <f>ACOS(COS(RADIANS(90-O225))*COS(RADIANS(90-_xlfn.XLOOKUP(R225,'Mall Dataset'!$B$3:$B$157,'Mall Dataset'!$E$3:$E$157,,0)))+SIN(RADIANS(90-O225))*SIN(RADIANS(90-_xlfn.XLOOKUP(R225,'Mall Dataset'!$B$3:$B$157,'Mall Dataset'!$E$3:$E$157,,0)))*COS(RADIANS(P225-_xlfn.XLOOKUP(R225,'Mall Dataset'!$B$3:$B$157,'Mall Dataset'!$F$3:$F$157,,0))))*6371*1000</f>
        <v>390.38601980860818</v>
      </c>
      <c r="V225" s="39">
        <f>ACOS(COS(RADIANS(90-O225))*COS(RADIANS(90-_xlfn.XLOOKUP(S225,'Schools dataset'!$B$3:$B$187,'Schools dataset'!$J$3:$J$187,,0)))+SIN(RADIANS(90-O225))*SIN(RADIANS(90-_xlfn.XLOOKUP(S225,'Schools dataset'!$B$3:$B$187,'Schools dataset'!$J$3:$J$187,,0)))*COS(RADIANS(P225-_xlfn.XLOOKUP(S225,'Schools dataset'!$B$3:$B$187,'Schools dataset'!$K$3:$K$187,,0))))*6371*1000</f>
        <v>541.30372013508634</v>
      </c>
      <c r="W225" s="20">
        <f>_xlfn.XLOOKUP(T225,'HDB Recommender'!$P$10:$P$39,'HDB Recommender'!$Q$10:$Q$39,"&gt;30mins",1)</f>
        <v>2</v>
      </c>
      <c r="X225" s="20">
        <f>_xlfn.XLOOKUP(U225,'HDB Recommender'!$P$10:$P$39,'HDB Recommender'!$Q$10:$Q$39,"&gt;30mins",1)</f>
        <v>6</v>
      </c>
      <c r="Y225" s="20">
        <f>_xlfn.XLOOKUP(V225,'HDB Recommender'!$P$10:$P$39,'HDB Recommender'!$Q$10:$Q$39,"&gt;30mins",1)</f>
        <v>8</v>
      </c>
      <c r="Z225" s="39">
        <f t="shared" si="6"/>
        <v>5.333333333333333</v>
      </c>
      <c r="AA225" s="20" t="str">
        <f t="shared" si="7"/>
        <v>Within 1km</v>
      </c>
    </row>
    <row r="226" spans="2:27">
      <c r="B226" s="35" t="s">
        <v>317</v>
      </c>
      <c r="C226" s="35" t="s">
        <v>705</v>
      </c>
      <c r="D226" s="35" t="s">
        <v>318</v>
      </c>
      <c r="E226" s="35"/>
      <c r="F226" s="35" t="s">
        <v>710</v>
      </c>
      <c r="G226" s="35" t="s">
        <v>411</v>
      </c>
      <c r="H226" s="35">
        <v>69</v>
      </c>
      <c r="I226" s="35" t="s">
        <v>335</v>
      </c>
      <c r="J226" s="36">
        <v>2011</v>
      </c>
      <c r="K226" s="39">
        <v>86.5</v>
      </c>
      <c r="L226" s="37">
        <v>485000</v>
      </c>
      <c r="M226" s="35" t="s">
        <v>711</v>
      </c>
      <c r="N226" s="27">
        <v>792438</v>
      </c>
      <c r="O226" s="38">
        <v>1.3927451833386599</v>
      </c>
      <c r="P226" s="38">
        <v>103.877720031685</v>
      </c>
      <c r="Q226" s="38" t="str" cm="1">
        <f t="array" ref="Q226">INDEX('MRT station dataset'!$C$3:$C$179, MATCH(MIN(SQRT(('MRT station dataset'!$E$3:$E$179-'Resale flat dataset (DV)'!O226)^2+('MRT station dataset'!$F$3:$F$179-'Resale flat dataset (DV)'!P226)^2)), SQRT(('MRT station dataset'!$E$3:$E$179-'Resale flat dataset (DV)'!O226)^2+('MRT station dataset'!$F$3:$F$179-'Resale flat dataset (DV)'!P226)^2), 0))</f>
        <v>FERNVALE LRT STATION</v>
      </c>
      <c r="R226" s="38" t="str" cm="1">
        <f t="array" ref="R226">INDEX('Mall Dataset'!$B$3:$B$157, MATCH(MIN(SQRT(('Mall Dataset'!$E$3:$E$157-'Resale flat dataset (DV)'!O226)^2+('Mall Dataset'!$F$3:$F$157-'Resale flat dataset (DV)'!P226)^2)), SQRT(('Mall Dataset'!$E$3:$E$157-'Resale flat dataset (DV)'!O226)^2+('Mall Dataset'!$F$3:$F$157-'Resale flat dataset (DV)'!P226)^2), 0))</f>
        <v>The Seletar Mall</v>
      </c>
      <c r="S226" s="38" t="str" cm="1">
        <f t="array" ref="S226">INDEX('Schools dataset'!$B$3:$B$187, MATCH(MIN(SQRT(('Schools dataset'!$J$3:$J$187-'Resale flat dataset (DV)'!O226)^2+('Schools dataset'!$K$3:$K$187-'Resale flat dataset (DV)'!P226)^2)), SQRT(('Schools dataset'!$J$3:$J$187-'Resale flat dataset (DV)'!O226)^2+('Schools dataset'!$K$3:$K$187-'Resale flat dataset (DV)'!P226)^2), 0))</f>
        <v>SENGKANG GREEN PRIMARY SCHOOL</v>
      </c>
      <c r="T226" s="39">
        <f>ACOS(COS(RADIANS(90-O226))*COS(RADIANS(90-_xlfn.XLOOKUP(Q226,'MRT station dataset'!$C$3:$C$179,'MRT station dataset'!$E$3:$E$179)))+SIN(RADIANS(90-O226))*SIN(RADIANS(90-_xlfn.XLOOKUP(Q226,'MRT station dataset'!$C$3:$C$179,'MRT station dataset'!$E$3:$E$179)))*COS(RADIANS(P226-_xlfn.XLOOKUP('Resale flat dataset (DV)'!Q226,'MRT station dataset'!$C$3:$C$179,'MRT station dataset'!$F$3:$F$179))))*6371*1000</f>
        <v>183.71189499668162</v>
      </c>
      <c r="U226" s="39">
        <f>ACOS(COS(RADIANS(90-O226))*COS(RADIANS(90-_xlfn.XLOOKUP(R226,'Mall Dataset'!$B$3:$B$157,'Mall Dataset'!$E$3:$E$157,,0)))+SIN(RADIANS(90-O226))*SIN(RADIANS(90-_xlfn.XLOOKUP(R226,'Mall Dataset'!$B$3:$B$157,'Mall Dataset'!$E$3:$E$157,,0)))*COS(RADIANS(P226-_xlfn.XLOOKUP(R226,'Mall Dataset'!$B$3:$B$157,'Mall Dataset'!$F$3:$F$157,,0))))*6371*1000</f>
        <v>226.97681710918528</v>
      </c>
      <c r="V226" s="39">
        <f>ACOS(COS(RADIANS(90-O226))*COS(RADIANS(90-_xlfn.XLOOKUP(S226,'Schools dataset'!$B$3:$B$187,'Schools dataset'!$J$3:$J$187,,0)))+SIN(RADIANS(90-O226))*SIN(RADIANS(90-_xlfn.XLOOKUP(S226,'Schools dataset'!$B$3:$B$187,'Schools dataset'!$J$3:$J$187,,0)))*COS(RADIANS(P226-_xlfn.XLOOKUP(S226,'Schools dataset'!$B$3:$B$187,'Schools dataset'!$K$3:$K$187,,0))))*6371*1000</f>
        <v>304.90037270284188</v>
      </c>
      <c r="W226" s="20">
        <f>_xlfn.XLOOKUP(T226,'HDB Recommender'!$P$10:$P$39,'HDB Recommender'!$Q$10:$Q$39,"&gt;30mins",1)</f>
        <v>3</v>
      </c>
      <c r="X226" s="20">
        <f>_xlfn.XLOOKUP(U226,'HDB Recommender'!$P$10:$P$39,'HDB Recommender'!$Q$10:$Q$39,"&gt;30mins",1)</f>
        <v>4</v>
      </c>
      <c r="Y226" s="20">
        <f>_xlfn.XLOOKUP(V226,'HDB Recommender'!$P$10:$P$39,'HDB Recommender'!$Q$10:$Q$39,"&gt;30mins",1)</f>
        <v>5</v>
      </c>
      <c r="Z226" s="39">
        <f t="shared" si="6"/>
        <v>4</v>
      </c>
      <c r="AA226" s="20" t="str">
        <f t="shared" si="7"/>
        <v>Within 1km</v>
      </c>
    </row>
    <row r="227" spans="2:27">
      <c r="B227" s="35" t="s">
        <v>317</v>
      </c>
      <c r="C227" s="35" t="s">
        <v>705</v>
      </c>
      <c r="D227" s="35" t="s">
        <v>20</v>
      </c>
      <c r="E227" s="35"/>
      <c r="F227" s="35" t="s">
        <v>712</v>
      </c>
      <c r="G227" s="35" t="s">
        <v>191</v>
      </c>
      <c r="H227" s="35">
        <v>88</v>
      </c>
      <c r="I227" s="35" t="s">
        <v>713</v>
      </c>
      <c r="J227" s="36">
        <v>2002</v>
      </c>
      <c r="K227" s="39">
        <v>78</v>
      </c>
      <c r="L227" s="37">
        <v>518888</v>
      </c>
      <c r="M227" s="35" t="s">
        <v>714</v>
      </c>
      <c r="N227" s="27">
        <v>541320</v>
      </c>
      <c r="O227" s="38">
        <v>1.3903337002404099</v>
      </c>
      <c r="P227" s="38">
        <v>103.891002827157</v>
      </c>
      <c r="Q227" s="38" t="str" cm="1">
        <f t="array" ref="Q227">INDEX('MRT station dataset'!$C$3:$C$179, MATCH(MIN(SQRT(('MRT station dataset'!$E$3:$E$179-'Resale flat dataset (DV)'!O227)^2+('MRT station dataset'!$F$3:$F$179-'Resale flat dataset (DV)'!P227)^2)), SQRT(('MRT station dataset'!$E$3:$E$179-'Resale flat dataset (DV)'!O227)^2+('MRT station dataset'!$F$3:$F$179-'Resale flat dataset (DV)'!P227)^2), 0))</f>
        <v>RENJONG LRT STATION</v>
      </c>
      <c r="R227" s="38" t="str" cm="1">
        <f t="array" ref="R227">INDEX('Mall Dataset'!$B$3:$B$157, MATCH(MIN(SQRT(('Mall Dataset'!$E$3:$E$157-'Resale flat dataset (DV)'!O227)^2+('Mall Dataset'!$F$3:$F$157-'Resale flat dataset (DV)'!P227)^2)), SQRT(('Mall Dataset'!$E$3:$E$157-'Resale flat dataset (DV)'!O227)^2+('Mall Dataset'!$F$3:$F$157-'Resale flat dataset (DV)'!P227)^2), 0))</f>
        <v>Compass One</v>
      </c>
      <c r="S227" s="38" t="str" cm="1">
        <f t="array" ref="S227">INDEX('Schools dataset'!$B$3:$B$187, MATCH(MIN(SQRT(('Schools dataset'!$J$3:$J$187-'Resale flat dataset (DV)'!O227)^2+('Schools dataset'!$K$3:$K$187-'Resale flat dataset (DV)'!P227)^2)), SQRT(('Schools dataset'!$J$3:$J$187-'Resale flat dataset (DV)'!O227)^2+('Schools dataset'!$K$3:$K$187-'Resale flat dataset (DV)'!P227)^2), 0))</f>
        <v>NAN CHIAU PRIMARY SCHOOL</v>
      </c>
      <c r="T227" s="39">
        <f>ACOS(COS(RADIANS(90-O227))*COS(RADIANS(90-_xlfn.XLOOKUP(Q227,'MRT station dataset'!$C$3:$C$179,'MRT station dataset'!$E$3:$E$179)))+SIN(RADIANS(90-O227))*SIN(RADIANS(90-_xlfn.XLOOKUP(Q227,'MRT station dataset'!$C$3:$C$179,'MRT station dataset'!$E$3:$E$179)))*COS(RADIANS(P227-_xlfn.XLOOKUP('Resale flat dataset (DV)'!Q227,'MRT station dataset'!$C$3:$C$179,'MRT station dataset'!$F$3:$F$179))))*6371*1000</f>
        <v>407.89694024214771</v>
      </c>
      <c r="U227" s="39">
        <f>ACOS(COS(RADIANS(90-O227))*COS(RADIANS(90-_xlfn.XLOOKUP(R227,'Mall Dataset'!$B$3:$B$157,'Mall Dataset'!$E$3:$E$157,,0)))+SIN(RADIANS(90-O227))*SIN(RADIANS(90-_xlfn.XLOOKUP(R227,'Mall Dataset'!$B$3:$B$157,'Mall Dataset'!$E$3:$E$157,,0)))*COS(RADIANS(P227-_xlfn.XLOOKUP(R227,'Mall Dataset'!$B$3:$B$157,'Mall Dataset'!$F$3:$F$157,,0))))*6371*1000</f>
        <v>490.9359261362074</v>
      </c>
      <c r="V227" s="39">
        <f>ACOS(COS(RADIANS(90-O227))*COS(RADIANS(90-_xlfn.XLOOKUP(S227,'Schools dataset'!$B$3:$B$187,'Schools dataset'!$J$3:$J$187,,0)))+SIN(RADIANS(90-O227))*SIN(RADIANS(90-_xlfn.XLOOKUP(S227,'Schools dataset'!$B$3:$B$187,'Schools dataset'!$J$3:$J$187,,0)))*COS(RADIANS(P227-_xlfn.XLOOKUP(S227,'Schools dataset'!$B$3:$B$187,'Schools dataset'!$K$3:$K$187,,0))))*6371*1000</f>
        <v>192.67073699388203</v>
      </c>
      <c r="W227" s="20">
        <f>_xlfn.XLOOKUP(T227,'HDB Recommender'!$P$10:$P$39,'HDB Recommender'!$Q$10:$Q$39,"&gt;30mins",1)</f>
        <v>6</v>
      </c>
      <c r="X227" s="20">
        <f>_xlfn.XLOOKUP(U227,'HDB Recommender'!$P$10:$P$39,'HDB Recommender'!$Q$10:$Q$39,"&gt;30mins",1)</f>
        <v>7</v>
      </c>
      <c r="Y227" s="20">
        <f>_xlfn.XLOOKUP(V227,'HDB Recommender'!$P$10:$P$39,'HDB Recommender'!$Q$10:$Q$39,"&gt;30mins",1)</f>
        <v>3</v>
      </c>
      <c r="Z227" s="39">
        <f t="shared" si="6"/>
        <v>5.333333333333333</v>
      </c>
      <c r="AA227" s="20" t="str">
        <f t="shared" si="7"/>
        <v>Within 1km</v>
      </c>
    </row>
    <row r="228" spans="2:27">
      <c r="B228" s="35" t="s">
        <v>317</v>
      </c>
      <c r="C228" s="35" t="s">
        <v>705</v>
      </c>
      <c r="D228" s="35" t="s">
        <v>20</v>
      </c>
      <c r="E228" s="35"/>
      <c r="F228" s="35" t="s">
        <v>715</v>
      </c>
      <c r="G228" s="35" t="s">
        <v>323</v>
      </c>
      <c r="H228" s="35">
        <v>90</v>
      </c>
      <c r="I228" s="35" t="s">
        <v>335</v>
      </c>
      <c r="J228" s="36">
        <v>2001</v>
      </c>
      <c r="K228" s="39">
        <v>76.8333333333333</v>
      </c>
      <c r="L228" s="37">
        <v>515000</v>
      </c>
      <c r="M228" s="35" t="s">
        <v>716</v>
      </c>
      <c r="N228" s="27">
        <v>541302</v>
      </c>
      <c r="O228" s="38">
        <v>1.38756341803929</v>
      </c>
      <c r="P228" s="38">
        <v>103.891211046862</v>
      </c>
      <c r="Q228" s="38" t="str" cm="1">
        <f t="array" ref="Q228">INDEX('MRT station dataset'!$C$3:$C$179, MATCH(MIN(SQRT(('MRT station dataset'!$E$3:$E$179-'Resale flat dataset (DV)'!O228)^2+('MRT station dataset'!$F$3:$F$179-'Resale flat dataset (DV)'!P228)^2)), SQRT(('MRT station dataset'!$E$3:$E$179-'Resale flat dataset (DV)'!O228)^2+('MRT station dataset'!$F$3:$F$179-'Resale flat dataset (DV)'!P228)^2), 0))</f>
        <v>RENJONG LRT STATION</v>
      </c>
      <c r="R228" s="38" t="str" cm="1">
        <f t="array" ref="R228">INDEX('Mall Dataset'!$B$3:$B$157, MATCH(MIN(SQRT(('Mall Dataset'!$E$3:$E$157-'Resale flat dataset (DV)'!O228)^2+('Mall Dataset'!$F$3:$F$157-'Resale flat dataset (DV)'!P228)^2)), SQRT(('Mall Dataset'!$E$3:$E$157-'Resale flat dataset (DV)'!O228)^2+('Mall Dataset'!$F$3:$F$157-'Resale flat dataset (DV)'!P228)^2), 0))</f>
        <v>Compass One</v>
      </c>
      <c r="S228" s="38" t="str" cm="1">
        <f t="array" ref="S228">INDEX('Schools dataset'!$B$3:$B$187, MATCH(MIN(SQRT(('Schools dataset'!$J$3:$J$187-'Resale flat dataset (DV)'!O228)^2+('Schools dataset'!$K$3:$K$187-'Resale flat dataset (DV)'!P228)^2)), SQRT(('Schools dataset'!$J$3:$J$187-'Resale flat dataset (DV)'!O228)^2+('Schools dataset'!$K$3:$K$187-'Resale flat dataset (DV)'!P228)^2), 0))</f>
        <v>PALM VIEW PRIMARY SCHOOL</v>
      </c>
      <c r="T228" s="39">
        <f>ACOS(COS(RADIANS(90-O228))*COS(RADIANS(90-_xlfn.XLOOKUP(Q228,'MRT station dataset'!$C$3:$C$179,'MRT station dataset'!$E$3:$E$179)))+SIN(RADIANS(90-O228))*SIN(RADIANS(90-_xlfn.XLOOKUP(Q228,'MRT station dataset'!$C$3:$C$179,'MRT station dataset'!$E$3:$E$179)))*COS(RADIANS(P228-_xlfn.XLOOKUP('Resale flat dataset (DV)'!Q228,'MRT station dataset'!$C$3:$C$179,'MRT station dataset'!$F$3:$F$179))))*6371*1000</f>
        <v>124.35860918291985</v>
      </c>
      <c r="U228" s="39">
        <f>ACOS(COS(RADIANS(90-O228))*COS(RADIANS(90-_xlfn.XLOOKUP(R228,'Mall Dataset'!$B$3:$B$157,'Mall Dataset'!$E$3:$E$157,,0)))+SIN(RADIANS(90-O228))*SIN(RADIANS(90-_xlfn.XLOOKUP(R228,'Mall Dataset'!$B$3:$B$157,'Mall Dataset'!$E$3:$E$157,,0)))*COS(RADIANS(P228-_xlfn.XLOOKUP(R228,'Mall Dataset'!$B$3:$B$157,'Mall Dataset'!$F$3:$F$157,,0))))*6371*1000</f>
        <v>658.25680062971492</v>
      </c>
      <c r="V228" s="39">
        <f>ACOS(COS(RADIANS(90-O228))*COS(RADIANS(90-_xlfn.XLOOKUP(S228,'Schools dataset'!$B$3:$B$187,'Schools dataset'!$J$3:$J$187,,0)))+SIN(RADIANS(90-O228))*SIN(RADIANS(90-_xlfn.XLOOKUP(S228,'Schools dataset'!$B$3:$B$187,'Schools dataset'!$J$3:$J$187,,0)))*COS(RADIANS(P228-_xlfn.XLOOKUP(S228,'Schools dataset'!$B$3:$B$187,'Schools dataset'!$K$3:$K$187,,0))))*6371*1000</f>
        <v>422.19642967606342</v>
      </c>
      <c r="W228" s="20">
        <f>_xlfn.XLOOKUP(T228,'HDB Recommender'!$P$10:$P$39,'HDB Recommender'!$Q$10:$Q$39,"&gt;30mins",1)</f>
        <v>2</v>
      </c>
      <c r="X228" s="20">
        <f>_xlfn.XLOOKUP(U228,'HDB Recommender'!$P$10:$P$39,'HDB Recommender'!$Q$10:$Q$39,"&gt;30mins",1)</f>
        <v>9</v>
      </c>
      <c r="Y228" s="20">
        <f>_xlfn.XLOOKUP(V228,'HDB Recommender'!$P$10:$P$39,'HDB Recommender'!$Q$10:$Q$39,"&gt;30mins",1)</f>
        <v>6</v>
      </c>
      <c r="Z228" s="39">
        <f t="shared" si="6"/>
        <v>5.666666666666667</v>
      </c>
      <c r="AA228" s="20" t="str">
        <f t="shared" si="7"/>
        <v>Within 1km</v>
      </c>
    </row>
    <row r="229" spans="2:27">
      <c r="B229" s="35" t="s">
        <v>317</v>
      </c>
      <c r="C229" s="35" t="s">
        <v>705</v>
      </c>
      <c r="D229" s="35" t="s">
        <v>20</v>
      </c>
      <c r="E229" s="35"/>
      <c r="F229" s="35" t="s">
        <v>715</v>
      </c>
      <c r="G229" s="35" t="s">
        <v>323</v>
      </c>
      <c r="H229" s="35">
        <v>90</v>
      </c>
      <c r="I229" s="35" t="s">
        <v>335</v>
      </c>
      <c r="J229" s="36">
        <v>2002</v>
      </c>
      <c r="K229" s="39">
        <v>77.3333333333333</v>
      </c>
      <c r="L229" s="37">
        <v>494000</v>
      </c>
      <c r="M229" s="35" t="s">
        <v>717</v>
      </c>
      <c r="N229" s="27">
        <v>543306</v>
      </c>
      <c r="O229" s="38">
        <v>1.38988769881462</v>
      </c>
      <c r="P229" s="38">
        <v>103.888114475259</v>
      </c>
      <c r="Q229" s="38" t="str" cm="1">
        <f t="array" ref="Q229">INDEX('MRT station dataset'!$C$3:$C$179, MATCH(MIN(SQRT(('MRT station dataset'!$E$3:$E$179-'Resale flat dataset (DV)'!O229)^2+('MRT station dataset'!$F$3:$F$179-'Resale flat dataset (DV)'!P229)^2)), SQRT(('MRT station dataset'!$E$3:$E$179-'Resale flat dataset (DV)'!O229)^2+('MRT station dataset'!$F$3:$F$179-'Resale flat dataset (DV)'!P229)^2), 0))</f>
        <v>TONGKANG LRT STATION</v>
      </c>
      <c r="R229" s="38" t="str" cm="1">
        <f t="array" ref="R229">INDEX('Mall Dataset'!$B$3:$B$157, MATCH(MIN(SQRT(('Mall Dataset'!$E$3:$E$157-'Resale flat dataset (DV)'!O229)^2+('Mall Dataset'!$F$3:$F$157-'Resale flat dataset (DV)'!P229)^2)), SQRT(('Mall Dataset'!$E$3:$E$157-'Resale flat dataset (DV)'!O229)^2+('Mall Dataset'!$F$3:$F$157-'Resale flat dataset (DV)'!P229)^2), 0))</f>
        <v>Compass One</v>
      </c>
      <c r="S229" s="38" t="str" cm="1">
        <f t="array" ref="S229">INDEX('Schools dataset'!$B$3:$B$187, MATCH(MIN(SQRT(('Schools dataset'!$J$3:$J$187-'Resale flat dataset (DV)'!O229)^2+('Schools dataset'!$K$3:$K$187-'Resale flat dataset (DV)'!P229)^2)), SQRT(('Schools dataset'!$J$3:$J$187-'Resale flat dataset (DV)'!O229)^2+('Schools dataset'!$K$3:$K$187-'Resale flat dataset (DV)'!P229)^2), 0))</f>
        <v>ANCHOR GREEN PRIMARY SCHOOL</v>
      </c>
      <c r="T229" s="39">
        <f>ACOS(COS(RADIANS(90-O229))*COS(RADIANS(90-_xlfn.XLOOKUP(Q229,'MRT station dataset'!$C$3:$C$179,'MRT station dataset'!$E$3:$E$179)))+SIN(RADIANS(90-O229))*SIN(RADIANS(90-_xlfn.XLOOKUP(Q229,'MRT station dataset'!$C$3:$C$179,'MRT station dataset'!$E$3:$E$179)))*COS(RADIANS(P229-_xlfn.XLOOKUP('Resale flat dataset (DV)'!Q229,'MRT station dataset'!$C$3:$C$179,'MRT station dataset'!$F$3:$F$179))))*6371*1000</f>
        <v>265.45179161221523</v>
      </c>
      <c r="U229" s="39">
        <f>ACOS(COS(RADIANS(90-O229))*COS(RADIANS(90-_xlfn.XLOOKUP(R229,'Mall Dataset'!$B$3:$B$157,'Mall Dataset'!$E$3:$E$157,,0)))+SIN(RADIANS(90-O229))*SIN(RADIANS(90-_xlfn.XLOOKUP(R229,'Mall Dataset'!$B$3:$B$157,'Mall Dataset'!$E$3:$E$157,,0)))*COS(RADIANS(P229-_xlfn.XLOOKUP(R229,'Mall Dataset'!$B$3:$B$157,'Mall Dataset'!$F$3:$F$157,,0))))*6371*1000</f>
        <v>809.87411477239448</v>
      </c>
      <c r="V229" s="39">
        <f>ACOS(COS(RADIANS(90-O229))*COS(RADIANS(90-_xlfn.XLOOKUP(S229,'Schools dataset'!$B$3:$B$187,'Schools dataset'!$J$3:$J$187,,0)))+SIN(RADIANS(90-O229))*SIN(RADIANS(90-_xlfn.XLOOKUP(S229,'Schools dataset'!$B$3:$B$187,'Schools dataset'!$J$3:$J$187,,0)))*COS(RADIANS(P229-_xlfn.XLOOKUP(S229,'Schools dataset'!$B$3:$B$187,'Schools dataset'!$K$3:$K$187,,0))))*6371*1000</f>
        <v>133.28300498988543</v>
      </c>
      <c r="W229" s="20">
        <f>_xlfn.XLOOKUP(T229,'HDB Recommender'!$P$10:$P$39,'HDB Recommender'!$Q$10:$Q$39,"&gt;30mins",1)</f>
        <v>4</v>
      </c>
      <c r="X229" s="20">
        <f>_xlfn.XLOOKUP(U229,'HDB Recommender'!$P$10:$P$39,'HDB Recommender'!$Q$10:$Q$39,"&gt;30mins",1)</f>
        <v>11</v>
      </c>
      <c r="Y229" s="20">
        <f>_xlfn.XLOOKUP(V229,'HDB Recommender'!$P$10:$P$39,'HDB Recommender'!$Q$10:$Q$39,"&gt;30mins",1)</f>
        <v>2</v>
      </c>
      <c r="Z229" s="39">
        <f t="shared" si="6"/>
        <v>5.666666666666667</v>
      </c>
      <c r="AA229" s="20" t="str">
        <f t="shared" si="7"/>
        <v>Within 1km</v>
      </c>
    </row>
    <row r="230" spans="2:27">
      <c r="B230" s="35" t="s">
        <v>317</v>
      </c>
      <c r="C230" s="35" t="s">
        <v>705</v>
      </c>
      <c r="D230" s="35" t="s">
        <v>20</v>
      </c>
      <c r="E230" s="35"/>
      <c r="F230" s="35" t="s">
        <v>718</v>
      </c>
      <c r="G230" s="35" t="s">
        <v>189</v>
      </c>
      <c r="H230" s="35">
        <v>90</v>
      </c>
      <c r="I230" s="35" t="s">
        <v>335</v>
      </c>
      <c r="J230" s="36">
        <v>2001</v>
      </c>
      <c r="K230" s="39">
        <v>77.1666666666666</v>
      </c>
      <c r="L230" s="37">
        <v>515000</v>
      </c>
      <c r="M230" s="35" t="s">
        <v>719</v>
      </c>
      <c r="N230" s="27">
        <v>541307</v>
      </c>
      <c r="O230" s="38">
        <v>1.3893975643621601</v>
      </c>
      <c r="P230" s="38">
        <v>103.888042664458</v>
      </c>
      <c r="Q230" s="38" t="str" cm="1">
        <f t="array" ref="Q230">INDEX('MRT station dataset'!$C$3:$C$179, MATCH(MIN(SQRT(('MRT station dataset'!$E$3:$E$179-'Resale flat dataset (DV)'!O230)^2+('MRT station dataset'!$F$3:$F$179-'Resale flat dataset (DV)'!P230)^2)), SQRT(('MRT station dataset'!$E$3:$E$179-'Resale flat dataset (DV)'!O230)^2+('MRT station dataset'!$F$3:$F$179-'Resale flat dataset (DV)'!P230)^2), 0))</f>
        <v>TONGKANG LRT STATION</v>
      </c>
      <c r="R230" s="38" t="str" cm="1">
        <f t="array" ref="R230">INDEX('Mall Dataset'!$B$3:$B$157, MATCH(MIN(SQRT(('Mall Dataset'!$E$3:$E$157-'Resale flat dataset (DV)'!O230)^2+('Mall Dataset'!$F$3:$F$157-'Resale flat dataset (DV)'!P230)^2)), SQRT(('Mall Dataset'!$E$3:$E$157-'Resale flat dataset (DV)'!O230)^2+('Mall Dataset'!$F$3:$F$157-'Resale flat dataset (DV)'!P230)^2), 0))</f>
        <v>Compass One</v>
      </c>
      <c r="S230" s="38" t="str" cm="1">
        <f t="array" ref="S230">INDEX('Schools dataset'!$B$3:$B$187, MATCH(MIN(SQRT(('Schools dataset'!$J$3:$J$187-'Resale flat dataset (DV)'!O230)^2+('Schools dataset'!$K$3:$K$187-'Resale flat dataset (DV)'!P230)^2)), SQRT(('Schools dataset'!$J$3:$J$187-'Resale flat dataset (DV)'!O230)^2+('Schools dataset'!$K$3:$K$187-'Resale flat dataset (DV)'!P230)^2), 0))</f>
        <v>ANCHOR GREEN PRIMARY SCHOOL</v>
      </c>
      <c r="T230" s="39">
        <f>ACOS(COS(RADIANS(90-O230))*COS(RADIANS(90-_xlfn.XLOOKUP(Q230,'MRT station dataset'!$C$3:$C$179,'MRT station dataset'!$E$3:$E$179)))+SIN(RADIANS(90-O230))*SIN(RADIANS(90-_xlfn.XLOOKUP(Q230,'MRT station dataset'!$C$3:$C$179,'MRT station dataset'!$E$3:$E$179)))*COS(RADIANS(P230-_xlfn.XLOOKUP('Resale flat dataset (DV)'!Q230,'MRT station dataset'!$C$3:$C$179,'MRT station dataset'!$F$3:$F$179))))*6371*1000</f>
        <v>249.53554807835988</v>
      </c>
      <c r="U230" s="39">
        <f>ACOS(COS(RADIANS(90-O230))*COS(RADIANS(90-_xlfn.XLOOKUP(R230,'Mall Dataset'!$B$3:$B$157,'Mall Dataset'!$E$3:$E$157,,0)))+SIN(RADIANS(90-O230))*SIN(RADIANS(90-_xlfn.XLOOKUP(R230,'Mall Dataset'!$B$3:$B$157,'Mall Dataset'!$E$3:$E$157,,0)))*COS(RADIANS(P230-_xlfn.XLOOKUP(R230,'Mall Dataset'!$B$3:$B$157,'Mall Dataset'!$F$3:$F$157,,0))))*6371*1000</f>
        <v>835.17743612508059</v>
      </c>
      <c r="V230" s="39">
        <f>ACOS(COS(RADIANS(90-O230))*COS(RADIANS(90-_xlfn.XLOOKUP(S230,'Schools dataset'!$B$3:$B$187,'Schools dataset'!$J$3:$J$187,,0)))+SIN(RADIANS(90-O230))*SIN(RADIANS(90-_xlfn.XLOOKUP(S230,'Schools dataset'!$B$3:$B$187,'Schools dataset'!$J$3:$J$187,,0)))*COS(RADIANS(P230-_xlfn.XLOOKUP(S230,'Schools dataset'!$B$3:$B$187,'Schools dataset'!$K$3:$K$187,,0))))*6371*1000</f>
        <v>164.23035524078068</v>
      </c>
      <c r="W230" s="20">
        <f>_xlfn.XLOOKUP(T230,'HDB Recommender'!$P$10:$P$39,'HDB Recommender'!$Q$10:$Q$39,"&gt;30mins",1)</f>
        <v>4</v>
      </c>
      <c r="X230" s="20">
        <f>_xlfn.XLOOKUP(U230,'HDB Recommender'!$P$10:$P$39,'HDB Recommender'!$Q$10:$Q$39,"&gt;30mins",1)</f>
        <v>12</v>
      </c>
      <c r="Y230" s="20">
        <f>_xlfn.XLOOKUP(V230,'HDB Recommender'!$P$10:$P$39,'HDB Recommender'!$Q$10:$Q$39,"&gt;30mins",1)</f>
        <v>3</v>
      </c>
      <c r="Z230" s="39">
        <f t="shared" si="6"/>
        <v>6.333333333333333</v>
      </c>
      <c r="AA230" s="20" t="str">
        <f t="shared" si="7"/>
        <v>Within 1km</v>
      </c>
    </row>
    <row r="231" spans="2:27">
      <c r="B231" s="35" t="s">
        <v>317</v>
      </c>
      <c r="C231" s="35" t="s">
        <v>705</v>
      </c>
      <c r="D231" s="35" t="s">
        <v>20</v>
      </c>
      <c r="E231" s="35"/>
      <c r="F231" s="35" t="s">
        <v>720</v>
      </c>
      <c r="G231" s="35" t="s">
        <v>323</v>
      </c>
      <c r="H231" s="35">
        <v>96</v>
      </c>
      <c r="I231" s="35" t="s">
        <v>389</v>
      </c>
      <c r="J231" s="36">
        <v>2017</v>
      </c>
      <c r="K231" s="39">
        <v>93.1666666666666</v>
      </c>
      <c r="L231" s="37">
        <v>638000</v>
      </c>
      <c r="M231" s="35" t="s">
        <v>721</v>
      </c>
      <c r="N231" s="27">
        <v>541287</v>
      </c>
      <c r="O231" s="38">
        <v>1.39843751923085</v>
      </c>
      <c r="P231" s="38">
        <v>103.895957792826</v>
      </c>
      <c r="Q231" s="38" t="str" cm="1">
        <f t="array" ref="Q231">INDEX('MRT station dataset'!$C$3:$C$179, MATCH(MIN(SQRT(('MRT station dataset'!$E$3:$E$179-'Resale flat dataset (DV)'!O231)^2+('MRT station dataset'!$F$3:$F$179-'Resale flat dataset (DV)'!P231)^2)), SQRT(('MRT station dataset'!$E$3:$E$179-'Resale flat dataset (DV)'!O231)^2+('MRT station dataset'!$F$3:$F$179-'Resale flat dataset (DV)'!P231)^2), 0))</f>
        <v>CHENG LIM LRT STATION</v>
      </c>
      <c r="R231" s="38" t="str" cm="1">
        <f t="array" ref="R231">INDEX('Mall Dataset'!$B$3:$B$157, MATCH(MIN(SQRT(('Mall Dataset'!$E$3:$E$157-'Resale flat dataset (DV)'!O231)^2+('Mall Dataset'!$F$3:$F$157-'Resale flat dataset (DV)'!P231)^2)), SQRT(('Mall Dataset'!$E$3:$E$157-'Resale flat dataset (DV)'!O231)^2+('Mall Dataset'!$F$3:$F$157-'Resale flat dataset (DV)'!P231)^2), 0))</f>
        <v>Compass One</v>
      </c>
      <c r="S231" s="38" t="str" cm="1">
        <f t="array" ref="S231">INDEX('Schools dataset'!$B$3:$B$187, MATCH(MIN(SQRT(('Schools dataset'!$J$3:$J$187-'Resale flat dataset (DV)'!O231)^2+('Schools dataset'!$K$3:$K$187-'Resale flat dataset (DV)'!P231)^2)), SQRT(('Schools dataset'!$J$3:$J$187-'Resale flat dataset (DV)'!O231)^2+('Schools dataset'!$K$3:$K$187-'Resale flat dataset (DV)'!P231)^2), 0))</f>
        <v>PUNGGOL GREEN PRIMARY SCHOOL</v>
      </c>
      <c r="T231" s="39">
        <f>ACOS(COS(RADIANS(90-O231))*COS(RADIANS(90-_xlfn.XLOOKUP(Q231,'MRT station dataset'!$C$3:$C$179,'MRT station dataset'!$E$3:$E$179)))+SIN(RADIANS(90-O231))*SIN(RADIANS(90-_xlfn.XLOOKUP(Q231,'MRT station dataset'!$C$3:$C$179,'MRT station dataset'!$E$3:$E$179)))*COS(RADIANS(P231-_xlfn.XLOOKUP('Resale flat dataset (DV)'!Q231,'MRT station dataset'!$C$3:$C$179,'MRT station dataset'!$F$3:$F$179))))*6371*1000</f>
        <v>337.67922332839714</v>
      </c>
      <c r="U231" s="39">
        <f>ACOS(COS(RADIANS(90-O231))*COS(RADIANS(90-_xlfn.XLOOKUP(R231,'Mall Dataset'!$B$3:$B$157,'Mall Dataset'!$E$3:$E$157,,0)))+SIN(RADIANS(90-O231))*SIN(RADIANS(90-_xlfn.XLOOKUP(R231,'Mall Dataset'!$B$3:$B$157,'Mall Dataset'!$E$3:$E$157,,0)))*COS(RADIANS(P231-_xlfn.XLOOKUP(R231,'Mall Dataset'!$B$3:$B$157,'Mall Dataset'!$F$3:$F$157,,0))))*6371*1000</f>
        <v>716.72891949871791</v>
      </c>
      <c r="V231" s="39">
        <f>ACOS(COS(RADIANS(90-O231))*COS(RADIANS(90-_xlfn.XLOOKUP(S231,'Schools dataset'!$B$3:$B$187,'Schools dataset'!$J$3:$J$187,,0)))+SIN(RADIANS(90-O231))*SIN(RADIANS(90-_xlfn.XLOOKUP(S231,'Schools dataset'!$B$3:$B$187,'Schools dataset'!$J$3:$J$187,,0)))*COS(RADIANS(P231-_xlfn.XLOOKUP(S231,'Schools dataset'!$B$3:$B$187,'Schools dataset'!$K$3:$K$187,,0))))*6371*1000</f>
        <v>479.41715450380042</v>
      </c>
      <c r="W231" s="20">
        <f>_xlfn.XLOOKUP(T231,'HDB Recommender'!$P$10:$P$39,'HDB Recommender'!$Q$10:$Q$39,"&gt;30mins",1)</f>
        <v>5</v>
      </c>
      <c r="X231" s="20">
        <f>_xlfn.XLOOKUP(U231,'HDB Recommender'!$P$10:$P$39,'HDB Recommender'!$Q$10:$Q$39,"&gt;30mins",1)</f>
        <v>10</v>
      </c>
      <c r="Y231" s="20">
        <f>_xlfn.XLOOKUP(V231,'HDB Recommender'!$P$10:$P$39,'HDB Recommender'!$Q$10:$Q$39,"&gt;30mins",1)</f>
        <v>7</v>
      </c>
      <c r="Z231" s="39">
        <f t="shared" si="6"/>
        <v>7.333333333333333</v>
      </c>
      <c r="AA231" s="20" t="str">
        <f t="shared" si="7"/>
        <v>Within 1km</v>
      </c>
    </row>
    <row r="232" spans="2:27">
      <c r="B232" s="35" t="s">
        <v>317</v>
      </c>
      <c r="C232" s="35" t="s">
        <v>705</v>
      </c>
      <c r="D232" s="35" t="s">
        <v>20</v>
      </c>
      <c r="E232" s="35"/>
      <c r="F232" s="35" t="s">
        <v>722</v>
      </c>
      <c r="G232" s="35" t="s">
        <v>349</v>
      </c>
      <c r="H232" s="35">
        <v>92</v>
      </c>
      <c r="I232" s="35" t="s">
        <v>389</v>
      </c>
      <c r="J232" s="36">
        <v>2017</v>
      </c>
      <c r="K232" s="39">
        <v>92.6666666666666</v>
      </c>
      <c r="L232" s="37">
        <v>618000</v>
      </c>
      <c r="M232" s="35" t="s">
        <v>723</v>
      </c>
      <c r="N232" s="27">
        <v>542215</v>
      </c>
      <c r="O232" s="38">
        <v>1.39000944345961</v>
      </c>
      <c r="P232" s="38">
        <v>103.893454183017</v>
      </c>
      <c r="Q232" s="38" t="str" cm="1">
        <f t="array" ref="Q232">INDEX('MRT station dataset'!$C$3:$C$179, MATCH(MIN(SQRT(('MRT station dataset'!$E$3:$E$179-'Resale flat dataset (DV)'!O232)^2+('MRT station dataset'!$F$3:$F$179-'Resale flat dataset (DV)'!P232)^2)), SQRT(('MRT station dataset'!$E$3:$E$179-'Resale flat dataset (DV)'!O232)^2+('MRT station dataset'!$F$3:$F$179-'Resale flat dataset (DV)'!P232)^2), 0))</f>
        <v>SENGKANG LRT STATION</v>
      </c>
      <c r="R232" s="38" t="str" cm="1">
        <f t="array" ref="R232">INDEX('Mall Dataset'!$B$3:$B$157, MATCH(MIN(SQRT(('Mall Dataset'!$E$3:$E$157-'Resale flat dataset (DV)'!O232)^2+('Mall Dataset'!$F$3:$F$157-'Resale flat dataset (DV)'!P232)^2)), SQRT(('Mall Dataset'!$E$3:$E$157-'Resale flat dataset (DV)'!O232)^2+('Mall Dataset'!$F$3:$F$157-'Resale flat dataset (DV)'!P232)^2), 0))</f>
        <v>Compass One</v>
      </c>
      <c r="S232" s="38" t="str" cm="1">
        <f t="array" ref="S232">INDEX('Schools dataset'!$B$3:$B$187, MATCH(MIN(SQRT(('Schools dataset'!$J$3:$J$187-'Resale flat dataset (DV)'!O232)^2+('Schools dataset'!$K$3:$K$187-'Resale flat dataset (DV)'!P232)^2)), SQRT(('Schools dataset'!$J$3:$J$187-'Resale flat dataset (DV)'!O232)^2+('Schools dataset'!$K$3:$K$187-'Resale flat dataset (DV)'!P232)^2), 0))</f>
        <v>NAN CHIAU PRIMARY SCHOOL</v>
      </c>
      <c r="T232" s="39">
        <f>ACOS(COS(RADIANS(90-O232))*COS(RADIANS(90-_xlfn.XLOOKUP(Q232,'MRT station dataset'!$C$3:$C$179,'MRT station dataset'!$E$3:$E$179)))+SIN(RADIANS(90-O232))*SIN(RADIANS(90-_xlfn.XLOOKUP(Q232,'MRT station dataset'!$C$3:$C$179,'MRT station dataset'!$E$3:$E$179)))*COS(RADIANS(P232-_xlfn.XLOOKUP('Resale flat dataset (DV)'!Q232,'MRT station dataset'!$C$3:$C$179,'MRT station dataset'!$F$3:$F$179))))*6371*1000</f>
        <v>279.40351725916315</v>
      </c>
      <c r="U232" s="39">
        <f>ACOS(COS(RADIANS(90-O232))*COS(RADIANS(90-_xlfn.XLOOKUP(R232,'Mall Dataset'!$B$3:$B$157,'Mall Dataset'!$E$3:$E$157,,0)))+SIN(RADIANS(90-O232))*SIN(RADIANS(90-_xlfn.XLOOKUP(R232,'Mall Dataset'!$B$3:$B$157,'Mall Dataset'!$E$3:$E$157,,0)))*COS(RADIANS(P232-_xlfn.XLOOKUP(R232,'Mall Dataset'!$B$3:$B$157,'Mall Dataset'!$F$3:$F$157,,0))))*6371*1000</f>
        <v>289.70034670576928</v>
      </c>
      <c r="V232" s="39">
        <f>ACOS(COS(RADIANS(90-O232))*COS(RADIANS(90-_xlfn.XLOOKUP(S232,'Schools dataset'!$B$3:$B$187,'Schools dataset'!$J$3:$J$187,,0)))+SIN(RADIANS(90-O232))*SIN(RADIANS(90-_xlfn.XLOOKUP(S232,'Schools dataset'!$B$3:$B$187,'Schools dataset'!$J$3:$J$187,,0)))*COS(RADIANS(P232-_xlfn.XLOOKUP(S232,'Schools dataset'!$B$3:$B$187,'Schools dataset'!$K$3:$K$187,,0))))*6371*1000</f>
        <v>362.31597216575341</v>
      </c>
      <c r="W232" s="20">
        <f>_xlfn.XLOOKUP(T232,'HDB Recommender'!$P$10:$P$39,'HDB Recommender'!$Q$10:$Q$39,"&gt;30mins",1)</f>
        <v>4</v>
      </c>
      <c r="X232" s="20">
        <f>_xlfn.XLOOKUP(U232,'HDB Recommender'!$P$10:$P$39,'HDB Recommender'!$Q$10:$Q$39,"&gt;30mins",1)</f>
        <v>4</v>
      </c>
      <c r="Y232" s="20">
        <f>_xlfn.XLOOKUP(V232,'HDB Recommender'!$P$10:$P$39,'HDB Recommender'!$Q$10:$Q$39,"&gt;30mins",1)</f>
        <v>5</v>
      </c>
      <c r="Z232" s="39">
        <f t="shared" si="6"/>
        <v>4.333333333333333</v>
      </c>
      <c r="AA232" s="20" t="str">
        <f t="shared" si="7"/>
        <v>Within 1km</v>
      </c>
    </row>
    <row r="233" spans="2:27">
      <c r="B233" s="35" t="s">
        <v>317</v>
      </c>
      <c r="C233" s="35" t="s">
        <v>705</v>
      </c>
      <c r="D233" s="35" t="s">
        <v>20</v>
      </c>
      <c r="E233" s="35"/>
      <c r="F233" s="35" t="s">
        <v>722</v>
      </c>
      <c r="G233" s="35" t="s">
        <v>346</v>
      </c>
      <c r="H233" s="35">
        <v>92</v>
      </c>
      <c r="I233" s="35" t="s">
        <v>389</v>
      </c>
      <c r="J233" s="36">
        <v>2017</v>
      </c>
      <c r="K233" s="39">
        <v>92.75</v>
      </c>
      <c r="L233" s="37">
        <v>793000</v>
      </c>
      <c r="M233" s="35" t="s">
        <v>724</v>
      </c>
      <c r="N233" s="27">
        <v>543217</v>
      </c>
      <c r="O233" s="38">
        <v>1.3898359900692601</v>
      </c>
      <c r="P233" s="38">
        <v>103.894154149578</v>
      </c>
      <c r="Q233" s="38" t="str" cm="1">
        <f t="array" ref="Q233">INDEX('MRT station dataset'!$C$3:$C$179, MATCH(MIN(SQRT(('MRT station dataset'!$E$3:$E$179-'Resale flat dataset (DV)'!O233)^2+('MRT station dataset'!$F$3:$F$179-'Resale flat dataset (DV)'!P233)^2)), SQRT(('MRT station dataset'!$E$3:$E$179-'Resale flat dataset (DV)'!O233)^2+('MRT station dataset'!$F$3:$F$179-'Resale flat dataset (DV)'!P233)^2), 0))</f>
        <v>SENGKANG LRT STATION</v>
      </c>
      <c r="R233" s="38" t="str" cm="1">
        <f t="array" ref="R233">INDEX('Mall Dataset'!$B$3:$B$157, MATCH(MIN(SQRT(('Mall Dataset'!$E$3:$E$157-'Resale flat dataset (DV)'!O233)^2+('Mall Dataset'!$F$3:$F$157-'Resale flat dataset (DV)'!P233)^2)), SQRT(('Mall Dataset'!$E$3:$E$157-'Resale flat dataset (DV)'!O233)^2+('Mall Dataset'!$F$3:$F$157-'Resale flat dataset (DV)'!P233)^2), 0))</f>
        <v>Compass One</v>
      </c>
      <c r="S233" s="38" t="str" cm="1">
        <f t="array" ref="S233">INDEX('Schools dataset'!$B$3:$B$187, MATCH(MIN(SQRT(('Schools dataset'!$J$3:$J$187-'Resale flat dataset (DV)'!O233)^2+('Schools dataset'!$K$3:$K$187-'Resale flat dataset (DV)'!P233)^2)), SQRT(('Schools dataset'!$J$3:$J$187-'Resale flat dataset (DV)'!O233)^2+('Schools dataset'!$K$3:$K$187-'Resale flat dataset (DV)'!P233)^2), 0))</f>
        <v>NAN CHIAU PRIMARY SCHOOL</v>
      </c>
      <c r="T233" s="39">
        <f>ACOS(COS(RADIANS(90-O233))*COS(RADIANS(90-_xlfn.XLOOKUP(Q233,'MRT station dataset'!$C$3:$C$179,'MRT station dataset'!$E$3:$E$179)))+SIN(RADIANS(90-O233))*SIN(RADIANS(90-_xlfn.XLOOKUP(Q233,'MRT station dataset'!$C$3:$C$179,'MRT station dataset'!$E$3:$E$179)))*COS(RADIANS(P233-_xlfn.XLOOKUP('Resale flat dataset (DV)'!Q233,'MRT station dataset'!$C$3:$C$179,'MRT station dataset'!$F$3:$F$179))))*6371*1000</f>
        <v>240.11308370871109</v>
      </c>
      <c r="U233" s="39">
        <f>ACOS(COS(RADIANS(90-O233))*COS(RADIANS(90-_xlfn.XLOOKUP(R233,'Mall Dataset'!$B$3:$B$157,'Mall Dataset'!$E$3:$E$157,,0)))+SIN(RADIANS(90-O233))*SIN(RADIANS(90-_xlfn.XLOOKUP(R233,'Mall Dataset'!$B$3:$B$157,'Mall Dataset'!$E$3:$E$157,,0)))*COS(RADIANS(P233-_xlfn.XLOOKUP(R233,'Mall Dataset'!$B$3:$B$157,'Mall Dataset'!$F$3:$F$157,,0))))*6371*1000</f>
        <v>266.75300060223293</v>
      </c>
      <c r="V233" s="39">
        <f>ACOS(COS(RADIANS(90-O233))*COS(RADIANS(90-_xlfn.XLOOKUP(S233,'Schools dataset'!$B$3:$B$187,'Schools dataset'!$J$3:$J$187,,0)))+SIN(RADIANS(90-O233))*SIN(RADIANS(90-_xlfn.XLOOKUP(S233,'Schools dataset'!$B$3:$B$187,'Schools dataset'!$J$3:$J$187,,0)))*COS(RADIANS(P233-_xlfn.XLOOKUP(S233,'Schools dataset'!$B$3:$B$187,'Schools dataset'!$K$3:$K$187,,0))))*6371*1000</f>
        <v>436.19643368308459</v>
      </c>
      <c r="W233" s="20">
        <f>_xlfn.XLOOKUP(T233,'HDB Recommender'!$P$10:$P$39,'HDB Recommender'!$Q$10:$Q$39,"&gt;30mins",1)</f>
        <v>4</v>
      </c>
      <c r="X233" s="20">
        <f>_xlfn.XLOOKUP(U233,'HDB Recommender'!$P$10:$P$39,'HDB Recommender'!$Q$10:$Q$39,"&gt;30mins",1)</f>
        <v>4</v>
      </c>
      <c r="Y233" s="20">
        <f>_xlfn.XLOOKUP(V233,'HDB Recommender'!$P$10:$P$39,'HDB Recommender'!$Q$10:$Q$39,"&gt;30mins",1)</f>
        <v>6</v>
      </c>
      <c r="Z233" s="39">
        <f t="shared" si="6"/>
        <v>4.666666666666667</v>
      </c>
      <c r="AA233" s="20" t="str">
        <f t="shared" si="7"/>
        <v>Within 1km</v>
      </c>
    </row>
    <row r="234" spans="2:27">
      <c r="B234" s="35" t="s">
        <v>317</v>
      </c>
      <c r="C234" s="35" t="s">
        <v>705</v>
      </c>
      <c r="D234" s="35" t="s">
        <v>20</v>
      </c>
      <c r="E234" s="35"/>
      <c r="F234" s="35" t="s">
        <v>725</v>
      </c>
      <c r="G234" s="35" t="s">
        <v>323</v>
      </c>
      <c r="H234" s="35">
        <v>85</v>
      </c>
      <c r="I234" s="35" t="s">
        <v>713</v>
      </c>
      <c r="J234" s="36">
        <v>2001</v>
      </c>
      <c r="K234" s="39">
        <v>76.5</v>
      </c>
      <c r="L234" s="37">
        <v>610000</v>
      </c>
      <c r="M234" s="35" t="s">
        <v>726</v>
      </c>
      <c r="N234" s="27">
        <v>542257</v>
      </c>
      <c r="O234" s="38">
        <v>1.39259785614922</v>
      </c>
      <c r="P234" s="38">
        <v>103.89698038747299</v>
      </c>
      <c r="Q234" s="38" t="str" cm="1">
        <f t="array" ref="Q234">INDEX('MRT station dataset'!$C$3:$C$179, MATCH(MIN(SQRT(('MRT station dataset'!$E$3:$E$179-'Resale flat dataset (DV)'!O234)^2+('MRT station dataset'!$F$3:$F$179-'Resale flat dataset (DV)'!P234)^2)), SQRT(('MRT station dataset'!$E$3:$E$179-'Resale flat dataset (DV)'!O234)^2+('MRT station dataset'!$F$3:$F$179-'Resale flat dataset (DV)'!P234)^2), 0))</f>
        <v>SENGKANG MRT STATION</v>
      </c>
      <c r="R234" s="38" t="str" cm="1">
        <f t="array" ref="R234">INDEX('Mall Dataset'!$B$3:$B$157, MATCH(MIN(SQRT(('Mall Dataset'!$E$3:$E$157-'Resale flat dataset (DV)'!O234)^2+('Mall Dataset'!$F$3:$F$157-'Resale flat dataset (DV)'!P234)^2)), SQRT(('Mall Dataset'!$E$3:$E$157-'Resale flat dataset (DV)'!O234)^2+('Mall Dataset'!$F$3:$F$157-'Resale flat dataset (DV)'!P234)^2), 0))</f>
        <v>Compass One</v>
      </c>
      <c r="S234" s="38" t="str" cm="1">
        <f t="array" ref="S234">INDEX('Schools dataset'!$B$3:$B$187, MATCH(MIN(SQRT(('Schools dataset'!$J$3:$J$187-'Resale flat dataset (DV)'!O234)^2+('Schools dataset'!$K$3:$K$187-'Resale flat dataset (DV)'!P234)^2)), SQRT(('Schools dataset'!$J$3:$J$187-'Resale flat dataset (DV)'!O234)^2+('Schools dataset'!$K$3:$K$187-'Resale flat dataset (DV)'!P234)^2), 0))</f>
        <v>COMPASSVALE PRIMARY SCHOOL</v>
      </c>
      <c r="T234" s="39">
        <f>ACOS(COS(RADIANS(90-O234))*COS(RADIANS(90-_xlfn.XLOOKUP(Q234,'MRT station dataset'!$C$3:$C$179,'MRT station dataset'!$E$3:$E$179)))+SIN(RADIANS(90-O234))*SIN(RADIANS(90-_xlfn.XLOOKUP(Q234,'MRT station dataset'!$C$3:$C$179,'MRT station dataset'!$E$3:$E$179)))*COS(RADIANS(P234-_xlfn.XLOOKUP('Resale flat dataset (DV)'!Q234,'MRT station dataset'!$C$3:$C$179,'MRT station dataset'!$F$3:$F$179))))*6371*1000</f>
        <v>192.47962511524653</v>
      </c>
      <c r="U234" s="39">
        <f>ACOS(COS(RADIANS(90-O234))*COS(RADIANS(90-_xlfn.XLOOKUP(R234,'Mall Dataset'!$B$3:$B$157,'Mall Dataset'!$E$3:$E$157,,0)))+SIN(RADIANS(90-O234))*SIN(RADIANS(90-_xlfn.XLOOKUP(R234,'Mall Dataset'!$B$3:$B$157,'Mall Dataset'!$E$3:$E$157,,0)))*COS(RADIANS(P234-_xlfn.XLOOKUP(R234,'Mall Dataset'!$B$3:$B$157,'Mall Dataset'!$F$3:$F$157,,0))))*6371*1000</f>
        <v>220.77339791377292</v>
      </c>
      <c r="V234" s="39">
        <f>ACOS(COS(RADIANS(90-O234))*COS(RADIANS(90-_xlfn.XLOOKUP(S234,'Schools dataset'!$B$3:$B$187,'Schools dataset'!$J$3:$J$187,,0)))+SIN(RADIANS(90-O234))*SIN(RADIANS(90-_xlfn.XLOOKUP(S234,'Schools dataset'!$B$3:$B$187,'Schools dataset'!$J$3:$J$187,,0)))*COS(RADIANS(P234-_xlfn.XLOOKUP(S234,'Schools dataset'!$B$3:$B$187,'Schools dataset'!$K$3:$K$187,,0))))*6371*1000</f>
        <v>225.27852159119522</v>
      </c>
      <c r="W234" s="20">
        <f>_xlfn.XLOOKUP(T234,'HDB Recommender'!$P$10:$P$39,'HDB Recommender'!$Q$10:$Q$39,"&gt;30mins",1)</f>
        <v>3</v>
      </c>
      <c r="X234" s="20">
        <f>_xlfn.XLOOKUP(U234,'HDB Recommender'!$P$10:$P$39,'HDB Recommender'!$Q$10:$Q$39,"&gt;30mins",1)</f>
        <v>3</v>
      </c>
      <c r="Y234" s="20">
        <f>_xlfn.XLOOKUP(V234,'HDB Recommender'!$P$10:$P$39,'HDB Recommender'!$Q$10:$Q$39,"&gt;30mins",1)</f>
        <v>4</v>
      </c>
      <c r="Z234" s="39">
        <f t="shared" si="6"/>
        <v>3.3333333333333335</v>
      </c>
      <c r="AA234" s="20" t="str">
        <f t="shared" si="7"/>
        <v>Within 1km</v>
      </c>
    </row>
    <row r="235" spans="2:27">
      <c r="B235" s="35" t="s">
        <v>317</v>
      </c>
      <c r="C235" s="35" t="s">
        <v>705</v>
      </c>
      <c r="D235" s="35" t="s">
        <v>20</v>
      </c>
      <c r="E235" s="35"/>
      <c r="F235" s="35" t="s">
        <v>708</v>
      </c>
      <c r="G235" s="35" t="s">
        <v>184</v>
      </c>
      <c r="H235" s="35">
        <v>93</v>
      </c>
      <c r="I235" s="35" t="s">
        <v>335</v>
      </c>
      <c r="J235" s="36">
        <v>2016</v>
      </c>
      <c r="K235" s="39">
        <v>92</v>
      </c>
      <c r="L235" s="37">
        <v>588000</v>
      </c>
      <c r="M235" s="35" t="s">
        <v>727</v>
      </c>
      <c r="N235" s="27">
        <v>791470</v>
      </c>
      <c r="O235" s="38">
        <v>1.39647847695923</v>
      </c>
      <c r="P235" s="38">
        <v>103.87949391489499</v>
      </c>
      <c r="Q235" s="38" t="str" cm="1">
        <f t="array" ref="Q235">INDEX('MRT station dataset'!$C$3:$C$179, MATCH(MIN(SQRT(('MRT station dataset'!$E$3:$E$179-'Resale flat dataset (DV)'!O235)^2+('MRT station dataset'!$F$3:$F$179-'Resale flat dataset (DV)'!P235)^2)), SQRT(('MRT station dataset'!$E$3:$E$179-'Resale flat dataset (DV)'!O235)^2+('MRT station dataset'!$F$3:$F$179-'Resale flat dataset (DV)'!P235)^2), 0))</f>
        <v>KUPANG LRT STATION</v>
      </c>
      <c r="R235" s="38" t="str" cm="1">
        <f t="array" ref="R235">INDEX('Mall Dataset'!$B$3:$B$157, MATCH(MIN(SQRT(('Mall Dataset'!$E$3:$E$157-'Resale flat dataset (DV)'!O235)^2+('Mall Dataset'!$F$3:$F$157-'Resale flat dataset (DV)'!P235)^2)), SQRT(('Mall Dataset'!$E$3:$E$157-'Resale flat dataset (DV)'!O235)^2+('Mall Dataset'!$F$3:$F$157-'Resale flat dataset (DV)'!P235)^2), 0))</f>
        <v>The Seletar Mall</v>
      </c>
      <c r="S235" s="38" t="str" cm="1">
        <f t="array" ref="S235">INDEX('Schools dataset'!$B$3:$B$187, MATCH(MIN(SQRT(('Schools dataset'!$J$3:$J$187-'Resale flat dataset (DV)'!O235)^2+('Schools dataset'!$K$3:$K$187-'Resale flat dataset (DV)'!P235)^2)), SQRT(('Schools dataset'!$J$3:$J$187-'Resale flat dataset (DV)'!O235)^2+('Schools dataset'!$K$3:$K$187-'Resale flat dataset (DV)'!P235)^2), 0))</f>
        <v>FERN GREEN PRIMARY SCHOOL</v>
      </c>
      <c r="T235" s="39">
        <f>ACOS(COS(RADIANS(90-O235))*COS(RADIANS(90-_xlfn.XLOOKUP(Q235,'MRT station dataset'!$C$3:$C$179,'MRT station dataset'!$E$3:$E$179)))+SIN(RADIANS(90-O235))*SIN(RADIANS(90-_xlfn.XLOOKUP(Q235,'MRT station dataset'!$C$3:$C$179,'MRT station dataset'!$E$3:$E$179)))*COS(RADIANS(P235-_xlfn.XLOOKUP('Resale flat dataset (DV)'!Q235,'MRT station dataset'!$C$3:$C$179,'MRT station dataset'!$F$3:$F$179))))*6371*1000</f>
        <v>277.40061578033794</v>
      </c>
      <c r="U235" s="39">
        <f>ACOS(COS(RADIANS(90-O235))*COS(RADIANS(90-_xlfn.XLOOKUP(R235,'Mall Dataset'!$B$3:$B$157,'Mall Dataset'!$E$3:$E$157,,0)))+SIN(RADIANS(90-O235))*SIN(RADIANS(90-_xlfn.XLOOKUP(R235,'Mall Dataset'!$B$3:$B$157,'Mall Dataset'!$E$3:$E$157,,0)))*COS(RADIANS(P235-_xlfn.XLOOKUP(R235,'Mall Dataset'!$B$3:$B$157,'Mall Dataset'!$F$3:$F$157,,0))))*6371*1000</f>
        <v>671.07549566130319</v>
      </c>
      <c r="V235" s="39">
        <f>ACOS(COS(RADIANS(90-O235))*COS(RADIANS(90-_xlfn.XLOOKUP(S235,'Schools dataset'!$B$3:$B$187,'Schools dataset'!$J$3:$J$187,,0)))+SIN(RADIANS(90-O235))*SIN(RADIANS(90-_xlfn.XLOOKUP(S235,'Schools dataset'!$B$3:$B$187,'Schools dataset'!$J$3:$J$187,,0)))*COS(RADIANS(P235-_xlfn.XLOOKUP(S235,'Schools dataset'!$B$3:$B$187,'Schools dataset'!$K$3:$K$187,,0))))*6371*1000</f>
        <v>117.76049274034395</v>
      </c>
      <c r="W235" s="20">
        <f>_xlfn.XLOOKUP(T235,'HDB Recommender'!$P$10:$P$39,'HDB Recommender'!$Q$10:$Q$39,"&gt;30mins",1)</f>
        <v>4</v>
      </c>
      <c r="X235" s="20">
        <f>_xlfn.XLOOKUP(U235,'HDB Recommender'!$P$10:$P$39,'HDB Recommender'!$Q$10:$Q$39,"&gt;30mins",1)</f>
        <v>9</v>
      </c>
      <c r="Y235" s="20">
        <f>_xlfn.XLOOKUP(V235,'HDB Recommender'!$P$10:$P$39,'HDB Recommender'!$Q$10:$Q$39,"&gt;30mins",1)</f>
        <v>2</v>
      </c>
      <c r="Z235" s="39">
        <f t="shared" si="6"/>
        <v>5</v>
      </c>
      <c r="AA235" s="20" t="str">
        <f t="shared" si="7"/>
        <v>Within 1km</v>
      </c>
    </row>
    <row r="236" spans="2:27">
      <c r="B236" s="35" t="s">
        <v>317</v>
      </c>
      <c r="C236" s="35" t="s">
        <v>705</v>
      </c>
      <c r="D236" s="35" t="s">
        <v>20</v>
      </c>
      <c r="E236" s="35"/>
      <c r="F236" s="35" t="s">
        <v>728</v>
      </c>
      <c r="G236" s="35" t="s">
        <v>323</v>
      </c>
      <c r="H236" s="35">
        <v>93</v>
      </c>
      <c r="I236" s="35" t="s">
        <v>389</v>
      </c>
      <c r="J236" s="36">
        <v>2010</v>
      </c>
      <c r="K236" s="39">
        <v>85.6666666666666</v>
      </c>
      <c r="L236" s="37">
        <v>720000</v>
      </c>
      <c r="M236" s="35" t="s">
        <v>729</v>
      </c>
      <c r="N236" s="27">
        <v>543271</v>
      </c>
      <c r="O236" s="38">
        <v>1.38501243481986</v>
      </c>
      <c r="P236" s="38">
        <v>103.89441489532</v>
      </c>
      <c r="Q236" s="38" t="str" cm="1">
        <f t="array" ref="Q236">INDEX('MRT station dataset'!$C$3:$C$179, MATCH(MIN(SQRT(('MRT station dataset'!$E$3:$E$179-'Resale flat dataset (DV)'!O236)^2+('MRT station dataset'!$F$3:$F$179-'Resale flat dataset (DV)'!P236)^2)), SQRT(('MRT station dataset'!$E$3:$E$179-'Resale flat dataset (DV)'!O236)^2+('MRT station dataset'!$F$3:$F$179-'Resale flat dataset (DV)'!P236)^2), 0))</f>
        <v>BUANGKOK MRT STATION</v>
      </c>
      <c r="R236" s="38" t="str" cm="1">
        <f t="array" ref="R236">INDEX('Mall Dataset'!$B$3:$B$157, MATCH(MIN(SQRT(('Mall Dataset'!$E$3:$E$157-'Resale flat dataset (DV)'!O236)^2+('Mall Dataset'!$F$3:$F$157-'Resale flat dataset (DV)'!P236)^2)), SQRT(('Mall Dataset'!$E$3:$E$157-'Resale flat dataset (DV)'!O236)^2+('Mall Dataset'!$F$3:$F$157-'Resale flat dataset (DV)'!P236)^2), 0))</f>
        <v>Compass One</v>
      </c>
      <c r="S236" s="38" t="str" cm="1">
        <f t="array" ref="S236">INDEX('Schools dataset'!$B$3:$B$187, MATCH(MIN(SQRT(('Schools dataset'!$J$3:$J$187-'Resale flat dataset (DV)'!O236)^2+('Schools dataset'!$K$3:$K$187-'Resale flat dataset (DV)'!P236)^2)), SQRT(('Schools dataset'!$J$3:$J$187-'Resale flat dataset (DV)'!O236)^2+('Schools dataset'!$K$3:$K$187-'Resale flat dataset (DV)'!P236)^2), 0))</f>
        <v>NORTH VISTA PRIMARY SCHOOL</v>
      </c>
      <c r="T236" s="39">
        <f>ACOS(COS(RADIANS(90-O236))*COS(RADIANS(90-_xlfn.XLOOKUP(Q236,'MRT station dataset'!$C$3:$C$179,'MRT station dataset'!$E$3:$E$179)))+SIN(RADIANS(90-O236))*SIN(RADIANS(90-_xlfn.XLOOKUP(Q236,'MRT station dataset'!$C$3:$C$179,'MRT station dataset'!$E$3:$E$179)))*COS(RADIANS(P236-_xlfn.XLOOKUP('Resale flat dataset (DV)'!Q236,'MRT station dataset'!$C$3:$C$179,'MRT station dataset'!$F$3:$F$179))))*6371*1000</f>
        <v>276.65696547862836</v>
      </c>
      <c r="U236" s="39">
        <f>ACOS(COS(RADIANS(90-O236))*COS(RADIANS(90-_xlfn.XLOOKUP(R236,'Mall Dataset'!$B$3:$B$157,'Mall Dataset'!$E$3:$E$157,,0)))+SIN(RADIANS(90-O236))*SIN(RADIANS(90-_xlfn.XLOOKUP(R236,'Mall Dataset'!$B$3:$B$157,'Mall Dataset'!$E$3:$E$157,,0)))*COS(RADIANS(P236-_xlfn.XLOOKUP(R236,'Mall Dataset'!$B$3:$B$157,'Mall Dataset'!$F$3:$F$157,,0))))*6371*1000</f>
        <v>786.27610076162705</v>
      </c>
      <c r="V236" s="39">
        <f>ACOS(COS(RADIANS(90-O236))*COS(RADIANS(90-_xlfn.XLOOKUP(S236,'Schools dataset'!$B$3:$B$187,'Schools dataset'!$J$3:$J$187,,0)))+SIN(RADIANS(90-O236))*SIN(RADIANS(90-_xlfn.XLOOKUP(S236,'Schools dataset'!$B$3:$B$187,'Schools dataset'!$J$3:$J$187,,0)))*COS(RADIANS(P236-_xlfn.XLOOKUP(S236,'Schools dataset'!$B$3:$B$187,'Schools dataset'!$K$3:$K$187,,0))))*6371*1000</f>
        <v>342.35848259982691</v>
      </c>
      <c r="W236" s="20">
        <f>_xlfn.XLOOKUP(T236,'HDB Recommender'!$P$10:$P$39,'HDB Recommender'!$Q$10:$Q$39,"&gt;30mins",1)</f>
        <v>4</v>
      </c>
      <c r="X236" s="20">
        <f>_xlfn.XLOOKUP(U236,'HDB Recommender'!$P$10:$P$39,'HDB Recommender'!$Q$10:$Q$39,"&gt;30mins",1)</f>
        <v>11</v>
      </c>
      <c r="Y236" s="20">
        <f>_xlfn.XLOOKUP(V236,'HDB Recommender'!$P$10:$P$39,'HDB Recommender'!$Q$10:$Q$39,"&gt;30mins",1)</f>
        <v>5</v>
      </c>
      <c r="Z236" s="39">
        <f t="shared" si="6"/>
        <v>6.666666666666667</v>
      </c>
      <c r="AA236" s="20" t="str">
        <f t="shared" si="7"/>
        <v>Within 1km</v>
      </c>
    </row>
    <row r="237" spans="2:27">
      <c r="B237" s="35" t="s">
        <v>317</v>
      </c>
      <c r="C237" s="35" t="s">
        <v>705</v>
      </c>
      <c r="D237" s="35" t="s">
        <v>20</v>
      </c>
      <c r="E237" s="35"/>
      <c r="F237" s="35" t="s">
        <v>730</v>
      </c>
      <c r="G237" s="35" t="s">
        <v>323</v>
      </c>
      <c r="H237" s="35">
        <v>92</v>
      </c>
      <c r="I237" s="35" t="s">
        <v>389</v>
      </c>
      <c r="J237" s="36">
        <v>2015</v>
      </c>
      <c r="K237" s="39">
        <v>90.9166666666666</v>
      </c>
      <c r="L237" s="37">
        <v>780000</v>
      </c>
      <c r="M237" s="35" t="s">
        <v>731</v>
      </c>
      <c r="N237" s="27">
        <v>541282</v>
      </c>
      <c r="O237" s="38">
        <v>1.38528977819863</v>
      </c>
      <c r="P237" s="38">
        <v>103.891907359174</v>
      </c>
      <c r="Q237" s="38" t="str" cm="1">
        <f t="array" ref="Q237">INDEX('MRT station dataset'!$C$3:$C$179, MATCH(MIN(SQRT(('MRT station dataset'!$E$3:$E$179-'Resale flat dataset (DV)'!O237)^2+('MRT station dataset'!$F$3:$F$179-'Resale flat dataset (DV)'!P237)^2)), SQRT(('MRT station dataset'!$E$3:$E$179-'Resale flat dataset (DV)'!O237)^2+('MRT station dataset'!$F$3:$F$179-'Resale flat dataset (DV)'!P237)^2), 0))</f>
        <v>RENJONG LRT STATION</v>
      </c>
      <c r="R237" s="38" t="str" cm="1">
        <f t="array" ref="R237">INDEX('Mall Dataset'!$B$3:$B$157, MATCH(MIN(SQRT(('Mall Dataset'!$E$3:$E$157-'Resale flat dataset (DV)'!O237)^2+('Mall Dataset'!$F$3:$F$157-'Resale flat dataset (DV)'!P237)^2)), SQRT(('Mall Dataset'!$E$3:$E$157-'Resale flat dataset (DV)'!O237)^2+('Mall Dataset'!$F$3:$F$157-'Resale flat dataset (DV)'!P237)^2), 0))</f>
        <v>Hougang Green Shopping Mall</v>
      </c>
      <c r="S237" s="38" t="str" cm="1">
        <f t="array" ref="S237">INDEX('Schools dataset'!$B$3:$B$187, MATCH(MIN(SQRT(('Schools dataset'!$J$3:$J$187-'Resale flat dataset (DV)'!O237)^2+('Schools dataset'!$K$3:$K$187-'Resale flat dataset (DV)'!P237)^2)), SQRT(('Schools dataset'!$J$3:$J$187-'Resale flat dataset (DV)'!O237)^2+('Schools dataset'!$K$3:$K$187-'Resale flat dataset (DV)'!P237)^2), 0))</f>
        <v>PALM VIEW PRIMARY SCHOOL</v>
      </c>
      <c r="T237" s="39">
        <f>ACOS(COS(RADIANS(90-O237))*COS(RADIANS(90-_xlfn.XLOOKUP(Q237,'MRT station dataset'!$C$3:$C$179,'MRT station dataset'!$E$3:$E$179)))+SIN(RADIANS(90-O237))*SIN(RADIANS(90-_xlfn.XLOOKUP(Q237,'MRT station dataset'!$C$3:$C$179,'MRT station dataset'!$E$3:$E$179)))*COS(RADIANS(P237-_xlfn.XLOOKUP('Resale flat dataset (DV)'!Q237,'MRT station dataset'!$C$3:$C$179,'MRT station dataset'!$F$3:$F$179))))*6371*1000</f>
        <v>221.50484299060324</v>
      </c>
      <c r="U237" s="39">
        <f>ACOS(COS(RADIANS(90-O237))*COS(RADIANS(90-_xlfn.XLOOKUP(R237,'Mall Dataset'!$B$3:$B$157,'Mall Dataset'!$E$3:$E$157,,0)))+SIN(RADIANS(90-O237))*SIN(RADIANS(90-_xlfn.XLOOKUP(R237,'Mall Dataset'!$B$3:$B$157,'Mall Dataset'!$E$3:$E$157,,0)))*COS(RADIANS(P237-_xlfn.XLOOKUP(R237,'Mall Dataset'!$B$3:$B$157,'Mall Dataset'!$F$3:$F$157,,0))))*6371*1000</f>
        <v>802.91901958574545</v>
      </c>
      <c r="V237" s="39">
        <f>ACOS(COS(RADIANS(90-O237))*COS(RADIANS(90-_xlfn.XLOOKUP(S237,'Schools dataset'!$B$3:$B$187,'Schools dataset'!$J$3:$J$187,,0)))+SIN(RADIANS(90-O237))*SIN(RADIANS(90-_xlfn.XLOOKUP(S237,'Schools dataset'!$B$3:$B$187,'Schools dataset'!$J$3:$J$187,,0)))*COS(RADIANS(P237-_xlfn.XLOOKUP(S237,'Schools dataset'!$B$3:$B$187,'Schools dataset'!$K$3:$K$187,,0))))*6371*1000</f>
        <v>179.89359727582132</v>
      </c>
      <c r="W237" s="20">
        <f>_xlfn.XLOOKUP(T237,'HDB Recommender'!$P$10:$P$39,'HDB Recommender'!$Q$10:$Q$39,"&gt;30mins",1)</f>
        <v>3</v>
      </c>
      <c r="X237" s="20">
        <f>_xlfn.XLOOKUP(U237,'HDB Recommender'!$P$10:$P$39,'HDB Recommender'!$Q$10:$Q$39,"&gt;30mins",1)</f>
        <v>11</v>
      </c>
      <c r="Y237" s="20">
        <f>_xlfn.XLOOKUP(V237,'HDB Recommender'!$P$10:$P$39,'HDB Recommender'!$Q$10:$Q$39,"&gt;30mins",1)</f>
        <v>3</v>
      </c>
      <c r="Z237" s="39">
        <f t="shared" si="6"/>
        <v>5.666666666666667</v>
      </c>
      <c r="AA237" s="20" t="str">
        <f t="shared" si="7"/>
        <v>Within 1km</v>
      </c>
    </row>
    <row r="238" spans="2:27">
      <c r="B238" s="35" t="s">
        <v>317</v>
      </c>
      <c r="C238" s="35" t="s">
        <v>705</v>
      </c>
      <c r="D238" s="35" t="s">
        <v>341</v>
      </c>
      <c r="E238" s="35"/>
      <c r="F238" s="35" t="s">
        <v>718</v>
      </c>
      <c r="G238" s="35" t="s">
        <v>189</v>
      </c>
      <c r="H238" s="35">
        <v>113</v>
      </c>
      <c r="I238" s="35" t="s">
        <v>389</v>
      </c>
      <c r="J238" s="36">
        <v>2003</v>
      </c>
      <c r="K238" s="39">
        <v>78.3333333333333</v>
      </c>
      <c r="L238" s="37">
        <v>541888</v>
      </c>
      <c r="M238" s="35" t="s">
        <v>732</v>
      </c>
      <c r="N238" s="27">
        <v>541310</v>
      </c>
      <c r="O238" s="38">
        <v>1.3909053148199</v>
      </c>
      <c r="P238" s="38">
        <v>103.885024959643</v>
      </c>
      <c r="Q238" s="38" t="str" cm="1">
        <f t="array" ref="Q238">INDEX('MRT station dataset'!$C$3:$C$179, MATCH(MIN(SQRT(('MRT station dataset'!$E$3:$E$179-'Resale flat dataset (DV)'!O238)^2+('MRT station dataset'!$F$3:$F$179-'Resale flat dataset (DV)'!P238)^2)), SQRT(('MRT station dataset'!$E$3:$E$179-'Resale flat dataset (DV)'!O238)^2+('MRT station dataset'!$F$3:$F$179-'Resale flat dataset (DV)'!P238)^2), 0))</f>
        <v>TONGKANG LRT STATION</v>
      </c>
      <c r="R238" s="38" t="str" cm="1">
        <f t="array" ref="R238">INDEX('Mall Dataset'!$B$3:$B$157, MATCH(MIN(SQRT(('Mall Dataset'!$E$3:$E$157-'Resale flat dataset (DV)'!O238)^2+('Mall Dataset'!$F$3:$F$157-'Resale flat dataset (DV)'!P238)^2)), SQRT(('Mall Dataset'!$E$3:$E$157-'Resale flat dataset (DV)'!O238)^2+('Mall Dataset'!$F$3:$F$157-'Resale flat dataset (DV)'!P238)^2), 0))</f>
        <v>Buangkok Square</v>
      </c>
      <c r="S238" s="38" t="str" cm="1">
        <f t="array" ref="S238">INDEX('Schools dataset'!$B$3:$B$187, MATCH(MIN(SQRT(('Schools dataset'!$J$3:$J$187-'Resale flat dataset (DV)'!O238)^2+('Schools dataset'!$K$3:$K$187-'Resale flat dataset (DV)'!P238)^2)), SQRT(('Schools dataset'!$J$3:$J$187-'Resale flat dataset (DV)'!O238)^2+('Schools dataset'!$K$3:$K$187-'Resale flat dataset (DV)'!P238)^2), 0))</f>
        <v>ANCHOR GREEN PRIMARY SCHOOL</v>
      </c>
      <c r="T238" s="39">
        <f>ACOS(COS(RADIANS(90-O238))*COS(RADIANS(90-_xlfn.XLOOKUP(Q238,'MRT station dataset'!$C$3:$C$179,'MRT station dataset'!$E$3:$E$179)))+SIN(RADIANS(90-O238))*SIN(RADIANS(90-_xlfn.XLOOKUP(Q238,'MRT station dataset'!$C$3:$C$179,'MRT station dataset'!$E$3:$E$179)))*COS(RADIANS(P238-_xlfn.XLOOKUP('Resale flat dataset (DV)'!Q238,'MRT station dataset'!$C$3:$C$179,'MRT station dataset'!$F$3:$F$179))))*6371*1000</f>
        <v>198.20691910855626</v>
      </c>
      <c r="U238" s="39">
        <f>ACOS(COS(RADIANS(90-O238))*COS(RADIANS(90-_xlfn.XLOOKUP(R238,'Mall Dataset'!$B$3:$B$157,'Mall Dataset'!$E$3:$E$157,,0)))+SIN(RADIANS(90-O238))*SIN(RADIANS(90-_xlfn.XLOOKUP(R238,'Mall Dataset'!$B$3:$B$157,'Mall Dataset'!$E$3:$E$157,,0)))*COS(RADIANS(P238-_xlfn.XLOOKUP(R238,'Mall Dataset'!$B$3:$B$157,'Mall Dataset'!$F$3:$F$157,,0))))*6371*1000</f>
        <v>822.72784468507814</v>
      </c>
      <c r="V238" s="39">
        <f>ACOS(COS(RADIANS(90-O238))*COS(RADIANS(90-_xlfn.XLOOKUP(S238,'Schools dataset'!$B$3:$B$187,'Schools dataset'!$J$3:$J$187,,0)))+SIN(RADIANS(90-O238))*SIN(RADIANS(90-_xlfn.XLOOKUP(S238,'Schools dataset'!$B$3:$B$187,'Schools dataset'!$J$3:$J$187,,0)))*COS(RADIANS(P238-_xlfn.XLOOKUP(S238,'Schools dataset'!$B$3:$B$187,'Schools dataset'!$K$3:$K$187,,0))))*6371*1000</f>
        <v>235.35974917375535</v>
      </c>
      <c r="W238" s="20">
        <f>_xlfn.XLOOKUP(T238,'HDB Recommender'!$P$10:$P$39,'HDB Recommender'!$Q$10:$Q$39,"&gt;30mins",1)</f>
        <v>3</v>
      </c>
      <c r="X238" s="20">
        <f>_xlfn.XLOOKUP(U238,'HDB Recommender'!$P$10:$P$39,'HDB Recommender'!$Q$10:$Q$39,"&gt;30mins",1)</f>
        <v>11</v>
      </c>
      <c r="Y238" s="20">
        <f>_xlfn.XLOOKUP(V238,'HDB Recommender'!$P$10:$P$39,'HDB Recommender'!$Q$10:$Q$39,"&gt;30mins",1)</f>
        <v>4</v>
      </c>
      <c r="Z238" s="39">
        <f t="shared" si="6"/>
        <v>6</v>
      </c>
      <c r="AA238" s="20" t="str">
        <f t="shared" si="7"/>
        <v>Within 1km</v>
      </c>
    </row>
    <row r="239" spans="2:27">
      <c r="B239" s="35" t="s">
        <v>317</v>
      </c>
      <c r="C239" s="35" t="s">
        <v>705</v>
      </c>
      <c r="D239" s="35" t="s">
        <v>341</v>
      </c>
      <c r="E239" s="35"/>
      <c r="F239" s="35" t="s">
        <v>718</v>
      </c>
      <c r="G239" s="35" t="s">
        <v>191</v>
      </c>
      <c r="H239" s="35">
        <v>111</v>
      </c>
      <c r="I239" s="35" t="s">
        <v>389</v>
      </c>
      <c r="J239" s="36">
        <v>2003</v>
      </c>
      <c r="K239" s="39">
        <v>78.4166666666666</v>
      </c>
      <c r="L239" s="37">
        <v>565000</v>
      </c>
      <c r="M239" s="35" t="s">
        <v>733</v>
      </c>
      <c r="N239" s="27">
        <v>542310</v>
      </c>
      <c r="O239" s="38">
        <v>1.39090460679765</v>
      </c>
      <c r="P239" s="38">
        <v>103.884682862492</v>
      </c>
      <c r="Q239" s="38" t="str" cm="1">
        <f t="array" ref="Q239">INDEX('MRT station dataset'!$C$3:$C$179, MATCH(MIN(SQRT(('MRT station dataset'!$E$3:$E$179-'Resale flat dataset (DV)'!O239)^2+('MRT station dataset'!$F$3:$F$179-'Resale flat dataset (DV)'!P239)^2)), SQRT(('MRT station dataset'!$E$3:$E$179-'Resale flat dataset (DV)'!O239)^2+('MRT station dataset'!$F$3:$F$179-'Resale flat dataset (DV)'!P239)^2), 0))</f>
        <v>TONGKANG LRT STATION</v>
      </c>
      <c r="R239" s="38" t="str" cm="1">
        <f t="array" ref="R239">INDEX('Mall Dataset'!$B$3:$B$157, MATCH(MIN(SQRT(('Mall Dataset'!$E$3:$E$157-'Resale flat dataset (DV)'!O239)^2+('Mall Dataset'!$F$3:$F$157-'Resale flat dataset (DV)'!P239)^2)), SQRT(('Mall Dataset'!$E$3:$E$157-'Resale flat dataset (DV)'!O239)^2+('Mall Dataset'!$F$3:$F$157-'Resale flat dataset (DV)'!P239)^2), 0))</f>
        <v>Buangkok Square</v>
      </c>
      <c r="S239" s="38" t="str" cm="1">
        <f t="array" ref="S239">INDEX('Schools dataset'!$B$3:$B$187, MATCH(MIN(SQRT(('Schools dataset'!$J$3:$J$187-'Resale flat dataset (DV)'!O239)^2+('Schools dataset'!$K$3:$K$187-'Resale flat dataset (DV)'!P239)^2)), SQRT(('Schools dataset'!$J$3:$J$187-'Resale flat dataset (DV)'!O239)^2+('Schools dataset'!$K$3:$K$187-'Resale flat dataset (DV)'!P239)^2), 0))</f>
        <v>ANCHOR GREEN PRIMARY SCHOOL</v>
      </c>
      <c r="T239" s="39">
        <f>ACOS(COS(RADIANS(90-O239))*COS(RADIANS(90-_xlfn.XLOOKUP(Q239,'MRT station dataset'!$C$3:$C$179,'MRT station dataset'!$E$3:$E$179)))+SIN(RADIANS(90-O239))*SIN(RADIANS(90-_xlfn.XLOOKUP(Q239,'MRT station dataset'!$C$3:$C$179,'MRT station dataset'!$E$3:$E$179)))*COS(RADIANS(P239-_xlfn.XLOOKUP('Resale flat dataset (DV)'!Q239,'MRT station dataset'!$C$3:$C$179,'MRT station dataset'!$F$3:$F$179))))*6371*1000</f>
        <v>217.38607832596401</v>
      </c>
      <c r="U239" s="39">
        <f>ACOS(COS(RADIANS(90-O239))*COS(RADIANS(90-_xlfn.XLOOKUP(R239,'Mall Dataset'!$B$3:$B$157,'Mall Dataset'!$E$3:$E$157,,0)))+SIN(RADIANS(90-O239))*SIN(RADIANS(90-_xlfn.XLOOKUP(R239,'Mall Dataset'!$B$3:$B$157,'Mall Dataset'!$E$3:$E$157,,0)))*COS(RADIANS(P239-_xlfn.XLOOKUP(R239,'Mall Dataset'!$B$3:$B$157,'Mall Dataset'!$F$3:$F$157,,0))))*6371*1000</f>
        <v>805.88491574752231</v>
      </c>
      <c r="V239" s="39">
        <f>ACOS(COS(RADIANS(90-O239))*COS(RADIANS(90-_xlfn.XLOOKUP(S239,'Schools dataset'!$B$3:$B$187,'Schools dataset'!$J$3:$J$187,,0)))+SIN(RADIANS(90-O239))*SIN(RADIANS(90-_xlfn.XLOOKUP(S239,'Schools dataset'!$B$3:$B$187,'Schools dataset'!$J$3:$J$187,,0)))*COS(RADIANS(P239-_xlfn.XLOOKUP(S239,'Schools dataset'!$B$3:$B$187,'Schools dataset'!$K$3:$K$187,,0))))*6371*1000</f>
        <v>272.89532445461174</v>
      </c>
      <c r="W239" s="20">
        <f>_xlfn.XLOOKUP(T239,'HDB Recommender'!$P$10:$P$39,'HDB Recommender'!$Q$10:$Q$39,"&gt;30mins",1)</f>
        <v>3</v>
      </c>
      <c r="X239" s="20">
        <f>_xlfn.XLOOKUP(U239,'HDB Recommender'!$P$10:$P$39,'HDB Recommender'!$Q$10:$Q$39,"&gt;30mins",1)</f>
        <v>11</v>
      </c>
      <c r="Y239" s="20">
        <f>_xlfn.XLOOKUP(V239,'HDB Recommender'!$P$10:$P$39,'HDB Recommender'!$Q$10:$Q$39,"&gt;30mins",1)</f>
        <v>4</v>
      </c>
      <c r="Z239" s="39">
        <f t="shared" si="6"/>
        <v>6</v>
      </c>
      <c r="AA239" s="20" t="str">
        <f t="shared" si="7"/>
        <v>Within 1km</v>
      </c>
    </row>
    <row r="240" spans="2:27">
      <c r="B240" s="35" t="s">
        <v>317</v>
      </c>
      <c r="C240" s="35" t="s">
        <v>705</v>
      </c>
      <c r="D240" s="35" t="s">
        <v>341</v>
      </c>
      <c r="E240" s="35"/>
      <c r="F240" s="35" t="s">
        <v>720</v>
      </c>
      <c r="G240" s="35" t="s">
        <v>323</v>
      </c>
      <c r="H240" s="35">
        <v>110</v>
      </c>
      <c r="I240" s="35" t="s">
        <v>326</v>
      </c>
      <c r="J240" s="36">
        <v>2002</v>
      </c>
      <c r="K240" s="39">
        <v>77.4166666666666</v>
      </c>
      <c r="L240" s="37">
        <v>575000</v>
      </c>
      <c r="M240" s="35" t="s">
        <v>734</v>
      </c>
      <c r="N240" s="27">
        <v>541295</v>
      </c>
      <c r="O240" s="38">
        <v>1.3982720820615899</v>
      </c>
      <c r="P240" s="38">
        <v>103.899276781233</v>
      </c>
      <c r="Q240" s="38" t="str" cm="1">
        <f t="array" ref="Q240">INDEX('MRT station dataset'!$C$3:$C$179, MATCH(MIN(SQRT(('MRT station dataset'!$E$3:$E$179-'Resale flat dataset (DV)'!O240)^2+('MRT station dataset'!$F$3:$F$179-'Resale flat dataset (DV)'!P240)^2)), SQRT(('MRT station dataset'!$E$3:$E$179-'Resale flat dataset (DV)'!O240)^2+('MRT station dataset'!$F$3:$F$179-'Resale flat dataset (DV)'!P240)^2), 0))</f>
        <v>COMPASSVALE LRT STATION</v>
      </c>
      <c r="R240" s="38" t="str" cm="1">
        <f t="array" ref="R240">INDEX('Mall Dataset'!$B$3:$B$157, MATCH(MIN(SQRT(('Mall Dataset'!$E$3:$E$157-'Resale flat dataset (DV)'!O240)^2+('Mall Dataset'!$F$3:$F$157-'Resale flat dataset (DV)'!P240)^2)), SQRT(('Mall Dataset'!$E$3:$E$157-'Resale flat dataset (DV)'!O240)^2+('Mall Dataset'!$F$3:$F$157-'Resale flat dataset (DV)'!P240)^2), 0))</f>
        <v>Compass One</v>
      </c>
      <c r="S240" s="38" t="str" cm="1">
        <f t="array" ref="S240">INDEX('Schools dataset'!$B$3:$B$187, MATCH(MIN(SQRT(('Schools dataset'!$J$3:$J$187-'Resale flat dataset (DV)'!O240)^2+('Schools dataset'!$K$3:$K$187-'Resale flat dataset (DV)'!P240)^2)), SQRT(('Schools dataset'!$J$3:$J$187-'Resale flat dataset (DV)'!O240)^2+('Schools dataset'!$K$3:$K$187-'Resale flat dataset (DV)'!P240)^2), 0))</f>
        <v>PUNGGOL GREEN PRIMARY SCHOOL</v>
      </c>
      <c r="T240" s="39">
        <f>ACOS(COS(RADIANS(90-O240))*COS(RADIANS(90-_xlfn.XLOOKUP(Q240,'MRT station dataset'!$C$3:$C$179,'MRT station dataset'!$E$3:$E$179)))+SIN(RADIANS(90-O240))*SIN(RADIANS(90-_xlfn.XLOOKUP(Q240,'MRT station dataset'!$C$3:$C$179,'MRT station dataset'!$E$3:$E$179)))*COS(RADIANS(P240-_xlfn.XLOOKUP('Resale flat dataset (DV)'!Q240,'MRT station dataset'!$C$3:$C$179,'MRT station dataset'!$F$3:$F$179))))*6371*1000</f>
        <v>440.92648814696901</v>
      </c>
      <c r="U240" s="39">
        <f>ACOS(COS(RADIANS(90-O240))*COS(RADIANS(90-_xlfn.XLOOKUP(R240,'Mall Dataset'!$B$3:$B$157,'Mall Dataset'!$E$3:$E$157,,0)))+SIN(RADIANS(90-O240))*SIN(RADIANS(90-_xlfn.XLOOKUP(R240,'Mall Dataset'!$B$3:$B$157,'Mall Dataset'!$E$3:$E$157,,0)))*COS(RADIANS(P240-_xlfn.XLOOKUP(R240,'Mall Dataset'!$B$3:$B$157,'Mall Dataset'!$F$3:$F$157,,0))))*6371*1000</f>
        <v>834.75598604428524</v>
      </c>
      <c r="V240" s="39">
        <f>ACOS(COS(RADIANS(90-O240))*COS(RADIANS(90-_xlfn.XLOOKUP(S240,'Schools dataset'!$B$3:$B$187,'Schools dataset'!$J$3:$J$187,,0)))+SIN(RADIANS(90-O240))*SIN(RADIANS(90-_xlfn.XLOOKUP(S240,'Schools dataset'!$B$3:$B$187,'Schools dataset'!$J$3:$J$187,,0)))*COS(RADIANS(P240-_xlfn.XLOOKUP(S240,'Schools dataset'!$B$3:$B$187,'Schools dataset'!$K$3:$K$187,,0))))*6371*1000</f>
        <v>390.4033690505546</v>
      </c>
      <c r="W240" s="20">
        <f>_xlfn.XLOOKUP(T240,'HDB Recommender'!$P$10:$P$39,'HDB Recommender'!$Q$10:$Q$39,"&gt;30mins",1)</f>
        <v>6</v>
      </c>
      <c r="X240" s="20">
        <f>_xlfn.XLOOKUP(U240,'HDB Recommender'!$P$10:$P$39,'HDB Recommender'!$Q$10:$Q$39,"&gt;30mins",1)</f>
        <v>12</v>
      </c>
      <c r="Y240" s="20">
        <f>_xlfn.XLOOKUP(V240,'HDB Recommender'!$P$10:$P$39,'HDB Recommender'!$Q$10:$Q$39,"&gt;30mins",1)</f>
        <v>6</v>
      </c>
      <c r="Z240" s="39">
        <f t="shared" si="6"/>
        <v>8</v>
      </c>
      <c r="AA240" s="20" t="str">
        <f t="shared" si="7"/>
        <v>Within 1km</v>
      </c>
    </row>
    <row r="241" spans="2:27">
      <c r="B241" s="35" t="s">
        <v>317</v>
      </c>
      <c r="C241" s="35" t="s">
        <v>705</v>
      </c>
      <c r="D241" s="35" t="s">
        <v>341</v>
      </c>
      <c r="E241" s="35"/>
      <c r="F241" s="35" t="s">
        <v>706</v>
      </c>
      <c r="G241" s="35" t="s">
        <v>189</v>
      </c>
      <c r="H241" s="35">
        <v>110</v>
      </c>
      <c r="I241" s="35" t="s">
        <v>326</v>
      </c>
      <c r="J241" s="36">
        <v>2005</v>
      </c>
      <c r="K241" s="39">
        <v>80.4166666666666</v>
      </c>
      <c r="L241" s="37">
        <v>578000</v>
      </c>
      <c r="M241" s="35" t="s">
        <v>735</v>
      </c>
      <c r="N241" s="27">
        <v>543207</v>
      </c>
      <c r="O241" s="38">
        <v>1.3849628633389801</v>
      </c>
      <c r="P241" s="38">
        <v>103.89822796583501</v>
      </c>
      <c r="Q241" s="38" t="str" cm="1">
        <f t="array" ref="Q241">INDEX('MRT station dataset'!$C$3:$C$179, MATCH(MIN(SQRT(('MRT station dataset'!$E$3:$E$179-'Resale flat dataset (DV)'!O241)^2+('MRT station dataset'!$F$3:$F$179-'Resale flat dataset (DV)'!P241)^2)), SQRT(('MRT station dataset'!$E$3:$E$179-'Resale flat dataset (DV)'!O241)^2+('MRT station dataset'!$F$3:$F$179-'Resale flat dataset (DV)'!P241)^2), 0))</f>
        <v>RANGGUNG LRT STATION</v>
      </c>
      <c r="R241" s="38" t="str" cm="1">
        <f t="array" ref="R241">INDEX('Mall Dataset'!$B$3:$B$157, MATCH(MIN(SQRT(('Mall Dataset'!$E$3:$E$157-'Resale flat dataset (DV)'!O241)^2+('Mall Dataset'!$F$3:$F$157-'Resale flat dataset (DV)'!P241)^2)), SQRT(('Mall Dataset'!$E$3:$E$157-'Resale flat dataset (DV)'!O241)^2+('Mall Dataset'!$F$3:$F$157-'Resale flat dataset (DV)'!P241)^2), 0))</f>
        <v>Rivervale Plaza</v>
      </c>
      <c r="S241" s="38" t="str" cm="1">
        <f t="array" ref="S241">INDEX('Schools dataset'!$B$3:$B$187, MATCH(MIN(SQRT(('Schools dataset'!$J$3:$J$187-'Resale flat dataset (DV)'!O241)^2+('Schools dataset'!$K$3:$K$187-'Resale flat dataset (DV)'!P241)^2)), SQRT(('Schools dataset'!$J$3:$J$187-'Resale flat dataset (DV)'!O241)^2+('Schools dataset'!$K$3:$K$187-'Resale flat dataset (DV)'!P241)^2), 0))</f>
        <v>NORTH VISTA PRIMARY SCHOOL</v>
      </c>
      <c r="T241" s="39">
        <f>ACOS(COS(RADIANS(90-O241))*COS(RADIANS(90-_xlfn.XLOOKUP(Q241,'MRT station dataset'!$C$3:$C$179,'MRT station dataset'!$E$3:$E$179)))+SIN(RADIANS(90-O241))*SIN(RADIANS(90-_xlfn.XLOOKUP(Q241,'MRT station dataset'!$C$3:$C$179,'MRT station dataset'!$E$3:$E$179)))*COS(RADIANS(P241-_xlfn.XLOOKUP('Resale flat dataset (DV)'!Q241,'MRT station dataset'!$C$3:$C$179,'MRT station dataset'!$F$3:$F$179))))*6371*1000</f>
        <v>143.23461987871733</v>
      </c>
      <c r="U241" s="39">
        <f>ACOS(COS(RADIANS(90-O241))*COS(RADIANS(90-_xlfn.XLOOKUP(R241,'Mall Dataset'!$B$3:$B$157,'Mall Dataset'!$E$3:$E$157,,0)))+SIN(RADIANS(90-O241))*SIN(RADIANS(90-_xlfn.XLOOKUP(R241,'Mall Dataset'!$B$3:$B$157,'Mall Dataset'!$E$3:$E$157,,0)))*COS(RADIANS(P241-_xlfn.XLOOKUP(R241,'Mall Dataset'!$B$3:$B$157,'Mall Dataset'!$F$3:$F$157,,0))))*6371*1000</f>
        <v>422.33354181235529</v>
      </c>
      <c r="V241" s="39">
        <f>ACOS(COS(RADIANS(90-O241))*COS(RADIANS(90-_xlfn.XLOOKUP(S241,'Schools dataset'!$B$3:$B$187,'Schools dataset'!$J$3:$J$187,,0)))+SIN(RADIANS(90-O241))*SIN(RADIANS(90-_xlfn.XLOOKUP(S241,'Schools dataset'!$B$3:$B$187,'Schools dataset'!$J$3:$J$187,,0)))*COS(RADIANS(P241-_xlfn.XLOOKUP(S241,'Schools dataset'!$B$3:$B$187,'Schools dataset'!$K$3:$K$187,,0))))*6371*1000</f>
        <v>345.80318794219232</v>
      </c>
      <c r="W241" s="20">
        <f>_xlfn.XLOOKUP(T241,'HDB Recommender'!$P$10:$P$39,'HDB Recommender'!$Q$10:$Q$39,"&gt;30mins",1)</f>
        <v>2</v>
      </c>
      <c r="X241" s="20">
        <f>_xlfn.XLOOKUP(U241,'HDB Recommender'!$P$10:$P$39,'HDB Recommender'!$Q$10:$Q$39,"&gt;30mins",1)</f>
        <v>6</v>
      </c>
      <c r="Y241" s="20">
        <f>_xlfn.XLOOKUP(V241,'HDB Recommender'!$P$10:$P$39,'HDB Recommender'!$Q$10:$Q$39,"&gt;30mins",1)</f>
        <v>5</v>
      </c>
      <c r="Z241" s="39">
        <f t="shared" si="6"/>
        <v>4.333333333333333</v>
      </c>
      <c r="AA241" s="20" t="str">
        <f t="shared" si="7"/>
        <v>Within 1km</v>
      </c>
    </row>
    <row r="242" spans="2:27">
      <c r="B242" s="35" t="s">
        <v>317</v>
      </c>
      <c r="C242" s="35" t="s">
        <v>705</v>
      </c>
      <c r="D242" s="35" t="s">
        <v>341</v>
      </c>
      <c r="E242" s="35"/>
      <c r="F242" s="35" t="s">
        <v>736</v>
      </c>
      <c r="G242" s="35" t="s">
        <v>189</v>
      </c>
      <c r="H242" s="35">
        <v>113</v>
      </c>
      <c r="I242" s="35" t="s">
        <v>389</v>
      </c>
      <c r="J242" s="36">
        <v>2001</v>
      </c>
      <c r="K242" s="39">
        <v>76.9166666666666</v>
      </c>
      <c r="L242" s="37">
        <v>577000</v>
      </c>
      <c r="M242" s="35" t="s">
        <v>737</v>
      </c>
      <c r="N242" s="27">
        <v>541298</v>
      </c>
      <c r="O242" s="38">
        <v>1.3951670977509301</v>
      </c>
      <c r="P242" s="38">
        <v>103.90178945617301</v>
      </c>
      <c r="Q242" s="38" t="str" cm="1">
        <f t="array" ref="Q242">INDEX('MRT station dataset'!$C$3:$C$179, MATCH(MIN(SQRT(('MRT station dataset'!$E$3:$E$179-'Resale flat dataset (DV)'!O242)^2+('MRT station dataset'!$F$3:$F$179-'Resale flat dataset (DV)'!P242)^2)), SQRT(('MRT station dataset'!$E$3:$E$179-'Resale flat dataset (DV)'!O242)^2+('MRT station dataset'!$F$3:$F$179-'Resale flat dataset (DV)'!P242)^2), 0))</f>
        <v>COMPASSVALE LRT STATION</v>
      </c>
      <c r="R242" s="38" t="str" cm="1">
        <f t="array" ref="R242">INDEX('Mall Dataset'!$B$3:$B$157, MATCH(MIN(SQRT(('Mall Dataset'!$E$3:$E$157-'Resale flat dataset (DV)'!O242)^2+('Mall Dataset'!$F$3:$F$157-'Resale flat dataset (DV)'!P242)^2)), SQRT(('Mall Dataset'!$E$3:$E$157-'Resale flat dataset (DV)'!O242)^2+('Mall Dataset'!$F$3:$F$157-'Resale flat dataset (DV)'!P242)^2), 0))</f>
        <v>Rivervale Mall</v>
      </c>
      <c r="S242" s="38" t="str" cm="1">
        <f t="array" ref="S242">INDEX('Schools dataset'!$B$3:$B$187, MATCH(MIN(SQRT(('Schools dataset'!$J$3:$J$187-'Resale flat dataset (DV)'!O242)^2+('Schools dataset'!$K$3:$K$187-'Resale flat dataset (DV)'!P242)^2)), SQRT(('Schools dataset'!$J$3:$J$187-'Resale flat dataset (DV)'!O242)^2+('Schools dataset'!$K$3:$K$187-'Resale flat dataset (DV)'!P242)^2), 0))</f>
        <v>RIVERVALE PRIMARY SCHOOL</v>
      </c>
      <c r="T242" s="39">
        <f>ACOS(COS(RADIANS(90-O242))*COS(RADIANS(90-_xlfn.XLOOKUP(Q242,'MRT station dataset'!$C$3:$C$179,'MRT station dataset'!$E$3:$E$179)))+SIN(RADIANS(90-O242))*SIN(RADIANS(90-_xlfn.XLOOKUP(Q242,'MRT station dataset'!$C$3:$C$179,'MRT station dataset'!$E$3:$E$179)))*COS(RADIANS(P242-_xlfn.XLOOKUP('Resale flat dataset (DV)'!Q242,'MRT station dataset'!$C$3:$C$179,'MRT station dataset'!$F$3:$F$179))))*6371*1000</f>
        <v>161.39483700577694</v>
      </c>
      <c r="U242" s="39">
        <f>ACOS(COS(RADIANS(90-O242))*COS(RADIANS(90-_xlfn.XLOOKUP(R242,'Mall Dataset'!$B$3:$B$157,'Mall Dataset'!$E$3:$E$157,,0)))+SIN(RADIANS(90-O242))*SIN(RADIANS(90-_xlfn.XLOOKUP(R242,'Mall Dataset'!$B$3:$B$157,'Mall Dataset'!$E$3:$E$157,,0)))*COS(RADIANS(P242-_xlfn.XLOOKUP(R242,'Mall Dataset'!$B$3:$B$157,'Mall Dataset'!$F$3:$F$157,,0))))*6371*1000</f>
        <v>444.8700174532716</v>
      </c>
      <c r="V242" s="39">
        <f>ACOS(COS(RADIANS(90-O242))*COS(RADIANS(90-_xlfn.XLOOKUP(S242,'Schools dataset'!$B$3:$B$187,'Schools dataset'!$J$3:$J$187,,0)))+SIN(RADIANS(90-O242))*SIN(RADIANS(90-_xlfn.XLOOKUP(S242,'Schools dataset'!$B$3:$B$187,'Schools dataset'!$J$3:$J$187,,0)))*COS(RADIANS(P242-_xlfn.XLOOKUP(S242,'Schools dataset'!$B$3:$B$187,'Schools dataset'!$K$3:$K$187,,0))))*6371*1000</f>
        <v>364.68099421301736</v>
      </c>
      <c r="W242" s="20">
        <f>_xlfn.XLOOKUP(T242,'HDB Recommender'!$P$10:$P$39,'HDB Recommender'!$Q$10:$Q$39,"&gt;30mins",1)</f>
        <v>3</v>
      </c>
      <c r="X242" s="20">
        <f>_xlfn.XLOOKUP(U242,'HDB Recommender'!$P$10:$P$39,'HDB Recommender'!$Q$10:$Q$39,"&gt;30mins",1)</f>
        <v>6</v>
      </c>
      <c r="Y242" s="20">
        <f>_xlfn.XLOOKUP(V242,'HDB Recommender'!$P$10:$P$39,'HDB Recommender'!$Q$10:$Q$39,"&gt;30mins",1)</f>
        <v>5</v>
      </c>
      <c r="Z242" s="39">
        <f t="shared" si="6"/>
        <v>4.666666666666667</v>
      </c>
      <c r="AA242" s="20" t="str">
        <f t="shared" si="7"/>
        <v>Within 1km</v>
      </c>
    </row>
    <row r="243" spans="2:27">
      <c r="B243" s="35" t="s">
        <v>317</v>
      </c>
      <c r="C243" s="35" t="s">
        <v>705</v>
      </c>
      <c r="D243" s="35" t="s">
        <v>341</v>
      </c>
      <c r="E243" s="35"/>
      <c r="F243" s="35" t="s">
        <v>738</v>
      </c>
      <c r="G243" s="35" t="s">
        <v>184</v>
      </c>
      <c r="H243" s="35">
        <v>109</v>
      </c>
      <c r="I243" s="35" t="s">
        <v>389</v>
      </c>
      <c r="J243" s="36">
        <v>2003</v>
      </c>
      <c r="K243" s="39">
        <v>79.0833333333333</v>
      </c>
      <c r="L243" s="37">
        <v>570000</v>
      </c>
      <c r="M243" s="35" t="s">
        <v>739</v>
      </c>
      <c r="N243" s="27">
        <v>541157</v>
      </c>
      <c r="O243" s="38">
        <v>1.38785512397153</v>
      </c>
      <c r="P243" s="38">
        <v>103.90839290098199</v>
      </c>
      <c r="Q243" s="38" t="str" cm="1">
        <f t="array" ref="Q243">INDEX('MRT station dataset'!$C$3:$C$179, MATCH(MIN(SQRT(('MRT station dataset'!$E$3:$E$179-'Resale flat dataset (DV)'!O243)^2+('MRT station dataset'!$F$3:$F$179-'Resale flat dataset (DV)'!P243)^2)), SQRT(('MRT station dataset'!$E$3:$E$179-'Resale flat dataset (DV)'!O243)^2+('MRT station dataset'!$F$3:$F$179-'Resale flat dataset (DV)'!P243)^2), 0))</f>
        <v>BAKAU LRT STATION</v>
      </c>
      <c r="R243" s="38" t="str" cm="1">
        <f t="array" ref="R243">INDEX('Mall Dataset'!$B$3:$B$157, MATCH(MIN(SQRT(('Mall Dataset'!$E$3:$E$157-'Resale flat dataset (DV)'!O243)^2+('Mall Dataset'!$F$3:$F$157-'Resale flat dataset (DV)'!P243)^2)), SQRT(('Mall Dataset'!$E$3:$E$157-'Resale flat dataset (DV)'!O243)^2+('Mall Dataset'!$F$3:$F$157-'Resale flat dataset (DV)'!P243)^2), 0))</f>
        <v>Rivervale Mall</v>
      </c>
      <c r="S243" s="38" t="str" cm="1">
        <f t="array" ref="S243">INDEX('Schools dataset'!$B$3:$B$187, MATCH(MIN(SQRT(('Schools dataset'!$J$3:$J$187-'Resale flat dataset (DV)'!O243)^2+('Schools dataset'!$K$3:$K$187-'Resale flat dataset (DV)'!P243)^2)), SQRT(('Schools dataset'!$J$3:$J$187-'Resale flat dataset (DV)'!O243)^2+('Schools dataset'!$K$3:$K$187-'Resale flat dataset (DV)'!P243)^2), 0))</f>
        <v>NORTH SPRING PRIMARY SCHOOL</v>
      </c>
      <c r="T243" s="39">
        <f>ACOS(COS(RADIANS(90-O243))*COS(RADIANS(90-_xlfn.XLOOKUP(Q243,'MRT station dataset'!$C$3:$C$179,'MRT station dataset'!$E$3:$E$179)))+SIN(RADIANS(90-O243))*SIN(RADIANS(90-_xlfn.XLOOKUP(Q243,'MRT station dataset'!$C$3:$C$179,'MRT station dataset'!$E$3:$E$179)))*COS(RADIANS(P243-_xlfn.XLOOKUP('Resale flat dataset (DV)'!Q243,'MRT station dataset'!$C$3:$C$179,'MRT station dataset'!$F$3:$F$179))))*6371*1000</f>
        <v>333.81015233219546</v>
      </c>
      <c r="U243" s="39">
        <f>ACOS(COS(RADIANS(90-O243))*COS(RADIANS(90-_xlfn.XLOOKUP(R243,'Mall Dataset'!$B$3:$B$157,'Mall Dataset'!$E$3:$E$157,,0)))+SIN(RADIANS(90-O243))*SIN(RADIANS(90-_xlfn.XLOOKUP(R243,'Mall Dataset'!$B$3:$B$157,'Mall Dataset'!$E$3:$E$157,,0)))*COS(RADIANS(P243-_xlfn.XLOOKUP(R243,'Mall Dataset'!$B$3:$B$157,'Mall Dataset'!$F$3:$F$157,,0))))*6371*1000</f>
        <v>650.52547996074179</v>
      </c>
      <c r="V243" s="39">
        <f>ACOS(COS(RADIANS(90-O243))*COS(RADIANS(90-_xlfn.XLOOKUP(S243,'Schools dataset'!$B$3:$B$187,'Schools dataset'!$J$3:$J$187,,0)))+SIN(RADIANS(90-O243))*SIN(RADIANS(90-_xlfn.XLOOKUP(S243,'Schools dataset'!$B$3:$B$187,'Schools dataset'!$J$3:$J$187,,0)))*COS(RADIANS(P243-_xlfn.XLOOKUP(S243,'Schools dataset'!$B$3:$B$187,'Schools dataset'!$K$3:$K$187,,0))))*6371*1000</f>
        <v>583.66706075886304</v>
      </c>
      <c r="W243" s="20">
        <f>_xlfn.XLOOKUP(T243,'HDB Recommender'!$P$10:$P$39,'HDB Recommender'!$Q$10:$Q$39,"&gt;30mins",1)</f>
        <v>5</v>
      </c>
      <c r="X243" s="20">
        <f>_xlfn.XLOOKUP(U243,'HDB Recommender'!$P$10:$P$39,'HDB Recommender'!$Q$10:$Q$39,"&gt;30mins",1)</f>
        <v>9</v>
      </c>
      <c r="Y243" s="20">
        <f>_xlfn.XLOOKUP(V243,'HDB Recommender'!$P$10:$P$39,'HDB Recommender'!$Q$10:$Q$39,"&gt;30mins",1)</f>
        <v>8</v>
      </c>
      <c r="Z243" s="39">
        <f t="shared" si="6"/>
        <v>7.333333333333333</v>
      </c>
      <c r="AA243" s="20" t="str">
        <f t="shared" si="7"/>
        <v>Within 1km</v>
      </c>
    </row>
    <row r="244" spans="2:27">
      <c r="B244" s="35" t="s">
        <v>317</v>
      </c>
      <c r="C244" s="35" t="s">
        <v>705</v>
      </c>
      <c r="D244" s="35" t="s">
        <v>341</v>
      </c>
      <c r="E244" s="35"/>
      <c r="F244" s="35" t="s">
        <v>738</v>
      </c>
      <c r="G244" s="35" t="s">
        <v>189</v>
      </c>
      <c r="H244" s="35">
        <v>112</v>
      </c>
      <c r="I244" s="35" t="s">
        <v>389</v>
      </c>
      <c r="J244" s="36">
        <v>2003</v>
      </c>
      <c r="K244" s="39">
        <v>79.0833333333333</v>
      </c>
      <c r="L244" s="37">
        <v>555000</v>
      </c>
      <c r="M244" s="35" t="s">
        <v>739</v>
      </c>
      <c r="N244" s="27">
        <v>541157</v>
      </c>
      <c r="O244" s="38">
        <v>1.38785512397153</v>
      </c>
      <c r="P244" s="38">
        <v>103.90839290098199</v>
      </c>
      <c r="Q244" s="38" t="str" cm="1">
        <f t="array" ref="Q244">INDEX('MRT station dataset'!$C$3:$C$179, MATCH(MIN(SQRT(('MRT station dataset'!$E$3:$E$179-'Resale flat dataset (DV)'!O244)^2+('MRT station dataset'!$F$3:$F$179-'Resale flat dataset (DV)'!P244)^2)), SQRT(('MRT station dataset'!$E$3:$E$179-'Resale flat dataset (DV)'!O244)^2+('MRT station dataset'!$F$3:$F$179-'Resale flat dataset (DV)'!P244)^2), 0))</f>
        <v>BAKAU LRT STATION</v>
      </c>
      <c r="R244" s="38" t="str" cm="1">
        <f t="array" ref="R244">INDEX('Mall Dataset'!$B$3:$B$157, MATCH(MIN(SQRT(('Mall Dataset'!$E$3:$E$157-'Resale flat dataset (DV)'!O244)^2+('Mall Dataset'!$F$3:$F$157-'Resale flat dataset (DV)'!P244)^2)), SQRT(('Mall Dataset'!$E$3:$E$157-'Resale flat dataset (DV)'!O244)^2+('Mall Dataset'!$F$3:$F$157-'Resale flat dataset (DV)'!P244)^2), 0))</f>
        <v>Rivervale Mall</v>
      </c>
      <c r="S244" s="38" t="str" cm="1">
        <f t="array" ref="S244">INDEX('Schools dataset'!$B$3:$B$187, MATCH(MIN(SQRT(('Schools dataset'!$J$3:$J$187-'Resale flat dataset (DV)'!O244)^2+('Schools dataset'!$K$3:$K$187-'Resale flat dataset (DV)'!P244)^2)), SQRT(('Schools dataset'!$J$3:$J$187-'Resale flat dataset (DV)'!O244)^2+('Schools dataset'!$K$3:$K$187-'Resale flat dataset (DV)'!P244)^2), 0))</f>
        <v>NORTH SPRING PRIMARY SCHOOL</v>
      </c>
      <c r="T244" s="39">
        <f>ACOS(COS(RADIANS(90-O244))*COS(RADIANS(90-_xlfn.XLOOKUP(Q244,'MRT station dataset'!$C$3:$C$179,'MRT station dataset'!$E$3:$E$179)))+SIN(RADIANS(90-O244))*SIN(RADIANS(90-_xlfn.XLOOKUP(Q244,'MRT station dataset'!$C$3:$C$179,'MRT station dataset'!$E$3:$E$179)))*COS(RADIANS(P244-_xlfn.XLOOKUP('Resale flat dataset (DV)'!Q244,'MRT station dataset'!$C$3:$C$179,'MRT station dataset'!$F$3:$F$179))))*6371*1000</f>
        <v>333.81015233219546</v>
      </c>
      <c r="U244" s="39">
        <f>ACOS(COS(RADIANS(90-O244))*COS(RADIANS(90-_xlfn.XLOOKUP(R244,'Mall Dataset'!$B$3:$B$157,'Mall Dataset'!$E$3:$E$157,,0)))+SIN(RADIANS(90-O244))*SIN(RADIANS(90-_xlfn.XLOOKUP(R244,'Mall Dataset'!$B$3:$B$157,'Mall Dataset'!$E$3:$E$157,,0)))*COS(RADIANS(P244-_xlfn.XLOOKUP(R244,'Mall Dataset'!$B$3:$B$157,'Mall Dataset'!$F$3:$F$157,,0))))*6371*1000</f>
        <v>650.52547996074179</v>
      </c>
      <c r="V244" s="39">
        <f>ACOS(COS(RADIANS(90-O244))*COS(RADIANS(90-_xlfn.XLOOKUP(S244,'Schools dataset'!$B$3:$B$187,'Schools dataset'!$J$3:$J$187,,0)))+SIN(RADIANS(90-O244))*SIN(RADIANS(90-_xlfn.XLOOKUP(S244,'Schools dataset'!$B$3:$B$187,'Schools dataset'!$J$3:$J$187,,0)))*COS(RADIANS(P244-_xlfn.XLOOKUP(S244,'Schools dataset'!$B$3:$B$187,'Schools dataset'!$K$3:$K$187,,0))))*6371*1000</f>
        <v>583.66706075886304</v>
      </c>
      <c r="W244" s="20">
        <f>_xlfn.XLOOKUP(T244,'HDB Recommender'!$P$10:$P$39,'HDB Recommender'!$Q$10:$Q$39,"&gt;30mins",1)</f>
        <v>5</v>
      </c>
      <c r="X244" s="20">
        <f>_xlfn.XLOOKUP(U244,'HDB Recommender'!$P$10:$P$39,'HDB Recommender'!$Q$10:$Q$39,"&gt;30mins",1)</f>
        <v>9</v>
      </c>
      <c r="Y244" s="20">
        <f>_xlfn.XLOOKUP(V244,'HDB Recommender'!$P$10:$P$39,'HDB Recommender'!$Q$10:$Q$39,"&gt;30mins",1)</f>
        <v>8</v>
      </c>
      <c r="Z244" s="39">
        <f t="shared" si="6"/>
        <v>7.333333333333333</v>
      </c>
      <c r="AA244" s="20" t="str">
        <f t="shared" si="7"/>
        <v>Within 1km</v>
      </c>
    </row>
    <row r="245" spans="2:27">
      <c r="B245" s="35" t="s">
        <v>317</v>
      </c>
      <c r="C245" s="35" t="s">
        <v>705</v>
      </c>
      <c r="D245" s="35" t="s">
        <v>341</v>
      </c>
      <c r="E245" s="35"/>
      <c r="F245" s="35" t="s">
        <v>740</v>
      </c>
      <c r="G245" s="35" t="s">
        <v>323</v>
      </c>
      <c r="H245" s="35">
        <v>110</v>
      </c>
      <c r="I245" s="35" t="s">
        <v>326</v>
      </c>
      <c r="J245" s="36">
        <v>2000</v>
      </c>
      <c r="K245" s="39">
        <v>76.1666666666666</v>
      </c>
      <c r="L245" s="37">
        <v>695000</v>
      </c>
      <c r="M245" s="35" t="s">
        <v>741</v>
      </c>
      <c r="N245" s="27">
        <v>541261</v>
      </c>
      <c r="O245" s="38">
        <v>1.3940974696348001</v>
      </c>
      <c r="P245" s="38">
        <v>103.89442184663601</v>
      </c>
      <c r="Q245" s="38" t="str" cm="1">
        <f t="array" ref="Q245">INDEX('MRT station dataset'!$C$3:$C$179, MATCH(MIN(SQRT(('MRT station dataset'!$E$3:$E$179-'Resale flat dataset (DV)'!O245)^2+('MRT station dataset'!$F$3:$F$179-'Resale flat dataset (DV)'!P245)^2)), SQRT(('MRT station dataset'!$E$3:$E$179-'Resale flat dataset (DV)'!O245)^2+('MRT station dataset'!$F$3:$F$179-'Resale flat dataset (DV)'!P245)^2), 0))</f>
        <v>CHENG LIM LRT STATION</v>
      </c>
      <c r="R245" s="38" t="str" cm="1">
        <f t="array" ref="R245">INDEX('Mall Dataset'!$B$3:$B$157, MATCH(MIN(SQRT(('Mall Dataset'!$E$3:$E$157-'Resale flat dataset (DV)'!O245)^2+('Mall Dataset'!$F$3:$F$157-'Resale flat dataset (DV)'!P245)^2)), SQRT(('Mall Dataset'!$E$3:$E$157-'Resale flat dataset (DV)'!O245)^2+('Mall Dataset'!$F$3:$F$157-'Resale flat dataset (DV)'!P245)^2), 0))</f>
        <v>Compass One</v>
      </c>
      <c r="S245" s="38" t="str" cm="1">
        <f t="array" ref="S245">INDEX('Schools dataset'!$B$3:$B$187, MATCH(MIN(SQRT(('Schools dataset'!$J$3:$J$187-'Resale flat dataset (DV)'!O245)^2+('Schools dataset'!$K$3:$K$187-'Resale flat dataset (DV)'!P245)^2)), SQRT(('Schools dataset'!$J$3:$J$187-'Resale flat dataset (DV)'!O245)^2+('Schools dataset'!$K$3:$K$187-'Resale flat dataset (DV)'!P245)^2), 0))</f>
        <v>COMPASSVALE PRIMARY SCHOOL</v>
      </c>
      <c r="T245" s="39">
        <f>ACOS(COS(RADIANS(90-O245))*COS(RADIANS(90-_xlfn.XLOOKUP(Q245,'MRT station dataset'!$C$3:$C$179,'MRT station dataset'!$E$3:$E$179)))+SIN(RADIANS(90-O245))*SIN(RADIANS(90-_xlfn.XLOOKUP(Q245,'MRT station dataset'!$C$3:$C$179,'MRT station dataset'!$E$3:$E$179)))*COS(RADIANS(P245-_xlfn.XLOOKUP('Resale flat dataset (DV)'!Q245,'MRT station dataset'!$C$3:$C$179,'MRT station dataset'!$F$3:$F$179))))*6371*1000</f>
        <v>254.47861283249273</v>
      </c>
      <c r="U245" s="39">
        <f>ACOS(COS(RADIANS(90-O245))*COS(RADIANS(90-_xlfn.XLOOKUP(R245,'Mall Dataset'!$B$3:$B$157,'Mall Dataset'!$E$3:$E$157,,0)))+SIN(RADIANS(90-O245))*SIN(RADIANS(90-_xlfn.XLOOKUP(R245,'Mall Dataset'!$B$3:$B$157,'Mall Dataset'!$E$3:$E$157,,0)))*COS(RADIANS(P245-_xlfn.XLOOKUP(R245,'Mall Dataset'!$B$3:$B$157,'Mall Dataset'!$F$3:$F$157,,0))))*6371*1000</f>
        <v>238.48232481814779</v>
      </c>
      <c r="V245" s="39">
        <f>ACOS(COS(RADIANS(90-O245))*COS(RADIANS(90-_xlfn.XLOOKUP(S245,'Schools dataset'!$B$3:$B$187,'Schools dataset'!$J$3:$J$187,,0)))+SIN(RADIANS(90-O245))*SIN(RADIANS(90-_xlfn.XLOOKUP(S245,'Schools dataset'!$B$3:$B$187,'Schools dataset'!$J$3:$J$187,,0)))*COS(RADIANS(P245-_xlfn.XLOOKUP(S245,'Schools dataset'!$B$3:$B$187,'Schools dataset'!$K$3:$K$187,,0))))*6371*1000</f>
        <v>378.86115439964163</v>
      </c>
      <c r="W245" s="20">
        <f>_xlfn.XLOOKUP(T245,'HDB Recommender'!$P$10:$P$39,'HDB Recommender'!$Q$10:$Q$39,"&gt;30mins",1)</f>
        <v>4</v>
      </c>
      <c r="X245" s="20">
        <f>_xlfn.XLOOKUP(U245,'HDB Recommender'!$P$10:$P$39,'HDB Recommender'!$Q$10:$Q$39,"&gt;30mins",1)</f>
        <v>4</v>
      </c>
      <c r="Y245" s="20">
        <f>_xlfn.XLOOKUP(V245,'HDB Recommender'!$P$10:$P$39,'HDB Recommender'!$Q$10:$Q$39,"&gt;30mins",1)</f>
        <v>6</v>
      </c>
      <c r="Z245" s="39">
        <f t="shared" si="6"/>
        <v>4.666666666666667</v>
      </c>
      <c r="AA245" s="20" t="str">
        <f t="shared" si="7"/>
        <v>Within 1km</v>
      </c>
    </row>
    <row r="246" spans="2:27">
      <c r="B246" s="35" t="s">
        <v>317</v>
      </c>
      <c r="C246" s="35" t="s">
        <v>705</v>
      </c>
      <c r="D246" s="35" t="s">
        <v>341</v>
      </c>
      <c r="E246" s="35"/>
      <c r="F246" s="35" t="s">
        <v>740</v>
      </c>
      <c r="G246" s="35" t="s">
        <v>323</v>
      </c>
      <c r="H246" s="35">
        <v>110</v>
      </c>
      <c r="I246" s="35" t="s">
        <v>326</v>
      </c>
      <c r="J246" s="36">
        <v>2000</v>
      </c>
      <c r="K246" s="39">
        <v>76</v>
      </c>
      <c r="L246" s="37">
        <v>590000</v>
      </c>
      <c r="M246" s="35" t="s">
        <v>742</v>
      </c>
      <c r="N246" s="27">
        <v>544121</v>
      </c>
      <c r="O246" s="38">
        <v>1.3857952112165099</v>
      </c>
      <c r="P246" s="38">
        <v>103.90541395859201</v>
      </c>
      <c r="Q246" s="38" t="str" cm="1">
        <f t="array" ref="Q246">INDEX('MRT station dataset'!$C$3:$C$179, MATCH(MIN(SQRT(('MRT station dataset'!$E$3:$E$179-'Resale flat dataset (DV)'!O246)^2+('MRT station dataset'!$F$3:$F$179-'Resale flat dataset (DV)'!P246)^2)), SQRT(('MRT station dataset'!$E$3:$E$179-'Resale flat dataset (DV)'!O246)^2+('MRT station dataset'!$F$3:$F$179-'Resale flat dataset (DV)'!P246)^2), 0))</f>
        <v>BAKAU LRT STATION</v>
      </c>
      <c r="R246" s="38" t="str" cm="1">
        <f t="array" ref="R246">INDEX('Mall Dataset'!$B$3:$B$157, MATCH(MIN(SQRT(('Mall Dataset'!$E$3:$E$157-'Resale flat dataset (DV)'!O246)^2+('Mall Dataset'!$F$3:$F$157-'Resale flat dataset (DV)'!P246)^2)), SQRT(('Mall Dataset'!$E$3:$E$157-'Resale flat dataset (DV)'!O246)^2+('Mall Dataset'!$F$3:$F$157-'Resale flat dataset (DV)'!P246)^2), 0))</f>
        <v>Rivervale Plaza</v>
      </c>
      <c r="S246" s="38" t="str" cm="1">
        <f t="array" ref="S246">INDEX('Schools dataset'!$B$3:$B$187, MATCH(MIN(SQRT(('Schools dataset'!$J$3:$J$187-'Resale flat dataset (DV)'!O246)^2+('Schools dataset'!$K$3:$K$187-'Resale flat dataset (DV)'!P246)^2)), SQRT(('Schools dataset'!$J$3:$J$187-'Resale flat dataset (DV)'!O246)^2+('Schools dataset'!$K$3:$K$187-'Resale flat dataset (DV)'!P246)^2), 0))</f>
        <v>NORTH SPRING PRIMARY SCHOOL</v>
      </c>
      <c r="T246" s="39">
        <f>ACOS(COS(RADIANS(90-O246))*COS(RADIANS(90-_xlfn.XLOOKUP(Q246,'MRT station dataset'!$C$3:$C$179,'MRT station dataset'!$E$3:$E$179)))+SIN(RADIANS(90-O246))*SIN(RADIANS(90-_xlfn.XLOOKUP(Q246,'MRT station dataset'!$C$3:$C$179,'MRT station dataset'!$E$3:$E$179)))*COS(RADIANS(P246-_xlfn.XLOOKUP('Resale flat dataset (DV)'!Q246,'MRT station dataset'!$C$3:$C$179,'MRT station dataset'!$F$3:$F$179))))*6371*1000</f>
        <v>256.28553409761844</v>
      </c>
      <c r="U246" s="39">
        <f>ACOS(COS(RADIANS(90-O246))*COS(RADIANS(90-_xlfn.XLOOKUP(R246,'Mall Dataset'!$B$3:$B$157,'Mall Dataset'!$E$3:$E$157,,0)))+SIN(RADIANS(90-O246))*SIN(RADIANS(90-_xlfn.XLOOKUP(R246,'Mall Dataset'!$B$3:$B$157,'Mall Dataset'!$E$3:$E$157,,0)))*COS(RADIANS(P246-_xlfn.XLOOKUP(R246,'Mall Dataset'!$B$3:$B$157,'Mall Dataset'!$F$3:$F$157,,0))))*6371*1000</f>
        <v>382.16294703438103</v>
      </c>
      <c r="V246" s="39">
        <f>ACOS(COS(RADIANS(90-O246))*COS(RADIANS(90-_xlfn.XLOOKUP(S246,'Schools dataset'!$B$3:$B$187,'Schools dataset'!$J$3:$J$187,,0)))+SIN(RADIANS(90-O246))*SIN(RADIANS(90-_xlfn.XLOOKUP(S246,'Schools dataset'!$B$3:$B$187,'Schools dataset'!$J$3:$J$187,,0)))*COS(RADIANS(P246-_xlfn.XLOOKUP(S246,'Schools dataset'!$B$3:$B$187,'Schools dataset'!$K$3:$K$187,,0))))*6371*1000</f>
        <v>283.28042295634083</v>
      </c>
      <c r="W246" s="20">
        <f>_xlfn.XLOOKUP(T246,'HDB Recommender'!$P$10:$P$39,'HDB Recommender'!$Q$10:$Q$39,"&gt;30mins",1)</f>
        <v>4</v>
      </c>
      <c r="X246" s="20">
        <f>_xlfn.XLOOKUP(U246,'HDB Recommender'!$P$10:$P$39,'HDB Recommender'!$Q$10:$Q$39,"&gt;30mins",1)</f>
        <v>6</v>
      </c>
      <c r="Y246" s="20">
        <f>_xlfn.XLOOKUP(V246,'HDB Recommender'!$P$10:$P$39,'HDB Recommender'!$Q$10:$Q$39,"&gt;30mins",1)</f>
        <v>4</v>
      </c>
      <c r="Z246" s="39">
        <f t="shared" si="6"/>
        <v>4.666666666666667</v>
      </c>
      <c r="AA246" s="20" t="str">
        <f t="shared" si="7"/>
        <v>Within 1km</v>
      </c>
    </row>
    <row r="247" spans="2:27">
      <c r="B247" s="35" t="s">
        <v>317</v>
      </c>
      <c r="C247" s="35" t="s">
        <v>705</v>
      </c>
      <c r="D247" s="35" t="s">
        <v>383</v>
      </c>
      <c r="E247" s="35"/>
      <c r="F247" s="35" t="s">
        <v>743</v>
      </c>
      <c r="G247" s="35" t="s">
        <v>346</v>
      </c>
      <c r="H247" s="35">
        <v>131</v>
      </c>
      <c r="I247" s="35" t="s">
        <v>384</v>
      </c>
      <c r="J247" s="36">
        <v>2000</v>
      </c>
      <c r="K247" s="39">
        <v>75.8333333333333</v>
      </c>
      <c r="L247" s="37">
        <v>718000</v>
      </c>
      <c r="M247" s="35" t="s">
        <v>744</v>
      </c>
      <c r="N247" s="27">
        <v>542189</v>
      </c>
      <c r="O247" s="38">
        <v>1.3957956866723999</v>
      </c>
      <c r="P247" s="38">
        <v>103.903630293443</v>
      </c>
      <c r="Q247" s="38" t="str" cm="1">
        <f t="array" ref="Q247">INDEX('MRT station dataset'!$C$3:$C$179, MATCH(MIN(SQRT(('MRT station dataset'!$E$3:$E$179-'Resale flat dataset (DV)'!O247)^2+('MRT station dataset'!$F$3:$F$179-'Resale flat dataset (DV)'!P247)^2)), SQRT(('MRT station dataset'!$E$3:$E$179-'Resale flat dataset (DV)'!O247)^2+('MRT station dataset'!$F$3:$F$179-'Resale flat dataset (DV)'!P247)^2), 0))</f>
        <v>COMPASSVALE LRT STATION</v>
      </c>
      <c r="R247" s="38" t="str" cm="1">
        <f t="array" ref="R247">INDEX('Mall Dataset'!$B$3:$B$157, MATCH(MIN(SQRT(('Mall Dataset'!$E$3:$E$157-'Resale flat dataset (DV)'!O247)^2+('Mall Dataset'!$F$3:$F$157-'Resale flat dataset (DV)'!P247)^2)), SQRT(('Mall Dataset'!$E$3:$E$157-'Resale flat dataset (DV)'!O247)^2+('Mall Dataset'!$F$3:$F$157-'Resale flat dataset (DV)'!P247)^2), 0))</f>
        <v>Rivervale Mall</v>
      </c>
      <c r="S247" s="38" t="str" cm="1">
        <f t="array" ref="S247">INDEX('Schools dataset'!$B$3:$B$187, MATCH(MIN(SQRT(('Schools dataset'!$J$3:$J$187-'Resale flat dataset (DV)'!O247)^2+('Schools dataset'!$K$3:$K$187-'Resale flat dataset (DV)'!P247)^2)), SQRT(('Schools dataset'!$J$3:$J$187-'Resale flat dataset (DV)'!O247)^2+('Schools dataset'!$K$3:$K$187-'Resale flat dataset (DV)'!P247)^2), 0))</f>
        <v>RIVERVALE PRIMARY SCHOOL</v>
      </c>
      <c r="T247" s="39">
        <f>ACOS(COS(RADIANS(90-O247))*COS(RADIANS(90-_xlfn.XLOOKUP(Q247,'MRT station dataset'!$C$3:$C$179,'MRT station dataset'!$E$3:$E$179)))+SIN(RADIANS(90-O247))*SIN(RADIANS(90-_xlfn.XLOOKUP(Q247,'MRT station dataset'!$C$3:$C$179,'MRT station dataset'!$E$3:$E$179)))*COS(RADIANS(P247-_xlfn.XLOOKUP('Resale flat dataset (DV)'!Q247,'MRT station dataset'!$C$3:$C$179,'MRT station dataset'!$F$3:$F$179))))*6371*1000</f>
        <v>376.61660720985157</v>
      </c>
      <c r="U247" s="39">
        <f>ACOS(COS(RADIANS(90-O247))*COS(RADIANS(90-_xlfn.XLOOKUP(R247,'Mall Dataset'!$B$3:$B$157,'Mall Dataset'!$E$3:$E$157,,0)))+SIN(RADIANS(90-O247))*SIN(RADIANS(90-_xlfn.XLOOKUP(R247,'Mall Dataset'!$B$3:$B$157,'Mall Dataset'!$E$3:$E$157,,0)))*COS(RADIANS(P247-_xlfn.XLOOKUP(R247,'Mall Dataset'!$B$3:$B$157,'Mall Dataset'!$F$3:$F$157,,0))))*6371*1000</f>
        <v>410.8546776697537</v>
      </c>
      <c r="V247" s="39">
        <f>ACOS(COS(RADIANS(90-O247))*COS(RADIANS(90-_xlfn.XLOOKUP(S247,'Schools dataset'!$B$3:$B$187,'Schools dataset'!$J$3:$J$187,,0)))+SIN(RADIANS(90-O247))*SIN(RADIANS(90-_xlfn.XLOOKUP(S247,'Schools dataset'!$B$3:$B$187,'Schools dataset'!$J$3:$J$187,,0)))*COS(RADIANS(P247-_xlfn.XLOOKUP(S247,'Schools dataset'!$B$3:$B$187,'Schools dataset'!$K$3:$K$187,,0))))*6371*1000</f>
        <v>284.67947533813123</v>
      </c>
      <c r="W247" s="20">
        <f>_xlfn.XLOOKUP(T247,'HDB Recommender'!$P$10:$P$39,'HDB Recommender'!$Q$10:$Q$39,"&gt;30mins",1)</f>
        <v>6</v>
      </c>
      <c r="X247" s="20">
        <f>_xlfn.XLOOKUP(U247,'HDB Recommender'!$P$10:$P$39,'HDB Recommender'!$Q$10:$Q$39,"&gt;30mins",1)</f>
        <v>6</v>
      </c>
      <c r="Y247" s="20">
        <f>_xlfn.XLOOKUP(V247,'HDB Recommender'!$P$10:$P$39,'HDB Recommender'!$Q$10:$Q$39,"&gt;30mins",1)</f>
        <v>4</v>
      </c>
      <c r="Z247" s="39">
        <f t="shared" si="6"/>
        <v>5.333333333333333</v>
      </c>
      <c r="AA247" s="20" t="str">
        <f t="shared" si="7"/>
        <v>Within 1km</v>
      </c>
    </row>
    <row r="248" spans="2:27">
      <c r="B248" s="35" t="s">
        <v>317</v>
      </c>
      <c r="C248" s="35" t="s">
        <v>745</v>
      </c>
      <c r="D248" s="35" t="s">
        <v>318</v>
      </c>
      <c r="E248" s="35">
        <v>214</v>
      </c>
      <c r="F248" s="35" t="s">
        <v>746</v>
      </c>
      <c r="G248" s="35" t="s">
        <v>349</v>
      </c>
      <c r="H248" s="35">
        <v>67</v>
      </c>
      <c r="I248" s="35" t="s">
        <v>320</v>
      </c>
      <c r="J248" s="36">
        <v>1985</v>
      </c>
      <c r="K248" s="39">
        <v>60.4166666666666</v>
      </c>
      <c r="L248" s="37">
        <v>390000</v>
      </c>
      <c r="M248" s="35" t="s">
        <v>747</v>
      </c>
      <c r="N248" s="27">
        <v>550214</v>
      </c>
      <c r="O248" s="38">
        <v>1.3573242685270099</v>
      </c>
      <c r="P248" s="38">
        <v>103.873634696558</v>
      </c>
      <c r="Q248" s="38" t="str" cm="1">
        <f t="array" ref="Q248">INDEX('MRT station dataset'!$C$3:$C$179, MATCH(MIN(SQRT(('MRT station dataset'!$E$3:$E$179-'Resale flat dataset (DV)'!O248)^2+('MRT station dataset'!$F$3:$F$179-'Resale flat dataset (DV)'!P248)^2)), SQRT(('MRT station dataset'!$E$3:$E$179-'Resale flat dataset (DV)'!O248)^2+('MRT station dataset'!$F$3:$F$179-'Resale flat dataset (DV)'!P248)^2), 0))</f>
        <v>SERANGOON MRT STATION</v>
      </c>
      <c r="R248" s="38" t="str" cm="1">
        <f t="array" ref="R248">INDEX('Mall Dataset'!$B$3:$B$157, MATCH(MIN(SQRT(('Mall Dataset'!$E$3:$E$157-'Resale flat dataset (DV)'!O248)^2+('Mall Dataset'!$F$3:$F$157-'Resale flat dataset (DV)'!P248)^2)), SQRT(('Mall Dataset'!$E$3:$E$157-'Resale flat dataset (DV)'!O248)^2+('Mall Dataset'!$F$3:$F$157-'Resale flat dataset (DV)'!P248)^2), 0))</f>
        <v>Upper Serangoon Shopping Centre</v>
      </c>
      <c r="S248" s="38" t="str" cm="1">
        <f t="array" ref="S248">INDEX('Schools dataset'!$B$3:$B$187, MATCH(MIN(SQRT(('Schools dataset'!$J$3:$J$187-'Resale flat dataset (DV)'!O248)^2+('Schools dataset'!$K$3:$K$187-'Resale flat dataset (DV)'!P248)^2)), SQRT(('Schools dataset'!$J$3:$J$187-'Resale flat dataset (DV)'!O248)^2+('Schools dataset'!$K$3:$K$187-'Resale flat dataset (DV)'!P248)^2), 0))</f>
        <v>ZHONGHUA PRIMARY SCHOOL</v>
      </c>
      <c r="T248" s="39">
        <f>ACOS(COS(RADIANS(90-O248))*COS(RADIANS(90-_xlfn.XLOOKUP(Q248,'MRT station dataset'!$C$3:$C$179,'MRT station dataset'!$E$3:$E$179)))+SIN(RADIANS(90-O248))*SIN(RADIANS(90-_xlfn.XLOOKUP(Q248,'MRT station dataset'!$C$3:$C$179,'MRT station dataset'!$E$3:$E$179)))*COS(RADIANS(P248-_xlfn.XLOOKUP('Resale flat dataset (DV)'!Q248,'MRT station dataset'!$C$3:$C$179,'MRT station dataset'!$F$3:$F$179))))*6371*1000</f>
        <v>847.78875321793362</v>
      </c>
      <c r="U248" s="39">
        <f>ACOS(COS(RADIANS(90-O248))*COS(RADIANS(90-_xlfn.XLOOKUP(R248,'Mall Dataset'!$B$3:$B$157,'Mall Dataset'!$E$3:$E$157,,0)))+SIN(RADIANS(90-O248))*SIN(RADIANS(90-_xlfn.XLOOKUP(R248,'Mall Dataset'!$B$3:$B$157,'Mall Dataset'!$E$3:$E$157,,0)))*COS(RADIANS(P248-_xlfn.XLOOKUP(R248,'Mall Dataset'!$B$3:$B$157,'Mall Dataset'!$F$3:$F$157,,0))))*6371*1000</f>
        <v>718.29500733564089</v>
      </c>
      <c r="V248" s="39">
        <f>ACOS(COS(RADIANS(90-O248))*COS(RADIANS(90-_xlfn.XLOOKUP(S248,'Schools dataset'!$B$3:$B$187,'Schools dataset'!$J$3:$J$187,,0)))+SIN(RADIANS(90-O248))*SIN(RADIANS(90-_xlfn.XLOOKUP(S248,'Schools dataset'!$B$3:$B$187,'Schools dataset'!$J$3:$J$187,,0)))*COS(RADIANS(P248-_xlfn.XLOOKUP(S248,'Schools dataset'!$B$3:$B$187,'Schools dataset'!$K$3:$K$187,,0))))*6371*1000</f>
        <v>544.71459190964674</v>
      </c>
      <c r="W248" s="20">
        <f>_xlfn.XLOOKUP(T248,'HDB Recommender'!$P$10:$P$39,'HDB Recommender'!$Q$10:$Q$39,"&gt;30mins",1)</f>
        <v>12</v>
      </c>
      <c r="X248" s="20">
        <f>_xlfn.XLOOKUP(U248,'HDB Recommender'!$P$10:$P$39,'HDB Recommender'!$Q$10:$Q$39,"&gt;30mins",1)</f>
        <v>10</v>
      </c>
      <c r="Y248" s="20">
        <f>_xlfn.XLOOKUP(V248,'HDB Recommender'!$P$10:$P$39,'HDB Recommender'!$Q$10:$Q$39,"&gt;30mins",1)</f>
        <v>8</v>
      </c>
      <c r="Z248" s="39">
        <f t="shared" si="6"/>
        <v>10</v>
      </c>
      <c r="AA248" s="20" t="str">
        <f t="shared" si="7"/>
        <v>Within 1km</v>
      </c>
    </row>
    <row r="249" spans="2:27">
      <c r="B249" s="35" t="s">
        <v>317</v>
      </c>
      <c r="C249" s="35" t="s">
        <v>745</v>
      </c>
      <c r="D249" s="35" t="s">
        <v>20</v>
      </c>
      <c r="E249" s="35">
        <v>217</v>
      </c>
      <c r="F249" s="35" t="s">
        <v>746</v>
      </c>
      <c r="G249" s="35" t="s">
        <v>349</v>
      </c>
      <c r="H249" s="35">
        <v>91</v>
      </c>
      <c r="I249" s="35" t="s">
        <v>320</v>
      </c>
      <c r="J249" s="36">
        <v>1984</v>
      </c>
      <c r="K249" s="39">
        <v>60.0833333333333</v>
      </c>
      <c r="L249" s="37">
        <v>558000</v>
      </c>
      <c r="M249" s="35" t="s">
        <v>748</v>
      </c>
      <c r="N249" s="27">
        <v>550217</v>
      </c>
      <c r="O249" s="38">
        <v>1.35760697804251</v>
      </c>
      <c r="P249" s="38">
        <v>103.872261070554</v>
      </c>
      <c r="Q249" s="38" t="str" cm="1">
        <f t="array" ref="Q249">INDEX('MRT station dataset'!$C$3:$C$179, MATCH(MIN(SQRT(('MRT station dataset'!$E$3:$E$179-'Resale flat dataset (DV)'!O249)^2+('MRT station dataset'!$F$3:$F$179-'Resale flat dataset (DV)'!P249)^2)), SQRT(('MRT station dataset'!$E$3:$E$179-'Resale flat dataset (DV)'!O249)^2+('MRT station dataset'!$F$3:$F$179-'Resale flat dataset (DV)'!P249)^2), 0))</f>
        <v>SERANGOON MRT STATION</v>
      </c>
      <c r="R249" s="38" t="str" cm="1">
        <f t="array" ref="R249">INDEX('Mall Dataset'!$B$3:$B$157, MATCH(MIN(SQRT(('Mall Dataset'!$E$3:$E$157-'Resale flat dataset (DV)'!O249)^2+('Mall Dataset'!$F$3:$F$157-'Resale flat dataset (DV)'!P249)^2)), SQRT(('Mall Dataset'!$E$3:$E$157-'Resale flat dataset (DV)'!O249)^2+('Mall Dataset'!$F$3:$F$157-'Resale flat dataset (DV)'!P249)^2), 0))</f>
        <v>NEX</v>
      </c>
      <c r="S249" s="38" t="str" cm="1">
        <f t="array" ref="S249">INDEX('Schools dataset'!$B$3:$B$187, MATCH(MIN(SQRT(('Schools dataset'!$J$3:$J$187-'Resale flat dataset (DV)'!O249)^2+('Schools dataset'!$K$3:$K$187-'Resale flat dataset (DV)'!P249)^2)), SQRT(('Schools dataset'!$J$3:$J$187-'Resale flat dataset (DV)'!O249)^2+('Schools dataset'!$K$3:$K$187-'Resale flat dataset (DV)'!P249)^2), 0))</f>
        <v>ZHONGHUA PRIMARY SCHOOL</v>
      </c>
      <c r="T249" s="39">
        <f>ACOS(COS(RADIANS(90-O249))*COS(RADIANS(90-_xlfn.XLOOKUP(Q249,'MRT station dataset'!$C$3:$C$179,'MRT station dataset'!$E$3:$E$179)))+SIN(RADIANS(90-O249))*SIN(RADIANS(90-_xlfn.XLOOKUP(Q249,'MRT station dataset'!$C$3:$C$179,'MRT station dataset'!$E$3:$E$179)))*COS(RADIANS(P249-_xlfn.XLOOKUP('Resale flat dataset (DV)'!Q249,'MRT station dataset'!$C$3:$C$179,'MRT station dataset'!$F$3:$F$179))))*6371*1000</f>
        <v>891.72530386335416</v>
      </c>
      <c r="U249" s="39">
        <f>ACOS(COS(RADIANS(90-O249))*COS(RADIANS(90-_xlfn.XLOOKUP(R249,'Mall Dataset'!$B$3:$B$157,'Mall Dataset'!$E$3:$E$157,,0)))+SIN(RADIANS(90-O249))*SIN(RADIANS(90-_xlfn.XLOOKUP(R249,'Mall Dataset'!$B$3:$B$157,'Mall Dataset'!$E$3:$E$157,,0)))*COS(RADIANS(P249-_xlfn.XLOOKUP(R249,'Mall Dataset'!$B$3:$B$157,'Mall Dataset'!$F$3:$F$157,,0))))*6371*1000</f>
        <v>760.31926429144539</v>
      </c>
      <c r="V249" s="39">
        <f>ACOS(COS(RADIANS(90-O249))*COS(RADIANS(90-_xlfn.XLOOKUP(S249,'Schools dataset'!$B$3:$B$187,'Schools dataset'!$J$3:$J$187,,0)))+SIN(RADIANS(90-O249))*SIN(RADIANS(90-_xlfn.XLOOKUP(S249,'Schools dataset'!$B$3:$B$187,'Schools dataset'!$J$3:$J$187,,0)))*COS(RADIANS(P249-_xlfn.XLOOKUP(S249,'Schools dataset'!$B$3:$B$187,'Schools dataset'!$K$3:$K$187,,0))))*6371*1000</f>
        <v>409.06801408696936</v>
      </c>
      <c r="W249" s="20">
        <f>_xlfn.XLOOKUP(T249,'HDB Recommender'!$P$10:$P$39,'HDB Recommender'!$Q$10:$Q$39,"&gt;30mins",1)</f>
        <v>12</v>
      </c>
      <c r="X249" s="20">
        <f>_xlfn.XLOOKUP(U249,'HDB Recommender'!$P$10:$P$39,'HDB Recommender'!$Q$10:$Q$39,"&gt;30mins",1)</f>
        <v>11</v>
      </c>
      <c r="Y249" s="20">
        <f>_xlfn.XLOOKUP(V249,'HDB Recommender'!$P$10:$P$39,'HDB Recommender'!$Q$10:$Q$39,"&gt;30mins",1)</f>
        <v>6</v>
      </c>
      <c r="Z249" s="39">
        <f t="shared" si="6"/>
        <v>9.6666666666666661</v>
      </c>
      <c r="AA249" s="20" t="str">
        <f t="shared" si="7"/>
        <v>Within 1km</v>
      </c>
    </row>
    <row r="250" spans="2:27">
      <c r="B250" s="35" t="s">
        <v>317</v>
      </c>
      <c r="C250" s="35" t="s">
        <v>745</v>
      </c>
      <c r="D250" s="35" t="s">
        <v>20</v>
      </c>
      <c r="E250" s="35">
        <v>541</v>
      </c>
      <c r="F250" s="35" t="s">
        <v>749</v>
      </c>
      <c r="G250" s="35" t="s">
        <v>349</v>
      </c>
      <c r="H250" s="35">
        <v>104</v>
      </c>
      <c r="I250" s="35" t="s">
        <v>335</v>
      </c>
      <c r="J250" s="36">
        <v>1992</v>
      </c>
      <c r="K250" s="39">
        <v>68.0833333333333</v>
      </c>
      <c r="L250" s="37">
        <v>560000</v>
      </c>
      <c r="M250" s="35" t="s">
        <v>750</v>
      </c>
      <c r="N250" s="27">
        <v>550541</v>
      </c>
      <c r="O250" s="38">
        <v>1.3743006174332799</v>
      </c>
      <c r="P250" s="38">
        <v>103.87255691380901</v>
      </c>
      <c r="Q250" s="38" t="str" cm="1">
        <f t="array" ref="Q250">INDEX('MRT station dataset'!$C$3:$C$179, MATCH(MIN(SQRT(('MRT station dataset'!$E$3:$E$179-'Resale flat dataset (DV)'!O250)^2+('MRT station dataset'!$F$3:$F$179-'Resale flat dataset (DV)'!P250)^2)), SQRT(('MRT station dataset'!$E$3:$E$179-'Resale flat dataset (DV)'!O250)^2+('MRT station dataset'!$F$3:$F$179-'Resale flat dataset (DV)'!P250)^2), 0))</f>
        <v>FERNVALE LRT STATION</v>
      </c>
      <c r="R250" s="38" t="str" cm="1">
        <f t="array" ref="R250">INDEX('Mall Dataset'!$B$3:$B$157, MATCH(MIN(SQRT(('Mall Dataset'!$E$3:$E$157-'Resale flat dataset (DV)'!O250)^2+('Mall Dataset'!$F$3:$F$157-'Resale flat dataset (DV)'!P250)^2)), SQRT(('Mall Dataset'!$E$3:$E$157-'Resale flat dataset (DV)'!O250)^2+('Mall Dataset'!$F$3:$F$157-'Resale flat dataset (DV)'!P250)^2), 0))</f>
        <v>myVillage At Serangoon Garden</v>
      </c>
      <c r="S250" s="38" t="str" cm="1">
        <f t="array" ref="S250">INDEX('Schools dataset'!$B$3:$B$187, MATCH(MIN(SQRT(('Schools dataset'!$J$3:$J$187-'Resale flat dataset (DV)'!O250)^2+('Schools dataset'!$K$3:$K$187-'Resale flat dataset (DV)'!P250)^2)), SQRT(('Schools dataset'!$J$3:$J$187-'Resale flat dataset (DV)'!O250)^2+('Schools dataset'!$K$3:$K$187-'Resale flat dataset (DV)'!P250)^2), 0))</f>
        <v>ROSYTH SCHOOL</v>
      </c>
      <c r="T250" s="39">
        <f>ACOS(COS(RADIANS(90-O250))*COS(RADIANS(90-_xlfn.XLOOKUP(Q250,'MRT station dataset'!$C$3:$C$179,'MRT station dataset'!$E$3:$E$179)))+SIN(RADIANS(90-O250))*SIN(RADIANS(90-_xlfn.XLOOKUP(Q250,'MRT station dataset'!$C$3:$C$179,'MRT station dataset'!$E$3:$E$179)))*COS(RADIANS(P250-_xlfn.XLOOKUP('Resale flat dataset (DV)'!Q250,'MRT station dataset'!$C$3:$C$179,'MRT station dataset'!$F$3:$F$179))))*6371*1000</f>
        <v>2000.7079127760346</v>
      </c>
      <c r="U250" s="39">
        <f>ACOS(COS(RADIANS(90-O250))*COS(RADIANS(90-_xlfn.XLOOKUP(R250,'Mall Dataset'!$B$3:$B$157,'Mall Dataset'!$E$3:$E$157,,0)))+SIN(RADIANS(90-O250))*SIN(RADIANS(90-_xlfn.XLOOKUP(R250,'Mall Dataset'!$B$3:$B$157,'Mall Dataset'!$E$3:$E$157,,0)))*COS(RADIANS(P250-_xlfn.XLOOKUP(R250,'Mall Dataset'!$B$3:$B$157,'Mall Dataset'!$F$3:$F$157,,0))))*6371*1000</f>
        <v>1311.2882614077528</v>
      </c>
      <c r="V250" s="39">
        <f>ACOS(COS(RADIANS(90-O250))*COS(RADIANS(90-_xlfn.XLOOKUP(S250,'Schools dataset'!$B$3:$B$187,'Schools dataset'!$J$3:$J$187,,0)))+SIN(RADIANS(90-O250))*SIN(RADIANS(90-_xlfn.XLOOKUP(S250,'Schools dataset'!$B$3:$B$187,'Schools dataset'!$J$3:$J$187,,0)))*COS(RADIANS(P250-_xlfn.XLOOKUP(S250,'Schools dataset'!$B$3:$B$187,'Schools dataset'!$K$3:$K$187,,0))))*6371*1000</f>
        <v>293.82756920322083</v>
      </c>
      <c r="W250" s="20">
        <f>_xlfn.XLOOKUP(T250,'HDB Recommender'!$P$10:$P$39,'HDB Recommender'!$Q$10:$Q$39,"&gt;30mins",1)</f>
        <v>27</v>
      </c>
      <c r="X250" s="20">
        <f>_xlfn.XLOOKUP(U250,'HDB Recommender'!$P$10:$P$39,'HDB Recommender'!$Q$10:$Q$39,"&gt;30mins",1)</f>
        <v>18</v>
      </c>
      <c r="Y250" s="20">
        <f>_xlfn.XLOOKUP(V250,'HDB Recommender'!$P$10:$P$39,'HDB Recommender'!$Q$10:$Q$39,"&gt;30mins",1)</f>
        <v>4</v>
      </c>
      <c r="Z250" s="39">
        <f t="shared" si="6"/>
        <v>16.333333333333332</v>
      </c>
      <c r="AA250" s="20" t="str">
        <f t="shared" si="7"/>
        <v>Within 1km</v>
      </c>
    </row>
    <row r="251" spans="2:27">
      <c r="B251" s="35" t="s">
        <v>317</v>
      </c>
      <c r="C251" s="35" t="s">
        <v>751</v>
      </c>
      <c r="D251" s="35" t="s">
        <v>318</v>
      </c>
      <c r="E251" s="35"/>
      <c r="F251" s="35" t="s">
        <v>752</v>
      </c>
      <c r="G251" s="35" t="s">
        <v>346</v>
      </c>
      <c r="H251" s="35">
        <v>67</v>
      </c>
      <c r="I251" s="35" t="s">
        <v>335</v>
      </c>
      <c r="J251" s="36">
        <v>2015</v>
      </c>
      <c r="K251" s="39">
        <v>90.75</v>
      </c>
      <c r="L251" s="37">
        <v>520000</v>
      </c>
      <c r="M251" s="35" t="s">
        <v>753</v>
      </c>
      <c r="N251" s="27">
        <v>521869</v>
      </c>
      <c r="O251" s="38">
        <v>1.35501799093941</v>
      </c>
      <c r="P251" s="38">
        <v>103.93231742742999</v>
      </c>
      <c r="Q251" s="38" t="str" cm="1">
        <f t="array" ref="Q251">INDEX('MRT station dataset'!$C$3:$C$179, MATCH(MIN(SQRT(('MRT station dataset'!$E$3:$E$179-'Resale flat dataset (DV)'!O251)^2+('MRT station dataset'!$F$3:$F$179-'Resale flat dataset (DV)'!P251)^2)), SQRT(('MRT station dataset'!$E$3:$E$179-'Resale flat dataset (DV)'!O251)^2+('MRT station dataset'!$F$3:$F$179-'Resale flat dataset (DV)'!P251)^2), 0))</f>
        <v>TAMPINES WEST MRT STATION</v>
      </c>
      <c r="R251" s="38" t="str" cm="1">
        <f t="array" ref="R251">INDEX('Mall Dataset'!$B$3:$B$157, MATCH(MIN(SQRT(('Mall Dataset'!$E$3:$E$157-'Resale flat dataset (DV)'!O251)^2+('Mall Dataset'!$F$3:$F$157-'Resale flat dataset (DV)'!P251)^2)), SQRT(('Mall Dataset'!$E$3:$E$157-'Resale flat dataset (DV)'!O251)^2+('Mall Dataset'!$F$3:$F$157-'Resale flat dataset (DV)'!P251)^2), 0))</f>
        <v>Fairprice Hub</v>
      </c>
      <c r="S251" s="38" t="str" cm="1">
        <f t="array" ref="S251">INDEX('Schools dataset'!$B$3:$B$187, MATCH(MIN(SQRT(('Schools dataset'!$J$3:$J$187-'Resale flat dataset (DV)'!O251)^2+('Schools dataset'!$K$3:$K$187-'Resale flat dataset (DV)'!P251)^2)), SQRT(('Schools dataset'!$J$3:$J$187-'Resale flat dataset (DV)'!O251)^2+('Schools dataset'!$K$3:$K$187-'Resale flat dataset (DV)'!P251)^2), 0))</f>
        <v>POI CHING SCHOOL</v>
      </c>
      <c r="T251" s="39">
        <f>ACOS(COS(RADIANS(90-O251))*COS(RADIANS(90-_xlfn.XLOOKUP(Q251,'MRT station dataset'!$C$3:$C$179,'MRT station dataset'!$E$3:$E$179)))+SIN(RADIANS(90-O251))*SIN(RADIANS(90-_xlfn.XLOOKUP(Q251,'MRT station dataset'!$C$3:$C$179,'MRT station dataset'!$E$3:$E$179)))*COS(RADIANS(P251-_xlfn.XLOOKUP('Resale flat dataset (DV)'!Q251,'MRT station dataset'!$C$3:$C$179,'MRT station dataset'!$F$3:$F$179))))*6371*1000</f>
        <v>1255.9086535043675</v>
      </c>
      <c r="U251" s="39">
        <f>ACOS(COS(RADIANS(90-O251))*COS(RADIANS(90-_xlfn.XLOOKUP(R251,'Mall Dataset'!$B$3:$B$157,'Mall Dataset'!$E$3:$E$157,,0)))+SIN(RADIANS(90-O251))*SIN(RADIANS(90-_xlfn.XLOOKUP(R251,'Mall Dataset'!$B$3:$B$157,'Mall Dataset'!$E$3:$E$157,,0)))*COS(RADIANS(P251-_xlfn.XLOOKUP(R251,'Mall Dataset'!$B$3:$B$157,'Mall Dataset'!$F$3:$F$157,,0))))*6371*1000</f>
        <v>885.83783732752511</v>
      </c>
      <c r="V251" s="39">
        <f>ACOS(COS(RADIANS(90-O251))*COS(RADIANS(90-_xlfn.XLOOKUP(S251,'Schools dataset'!$B$3:$B$187,'Schools dataset'!$J$3:$J$187,,0)))+SIN(RADIANS(90-O251))*SIN(RADIANS(90-_xlfn.XLOOKUP(S251,'Schools dataset'!$B$3:$B$187,'Schools dataset'!$J$3:$J$187,,0)))*COS(RADIANS(P251-_xlfn.XLOOKUP(S251,'Schools dataset'!$B$3:$B$187,'Schools dataset'!$K$3:$K$187,,0))))*6371*1000</f>
        <v>437.8944312963946</v>
      </c>
      <c r="W251" s="20">
        <f>_xlfn.XLOOKUP(T251,'HDB Recommender'!$P$10:$P$39,'HDB Recommender'!$Q$10:$Q$39,"&gt;30mins",1)</f>
        <v>17</v>
      </c>
      <c r="X251" s="20">
        <f>_xlfn.XLOOKUP(U251,'HDB Recommender'!$P$10:$P$39,'HDB Recommender'!$Q$10:$Q$39,"&gt;30mins",1)</f>
        <v>12</v>
      </c>
      <c r="Y251" s="20">
        <f>_xlfn.XLOOKUP(V251,'HDB Recommender'!$P$10:$P$39,'HDB Recommender'!$Q$10:$Q$39,"&gt;30mins",1)</f>
        <v>6</v>
      </c>
      <c r="Z251" s="39">
        <f t="shared" si="6"/>
        <v>11.666666666666666</v>
      </c>
      <c r="AA251" s="20" t="str">
        <f t="shared" si="7"/>
        <v>Within 1km</v>
      </c>
    </row>
    <row r="252" spans="2:27">
      <c r="B252" s="35" t="s">
        <v>317</v>
      </c>
      <c r="C252" s="35" t="s">
        <v>751</v>
      </c>
      <c r="D252" s="35" t="s">
        <v>318</v>
      </c>
      <c r="E252" s="35">
        <v>217</v>
      </c>
      <c r="F252" s="35" t="s">
        <v>754</v>
      </c>
      <c r="G252" s="35" t="s">
        <v>189</v>
      </c>
      <c r="H252" s="35">
        <v>67</v>
      </c>
      <c r="I252" s="35" t="s">
        <v>320</v>
      </c>
      <c r="J252" s="36">
        <v>1986</v>
      </c>
      <c r="K252" s="39">
        <v>61.5</v>
      </c>
      <c r="L252" s="37">
        <v>420000</v>
      </c>
      <c r="M252" s="35" t="s">
        <v>755</v>
      </c>
      <c r="N252" s="27">
        <v>520217</v>
      </c>
      <c r="O252" s="38">
        <v>1.35416816346776</v>
      </c>
      <c r="P252" s="38">
        <v>103.951861755793</v>
      </c>
      <c r="Q252" s="38" t="str" cm="1">
        <f t="array" ref="Q252">INDEX('MRT station dataset'!$C$3:$C$179, MATCH(MIN(SQRT(('MRT station dataset'!$E$3:$E$179-'Resale flat dataset (DV)'!O252)^2+('MRT station dataset'!$F$3:$F$179-'Resale flat dataset (DV)'!P252)^2)), SQRT(('MRT station dataset'!$E$3:$E$179-'Resale flat dataset (DV)'!O252)^2+('MRT station dataset'!$F$3:$F$179-'Resale flat dataset (DV)'!P252)^2), 0))</f>
        <v>TAMPINES EAST MRT STATION</v>
      </c>
      <c r="R252" s="38" t="str" cm="1">
        <f t="array" ref="R252">INDEX('Mall Dataset'!$B$3:$B$157, MATCH(MIN(SQRT(('Mall Dataset'!$E$3:$E$157-'Resale flat dataset (DV)'!O252)^2+('Mall Dataset'!$F$3:$F$157-'Resale flat dataset (DV)'!P252)^2)), SQRT(('Mall Dataset'!$E$3:$E$157-'Resale flat dataset (DV)'!O252)^2+('Mall Dataset'!$F$3:$F$157-'Resale flat dataset (DV)'!P252)^2), 0))</f>
        <v>Tampines Mall</v>
      </c>
      <c r="S252" s="38" t="str" cm="1">
        <f t="array" ref="S252">INDEX('Schools dataset'!$B$3:$B$187, MATCH(MIN(SQRT(('Schools dataset'!$J$3:$J$187-'Resale flat dataset (DV)'!O252)^2+('Schools dataset'!$K$3:$K$187-'Resale flat dataset (DV)'!P252)^2)), SQRT(('Schools dataset'!$J$3:$J$187-'Resale flat dataset (DV)'!O252)^2+('Schools dataset'!$K$3:$K$187-'Resale flat dataset (DV)'!P252)^2), 0))</f>
        <v>YUMIN PRIMARY SCHOOL</v>
      </c>
      <c r="T252" s="39">
        <f>ACOS(COS(RADIANS(90-O252))*COS(RADIANS(90-_xlfn.XLOOKUP(Q252,'MRT station dataset'!$C$3:$C$179,'MRT station dataset'!$E$3:$E$179)))+SIN(RADIANS(90-O252))*SIN(RADIANS(90-_xlfn.XLOOKUP(Q252,'MRT station dataset'!$C$3:$C$179,'MRT station dataset'!$E$3:$E$179)))*COS(RADIANS(P252-_xlfn.XLOOKUP('Resale flat dataset (DV)'!Q252,'MRT station dataset'!$C$3:$C$179,'MRT station dataset'!$F$3:$F$179))))*6371*1000</f>
        <v>379.07763151235116</v>
      </c>
      <c r="U252" s="39">
        <f>ACOS(COS(RADIANS(90-O252))*COS(RADIANS(90-_xlfn.XLOOKUP(R252,'Mall Dataset'!$B$3:$B$157,'Mall Dataset'!$E$3:$E$157,,0)))+SIN(RADIANS(90-O252))*SIN(RADIANS(90-_xlfn.XLOOKUP(R252,'Mall Dataset'!$B$3:$B$157,'Mall Dataset'!$E$3:$E$157,,0)))*COS(RADIANS(P252-_xlfn.XLOOKUP(R252,'Mall Dataset'!$B$3:$B$157,'Mall Dataset'!$F$3:$F$157,,0))))*6371*1000</f>
        <v>805.82227385528654</v>
      </c>
      <c r="V252" s="39">
        <f>ACOS(COS(RADIANS(90-O252))*COS(RADIANS(90-_xlfn.XLOOKUP(S252,'Schools dataset'!$B$3:$B$187,'Schools dataset'!$J$3:$J$187,,0)))+SIN(RADIANS(90-O252))*SIN(RADIANS(90-_xlfn.XLOOKUP(S252,'Schools dataset'!$B$3:$B$187,'Schools dataset'!$J$3:$J$187,,0)))*COS(RADIANS(P252-_xlfn.XLOOKUP(S252,'Schools dataset'!$B$3:$B$187,'Schools dataset'!$K$3:$K$187,,0))))*6371*1000</f>
        <v>355.68527713326569</v>
      </c>
      <c r="W252" s="20">
        <f>_xlfn.XLOOKUP(T252,'HDB Recommender'!$P$10:$P$39,'HDB Recommender'!$Q$10:$Q$39,"&gt;30mins",1)</f>
        <v>6</v>
      </c>
      <c r="X252" s="20">
        <f>_xlfn.XLOOKUP(U252,'HDB Recommender'!$P$10:$P$39,'HDB Recommender'!$Q$10:$Q$39,"&gt;30mins",1)</f>
        <v>11</v>
      </c>
      <c r="Y252" s="20">
        <f>_xlfn.XLOOKUP(V252,'HDB Recommender'!$P$10:$P$39,'HDB Recommender'!$Q$10:$Q$39,"&gt;30mins",1)</f>
        <v>5</v>
      </c>
      <c r="Z252" s="39">
        <f t="shared" si="6"/>
        <v>7.333333333333333</v>
      </c>
      <c r="AA252" s="20" t="str">
        <f t="shared" si="7"/>
        <v>Within 1km</v>
      </c>
    </row>
    <row r="253" spans="2:27">
      <c r="B253" s="35" t="s">
        <v>317</v>
      </c>
      <c r="C253" s="35" t="s">
        <v>751</v>
      </c>
      <c r="D253" s="35" t="s">
        <v>20</v>
      </c>
      <c r="E253" s="35">
        <v>153</v>
      </c>
      <c r="F253" s="35" t="s">
        <v>756</v>
      </c>
      <c r="G253" s="35" t="s">
        <v>189</v>
      </c>
      <c r="H253" s="35">
        <v>84</v>
      </c>
      <c r="I253" s="35" t="s">
        <v>369</v>
      </c>
      <c r="J253" s="36">
        <v>1988</v>
      </c>
      <c r="K253" s="39">
        <v>63.75</v>
      </c>
      <c r="L253" s="37">
        <v>500000</v>
      </c>
      <c r="M253" s="35" t="s">
        <v>757</v>
      </c>
      <c r="N253" s="27">
        <v>520153</v>
      </c>
      <c r="O253" s="38">
        <v>1.3452227593795001</v>
      </c>
      <c r="P253" s="38">
        <v>103.957207660008</v>
      </c>
      <c r="Q253" s="38" t="str" cm="1">
        <f t="array" ref="Q253">INDEX('MRT station dataset'!$C$3:$C$179, MATCH(MIN(SQRT(('MRT station dataset'!$E$3:$E$179-'Resale flat dataset (DV)'!O253)^2+('MRT station dataset'!$F$3:$F$179-'Resale flat dataset (DV)'!P253)^2)), SQRT(('MRT station dataset'!$E$3:$E$179-'Resale flat dataset (DV)'!O253)^2+('MRT station dataset'!$F$3:$F$179-'Resale flat dataset (DV)'!P253)^2), 0))</f>
        <v>SIMEI MRT STATION</v>
      </c>
      <c r="R253" s="38" t="str" cm="1">
        <f t="array" ref="R253">INDEX('Mall Dataset'!$B$3:$B$157, MATCH(MIN(SQRT(('Mall Dataset'!$E$3:$E$157-'Resale flat dataset (DV)'!O253)^2+('Mall Dataset'!$F$3:$F$157-'Resale flat dataset (DV)'!P253)^2)), SQRT(('Mall Dataset'!$E$3:$E$157-'Resale flat dataset (DV)'!O253)^2+('Mall Dataset'!$F$3:$F$157-'Resale flat dataset (DV)'!P253)^2), 0))</f>
        <v>Eastpoint Mall</v>
      </c>
      <c r="S253" s="38" t="str" cm="1">
        <f t="array" ref="S253">INDEX('Schools dataset'!$B$3:$B$187, MATCH(MIN(SQRT(('Schools dataset'!$J$3:$J$187-'Resale flat dataset (DV)'!O253)^2+('Schools dataset'!$K$3:$K$187-'Resale flat dataset (DV)'!P253)^2)), SQRT(('Schools dataset'!$J$3:$J$187-'Resale flat dataset (DV)'!O253)^2+('Schools dataset'!$K$3:$K$187-'Resale flat dataset (DV)'!P253)^2), 0))</f>
        <v>ANGSANA PRIMARY SCHOOL</v>
      </c>
      <c r="T253" s="39">
        <f>ACOS(COS(RADIANS(90-O253))*COS(RADIANS(90-_xlfn.XLOOKUP(Q253,'MRT station dataset'!$C$3:$C$179,'MRT station dataset'!$E$3:$E$179)))+SIN(RADIANS(90-O253))*SIN(RADIANS(90-_xlfn.XLOOKUP(Q253,'MRT station dataset'!$C$3:$C$179,'MRT station dataset'!$E$3:$E$179)))*COS(RADIANS(P253-_xlfn.XLOOKUP('Resale flat dataset (DV)'!Q253,'MRT station dataset'!$C$3:$C$179,'MRT station dataset'!$F$3:$F$179))))*6371*1000</f>
        <v>479.32432393339377</v>
      </c>
      <c r="U253" s="39">
        <f>ACOS(COS(RADIANS(90-O253))*COS(RADIANS(90-_xlfn.XLOOKUP(R253,'Mall Dataset'!$B$3:$B$157,'Mall Dataset'!$E$3:$E$157,,0)))+SIN(RADIANS(90-O253))*SIN(RADIANS(90-_xlfn.XLOOKUP(R253,'Mall Dataset'!$B$3:$B$157,'Mall Dataset'!$E$3:$E$157,,0)))*COS(RADIANS(P253-_xlfn.XLOOKUP(R253,'Mall Dataset'!$B$3:$B$157,'Mall Dataset'!$F$3:$F$157,,0))))*6371*1000</f>
        <v>542.72552005712612</v>
      </c>
      <c r="V253" s="39">
        <f>ACOS(COS(RADIANS(90-O253))*COS(RADIANS(90-_xlfn.XLOOKUP(S253,'Schools dataset'!$B$3:$B$187,'Schools dataset'!$J$3:$J$187,,0)))+SIN(RADIANS(90-O253))*SIN(RADIANS(90-_xlfn.XLOOKUP(S253,'Schools dataset'!$B$3:$B$187,'Schools dataset'!$J$3:$J$187,,0)))*COS(RADIANS(P253-_xlfn.XLOOKUP(S253,'Schools dataset'!$B$3:$B$187,'Schools dataset'!$K$3:$K$187,,0))))*6371*1000</f>
        <v>721.72080749502163</v>
      </c>
      <c r="W253" s="20">
        <f>_xlfn.XLOOKUP(T253,'HDB Recommender'!$P$10:$P$39,'HDB Recommender'!$Q$10:$Q$39,"&gt;30mins",1)</f>
        <v>7</v>
      </c>
      <c r="X253" s="20">
        <f>_xlfn.XLOOKUP(U253,'HDB Recommender'!$P$10:$P$39,'HDB Recommender'!$Q$10:$Q$39,"&gt;30mins",1)</f>
        <v>8</v>
      </c>
      <c r="Y253" s="20">
        <f>_xlfn.XLOOKUP(V253,'HDB Recommender'!$P$10:$P$39,'HDB Recommender'!$Q$10:$Q$39,"&gt;30mins",1)</f>
        <v>10</v>
      </c>
      <c r="Z253" s="39">
        <f t="shared" si="6"/>
        <v>8.3333333333333339</v>
      </c>
      <c r="AA253" s="20" t="str">
        <f t="shared" si="7"/>
        <v>Within 1km</v>
      </c>
    </row>
    <row r="254" spans="2:27">
      <c r="B254" s="35" t="s">
        <v>317</v>
      </c>
      <c r="C254" s="35" t="s">
        <v>751</v>
      </c>
      <c r="D254" s="35" t="s">
        <v>20</v>
      </c>
      <c r="E254" s="35">
        <v>391</v>
      </c>
      <c r="F254" s="35" t="s">
        <v>758</v>
      </c>
      <c r="G254" s="35" t="s">
        <v>191</v>
      </c>
      <c r="H254" s="35">
        <v>105</v>
      </c>
      <c r="I254" s="35" t="s">
        <v>335</v>
      </c>
      <c r="J254" s="36">
        <v>1994</v>
      </c>
      <c r="K254" s="39">
        <v>69.5</v>
      </c>
      <c r="L254" s="37">
        <v>587000</v>
      </c>
      <c r="M254" s="35" t="s">
        <v>759</v>
      </c>
      <c r="N254" s="27">
        <v>520391</v>
      </c>
      <c r="O254" s="38">
        <v>1.3556315408028401</v>
      </c>
      <c r="P254" s="38">
        <v>103.957953271748</v>
      </c>
      <c r="Q254" s="38" t="str" cm="1">
        <f t="array" ref="Q254">INDEX('MRT station dataset'!$C$3:$C$179, MATCH(MIN(SQRT(('MRT station dataset'!$E$3:$E$179-'Resale flat dataset (DV)'!O254)^2+('MRT station dataset'!$F$3:$F$179-'Resale flat dataset (DV)'!P254)^2)), SQRT(('MRT station dataset'!$E$3:$E$179-'Resale flat dataset (DV)'!O254)^2+('MRT station dataset'!$F$3:$F$179-'Resale flat dataset (DV)'!P254)^2), 0))</f>
        <v>TAMPINES EAST MRT STATION</v>
      </c>
      <c r="R254" s="38" t="str" cm="1">
        <f t="array" ref="R254">INDEX('Mall Dataset'!$B$3:$B$157, MATCH(MIN(SQRT(('Mall Dataset'!$E$3:$E$157-'Resale flat dataset (DV)'!O254)^2+('Mall Dataset'!$F$3:$F$157-'Resale flat dataset (DV)'!P254)^2)), SQRT(('Mall Dataset'!$E$3:$E$157-'Resale flat dataset (DV)'!O254)^2+('Mall Dataset'!$F$3:$F$157-'Resale flat dataset (DV)'!P254)^2), 0))</f>
        <v>Loyang Point</v>
      </c>
      <c r="S254" s="38" t="str" cm="1">
        <f t="array" ref="S254">INDEX('Schools dataset'!$B$3:$B$187, MATCH(MIN(SQRT(('Schools dataset'!$J$3:$J$187-'Resale flat dataset (DV)'!O254)^2+('Schools dataset'!$K$3:$K$187-'Resale flat dataset (DV)'!P254)^2)), SQRT(('Schools dataset'!$J$3:$J$187-'Resale flat dataset (DV)'!O254)^2+('Schools dataset'!$K$3:$K$187-'Resale flat dataset (DV)'!P254)^2), 0))</f>
        <v>EAST SPRING PRIMARY SCHOOL</v>
      </c>
      <c r="T254" s="39">
        <f>ACOS(COS(RADIANS(90-O254))*COS(RADIANS(90-_xlfn.XLOOKUP(Q254,'MRT station dataset'!$C$3:$C$179,'MRT station dataset'!$E$3:$E$179)))+SIN(RADIANS(90-O254))*SIN(RADIANS(90-_xlfn.XLOOKUP(Q254,'MRT station dataset'!$C$3:$C$179,'MRT station dataset'!$E$3:$E$179)))*COS(RADIANS(P254-_xlfn.XLOOKUP('Resale flat dataset (DV)'!Q254,'MRT station dataset'!$C$3:$C$179,'MRT station dataset'!$F$3:$F$179))))*6371*1000</f>
        <v>378.08368298042814</v>
      </c>
      <c r="U254" s="39">
        <f>ACOS(COS(RADIANS(90-O254))*COS(RADIANS(90-_xlfn.XLOOKUP(R254,'Mall Dataset'!$B$3:$B$157,'Mall Dataset'!$E$3:$E$157,,0)))+SIN(RADIANS(90-O254))*SIN(RADIANS(90-_xlfn.XLOOKUP(R254,'Mall Dataset'!$B$3:$B$157,'Mall Dataset'!$E$3:$E$157,,0)))*COS(RADIANS(P254-_xlfn.XLOOKUP(R254,'Mall Dataset'!$B$3:$B$157,'Mall Dataset'!$F$3:$F$157,,0))))*6371*1000</f>
        <v>1472.5799228609922</v>
      </c>
      <c r="V254" s="39">
        <f>ACOS(COS(RADIANS(90-O254))*COS(RADIANS(90-_xlfn.XLOOKUP(S254,'Schools dataset'!$B$3:$B$187,'Schools dataset'!$J$3:$J$187,,0)))+SIN(RADIANS(90-O254))*SIN(RADIANS(90-_xlfn.XLOOKUP(S254,'Schools dataset'!$B$3:$B$187,'Schools dataset'!$J$3:$J$187,,0)))*COS(RADIANS(P254-_xlfn.XLOOKUP(S254,'Schools dataset'!$B$3:$B$187,'Schools dataset'!$K$3:$K$187,,0))))*6371*1000</f>
        <v>527.97381527426728</v>
      </c>
      <c r="W254" s="20">
        <f>_xlfn.XLOOKUP(T254,'HDB Recommender'!$P$10:$P$39,'HDB Recommender'!$Q$10:$Q$39,"&gt;30mins",1)</f>
        <v>6</v>
      </c>
      <c r="X254" s="20">
        <f>_xlfn.XLOOKUP(U254,'HDB Recommender'!$P$10:$P$39,'HDB Recommender'!$Q$10:$Q$39,"&gt;30mins",1)</f>
        <v>20</v>
      </c>
      <c r="Y254" s="20">
        <f>_xlfn.XLOOKUP(V254,'HDB Recommender'!$P$10:$P$39,'HDB Recommender'!$Q$10:$Q$39,"&gt;30mins",1)</f>
        <v>8</v>
      </c>
      <c r="Z254" s="39">
        <f t="shared" si="6"/>
        <v>11.333333333333334</v>
      </c>
      <c r="AA254" s="20" t="str">
        <f t="shared" si="7"/>
        <v>Within 1km</v>
      </c>
    </row>
    <row r="255" spans="2:27">
      <c r="B255" s="35" t="s">
        <v>317</v>
      </c>
      <c r="C255" s="35" t="s">
        <v>751</v>
      </c>
      <c r="D255" s="35" t="s">
        <v>20</v>
      </c>
      <c r="E255" s="35"/>
      <c r="F255" s="35" t="s">
        <v>760</v>
      </c>
      <c r="G255" s="35" t="s">
        <v>323</v>
      </c>
      <c r="H255" s="35">
        <v>93</v>
      </c>
      <c r="I255" s="35" t="s">
        <v>335</v>
      </c>
      <c r="J255" s="36">
        <v>2015</v>
      </c>
      <c r="K255" s="39">
        <v>90.9166666666666</v>
      </c>
      <c r="L255" s="37">
        <v>743000</v>
      </c>
      <c r="M255" s="35" t="s">
        <v>761</v>
      </c>
      <c r="N255" s="27">
        <v>521522</v>
      </c>
      <c r="O255" s="38">
        <v>1.3577691377884</v>
      </c>
      <c r="P255" s="38">
        <v>103.938391967692</v>
      </c>
      <c r="Q255" s="38" t="str" cm="1">
        <f t="array" ref="Q255">INDEX('MRT station dataset'!$C$3:$C$179, MATCH(MIN(SQRT(('MRT station dataset'!$E$3:$E$179-'Resale flat dataset (DV)'!O255)^2+('MRT station dataset'!$F$3:$F$179-'Resale flat dataset (DV)'!P255)^2)), SQRT(('MRT station dataset'!$E$3:$E$179-'Resale flat dataset (DV)'!O255)^2+('MRT station dataset'!$F$3:$F$179-'Resale flat dataset (DV)'!P255)^2), 0))</f>
        <v>TAMPINES MRT STATION</v>
      </c>
      <c r="R255" s="38" t="str" cm="1">
        <f t="array" ref="R255">INDEX('Mall Dataset'!$B$3:$B$157, MATCH(MIN(SQRT(('Mall Dataset'!$E$3:$E$157-'Resale flat dataset (DV)'!O255)^2+('Mall Dataset'!$F$3:$F$157-'Resale flat dataset (DV)'!P255)^2)), SQRT(('Mall Dataset'!$E$3:$E$157-'Resale flat dataset (DV)'!O255)^2+('Mall Dataset'!$F$3:$F$157-'Resale flat dataset (DV)'!P255)^2), 0))</f>
        <v>Fairprice Hub</v>
      </c>
      <c r="S255" s="38" t="str" cm="1">
        <f t="array" ref="S255">INDEX('Schools dataset'!$B$3:$B$187, MATCH(MIN(SQRT(('Schools dataset'!$J$3:$J$187-'Resale flat dataset (DV)'!O255)^2+('Schools dataset'!$K$3:$K$187-'Resale flat dataset (DV)'!P255)^2)), SQRT(('Schools dataset'!$J$3:$J$187-'Resale flat dataset (DV)'!O255)^2+('Schools dataset'!$K$3:$K$187-'Resale flat dataset (DV)'!P255)^2), 0))</f>
        <v>POI CHING SCHOOL</v>
      </c>
      <c r="T255" s="39">
        <f>ACOS(COS(RADIANS(90-O255))*COS(RADIANS(90-_xlfn.XLOOKUP(Q255,'MRT station dataset'!$C$3:$C$179,'MRT station dataset'!$E$3:$E$179)))+SIN(RADIANS(90-O255))*SIN(RADIANS(90-_xlfn.XLOOKUP(Q255,'MRT station dataset'!$C$3:$C$179,'MRT station dataset'!$E$3:$E$179)))*COS(RADIANS(P255-_xlfn.XLOOKUP('Resale flat dataset (DV)'!Q255,'MRT station dataset'!$C$3:$C$179,'MRT station dataset'!$F$3:$F$179))))*6371*1000</f>
        <v>896.10768514694382</v>
      </c>
      <c r="U255" s="39">
        <f>ACOS(COS(RADIANS(90-O255))*COS(RADIANS(90-_xlfn.XLOOKUP(R255,'Mall Dataset'!$B$3:$B$157,'Mall Dataset'!$E$3:$E$157,,0)))+SIN(RADIANS(90-O255))*SIN(RADIANS(90-_xlfn.XLOOKUP(R255,'Mall Dataset'!$B$3:$B$157,'Mall Dataset'!$E$3:$E$157,,0)))*COS(RADIANS(P255-_xlfn.XLOOKUP(R255,'Mall Dataset'!$B$3:$B$157,'Mall Dataset'!$F$3:$F$157,,0))))*6371*1000</f>
        <v>513.33098439860578</v>
      </c>
      <c r="V255" s="39">
        <f>ACOS(COS(RADIANS(90-O255))*COS(RADIANS(90-_xlfn.XLOOKUP(S255,'Schools dataset'!$B$3:$B$187,'Schools dataset'!$J$3:$J$187,,0)))+SIN(RADIANS(90-O255))*SIN(RADIANS(90-_xlfn.XLOOKUP(S255,'Schools dataset'!$B$3:$B$187,'Schools dataset'!$J$3:$J$187,,0)))*COS(RADIANS(P255-_xlfn.XLOOKUP(S255,'Schools dataset'!$B$3:$B$187,'Schools dataset'!$K$3:$K$187,,0))))*6371*1000</f>
        <v>349.90913885633779</v>
      </c>
      <c r="W255" s="20">
        <f>_xlfn.XLOOKUP(T255,'HDB Recommender'!$P$10:$P$39,'HDB Recommender'!$Q$10:$Q$39,"&gt;30mins",1)</f>
        <v>12</v>
      </c>
      <c r="X255" s="20">
        <f>_xlfn.XLOOKUP(U255,'HDB Recommender'!$P$10:$P$39,'HDB Recommender'!$Q$10:$Q$39,"&gt;30mins",1)</f>
        <v>7</v>
      </c>
      <c r="Y255" s="20">
        <f>_xlfn.XLOOKUP(V255,'HDB Recommender'!$P$10:$P$39,'HDB Recommender'!$Q$10:$Q$39,"&gt;30mins",1)</f>
        <v>5</v>
      </c>
      <c r="Z255" s="39">
        <f t="shared" si="6"/>
        <v>8</v>
      </c>
      <c r="AA255" s="20" t="str">
        <f t="shared" si="7"/>
        <v>Within 1km</v>
      </c>
    </row>
    <row r="256" spans="2:27">
      <c r="B256" s="35" t="s">
        <v>317</v>
      </c>
      <c r="C256" s="35" t="s">
        <v>751</v>
      </c>
      <c r="D256" s="35" t="s">
        <v>20</v>
      </c>
      <c r="E256" s="35"/>
      <c r="F256" s="35" t="s">
        <v>760</v>
      </c>
      <c r="G256" s="35" t="s">
        <v>323</v>
      </c>
      <c r="H256" s="35">
        <v>93</v>
      </c>
      <c r="I256" s="35" t="s">
        <v>335</v>
      </c>
      <c r="J256" s="36">
        <v>2015</v>
      </c>
      <c r="K256" s="39">
        <v>91</v>
      </c>
      <c r="L256" s="37">
        <v>725000</v>
      </c>
      <c r="M256" s="35" t="s">
        <v>762</v>
      </c>
      <c r="N256" s="27">
        <v>522523</v>
      </c>
      <c r="O256" s="38">
        <v>1.35986668073238</v>
      </c>
      <c r="P256" s="38">
        <v>103.93837289096599</v>
      </c>
      <c r="Q256" s="38" t="str" cm="1">
        <f t="array" ref="Q256">INDEX('MRT station dataset'!$C$3:$C$179, MATCH(MIN(SQRT(('MRT station dataset'!$E$3:$E$179-'Resale flat dataset (DV)'!O256)^2+('MRT station dataset'!$F$3:$F$179-'Resale flat dataset (DV)'!P256)^2)), SQRT(('MRT station dataset'!$E$3:$E$179-'Resale flat dataset (DV)'!O256)^2+('MRT station dataset'!$F$3:$F$179-'Resale flat dataset (DV)'!P256)^2), 0))</f>
        <v>TAMPINES MRT STATION</v>
      </c>
      <c r="R256" s="38" t="str" cm="1">
        <f t="array" ref="R256">INDEX('Mall Dataset'!$B$3:$B$157, MATCH(MIN(SQRT(('Mall Dataset'!$E$3:$E$157-'Resale flat dataset (DV)'!O256)^2+('Mall Dataset'!$F$3:$F$157-'Resale flat dataset (DV)'!P256)^2)), SQRT(('Mall Dataset'!$E$3:$E$157-'Resale flat dataset (DV)'!O256)^2+('Mall Dataset'!$F$3:$F$157-'Resale flat dataset (DV)'!P256)^2), 0))</f>
        <v>Fairprice Hub</v>
      </c>
      <c r="S256" s="38" t="str" cm="1">
        <f t="array" ref="S256">INDEX('Schools dataset'!$B$3:$B$187, MATCH(MIN(SQRT(('Schools dataset'!$J$3:$J$187-'Resale flat dataset (DV)'!O256)^2+('Schools dataset'!$K$3:$K$187-'Resale flat dataset (DV)'!P256)^2)), SQRT(('Schools dataset'!$J$3:$J$187-'Resale flat dataset (DV)'!O256)^2+('Schools dataset'!$K$3:$K$187-'Resale flat dataset (DV)'!P256)^2), 0))</f>
        <v>POI CHING SCHOOL</v>
      </c>
      <c r="T256" s="39">
        <f>ACOS(COS(RADIANS(90-O256))*COS(RADIANS(90-_xlfn.XLOOKUP(Q256,'MRT station dataset'!$C$3:$C$179,'MRT station dataset'!$E$3:$E$179)))+SIN(RADIANS(90-O256))*SIN(RADIANS(90-_xlfn.XLOOKUP(Q256,'MRT station dataset'!$C$3:$C$179,'MRT station dataset'!$E$3:$E$179)))*COS(RADIANS(P256-_xlfn.XLOOKUP('Resale flat dataset (DV)'!Q256,'MRT station dataset'!$C$3:$C$179,'MRT station dataset'!$F$3:$F$179))))*6371*1000</f>
        <v>1045.1727314403611</v>
      </c>
      <c r="U256" s="39">
        <f>ACOS(COS(RADIANS(90-O256))*COS(RADIANS(90-_xlfn.XLOOKUP(R256,'Mall Dataset'!$B$3:$B$157,'Mall Dataset'!$E$3:$E$157,,0)))+SIN(RADIANS(90-O256))*SIN(RADIANS(90-_xlfn.XLOOKUP(R256,'Mall Dataset'!$B$3:$B$157,'Mall Dataset'!$E$3:$E$157,,0)))*COS(RADIANS(P256-_xlfn.XLOOKUP(R256,'Mall Dataset'!$B$3:$B$157,'Mall Dataset'!$F$3:$F$157,,0))))*6371*1000</f>
        <v>735.10838660485092</v>
      </c>
      <c r="V256" s="39">
        <f>ACOS(COS(RADIANS(90-O256))*COS(RADIANS(90-_xlfn.XLOOKUP(S256,'Schools dataset'!$B$3:$B$187,'Schools dataset'!$J$3:$J$187,,0)))+SIN(RADIANS(90-O256))*SIN(RADIANS(90-_xlfn.XLOOKUP(S256,'Schools dataset'!$B$3:$B$187,'Schools dataset'!$J$3:$J$187,,0)))*COS(RADIANS(P256-_xlfn.XLOOKUP(S256,'Schools dataset'!$B$3:$B$187,'Schools dataset'!$K$3:$K$187,,0))))*6371*1000</f>
        <v>425.99679143754821</v>
      </c>
      <c r="W256" s="20">
        <f>_xlfn.XLOOKUP(T256,'HDB Recommender'!$P$10:$P$39,'HDB Recommender'!$Q$10:$Q$39,"&gt;30mins",1)</f>
        <v>14</v>
      </c>
      <c r="X256" s="20">
        <f>_xlfn.XLOOKUP(U256,'HDB Recommender'!$P$10:$P$39,'HDB Recommender'!$Q$10:$Q$39,"&gt;30mins",1)</f>
        <v>10</v>
      </c>
      <c r="Y256" s="20">
        <f>_xlfn.XLOOKUP(V256,'HDB Recommender'!$P$10:$P$39,'HDB Recommender'!$Q$10:$Q$39,"&gt;30mins",1)</f>
        <v>6</v>
      </c>
      <c r="Z256" s="39">
        <f t="shared" si="6"/>
        <v>10</v>
      </c>
      <c r="AA256" s="20" t="str">
        <f t="shared" si="7"/>
        <v>Within 1km</v>
      </c>
    </row>
    <row r="257" spans="2:27">
      <c r="B257" s="35" t="s">
        <v>317</v>
      </c>
      <c r="C257" s="35" t="s">
        <v>751</v>
      </c>
      <c r="D257" s="35" t="s">
        <v>20</v>
      </c>
      <c r="E257" s="35">
        <v>346</v>
      </c>
      <c r="F257" s="35" t="s">
        <v>763</v>
      </c>
      <c r="G257" s="35" t="s">
        <v>184</v>
      </c>
      <c r="H257" s="35">
        <v>107</v>
      </c>
      <c r="I257" s="35" t="s">
        <v>335</v>
      </c>
      <c r="J257" s="36">
        <v>1996</v>
      </c>
      <c r="K257" s="39">
        <v>71.75</v>
      </c>
      <c r="L257" s="37">
        <v>525000</v>
      </c>
      <c r="M257" s="35" t="s">
        <v>764</v>
      </c>
      <c r="N257" s="27">
        <v>520346</v>
      </c>
      <c r="O257" s="38">
        <v>1.3512379158618599</v>
      </c>
      <c r="P257" s="38">
        <v>103.962570614009</v>
      </c>
      <c r="Q257" s="38" t="str" cm="1">
        <f t="array" ref="Q257">INDEX('MRT station dataset'!$C$3:$C$179, MATCH(MIN(SQRT(('MRT station dataset'!$E$3:$E$179-'Resale flat dataset (DV)'!O257)^2+('MRT station dataset'!$F$3:$F$179-'Resale flat dataset (DV)'!P257)^2)), SQRT(('MRT station dataset'!$E$3:$E$179-'Resale flat dataset (DV)'!O257)^2+('MRT station dataset'!$F$3:$F$179-'Resale flat dataset (DV)'!P257)^2), 0))</f>
        <v>TAMPINES EAST MRT STATION</v>
      </c>
      <c r="R257" s="38" t="str" cm="1">
        <f t="array" ref="R257">INDEX('Mall Dataset'!$B$3:$B$157, MATCH(MIN(SQRT(('Mall Dataset'!$E$3:$E$157-'Resale flat dataset (DV)'!O257)^2+('Mall Dataset'!$F$3:$F$157-'Resale flat dataset (DV)'!P257)^2)), SQRT(('Mall Dataset'!$E$3:$E$157-'Resale flat dataset (DV)'!O257)^2+('Mall Dataset'!$F$3:$F$157-'Resale flat dataset (DV)'!P257)^2), 0))</f>
        <v>Eastpoint Mall</v>
      </c>
      <c r="S257" s="38" t="str" cm="1">
        <f t="array" ref="S257">INDEX('Schools dataset'!$B$3:$B$187, MATCH(MIN(SQRT(('Schools dataset'!$J$3:$J$187-'Resale flat dataset (DV)'!O257)^2+('Schools dataset'!$K$3:$K$187-'Resale flat dataset (DV)'!P257)^2)), SQRT(('Schools dataset'!$J$3:$J$187-'Resale flat dataset (DV)'!O257)^2+('Schools dataset'!$K$3:$K$187-'Resale flat dataset (DV)'!P257)^2), 0))</f>
        <v>EAST SPRING PRIMARY SCHOOL</v>
      </c>
      <c r="T257" s="39">
        <f>ACOS(COS(RADIANS(90-O257))*COS(RADIANS(90-_xlfn.XLOOKUP(Q257,'MRT station dataset'!$C$3:$C$179,'MRT station dataset'!$E$3:$E$179)))+SIN(RADIANS(90-O257))*SIN(RADIANS(90-_xlfn.XLOOKUP(Q257,'MRT station dataset'!$C$3:$C$179,'MRT station dataset'!$E$3:$E$179)))*COS(RADIANS(P257-_xlfn.XLOOKUP('Resale flat dataset (DV)'!Q257,'MRT station dataset'!$C$3:$C$179,'MRT station dataset'!$F$3:$F$179))))*6371*1000</f>
        <v>1043.7970802360867</v>
      </c>
      <c r="U257" s="39">
        <f>ACOS(COS(RADIANS(90-O257))*COS(RADIANS(90-_xlfn.XLOOKUP(R257,'Mall Dataset'!$B$3:$B$157,'Mall Dataset'!$E$3:$E$157,,0)))+SIN(RADIANS(90-O257))*SIN(RADIANS(90-_xlfn.XLOOKUP(R257,'Mall Dataset'!$B$3:$B$157,'Mall Dataset'!$E$3:$E$157,,0)))*COS(RADIANS(P257-_xlfn.XLOOKUP(R257,'Mall Dataset'!$B$3:$B$157,'Mall Dataset'!$F$3:$F$157,,0))))*6371*1000</f>
        <v>1423.4278543046501</v>
      </c>
      <c r="V257" s="39">
        <f>ACOS(COS(RADIANS(90-O257))*COS(RADIANS(90-_xlfn.XLOOKUP(S257,'Schools dataset'!$B$3:$B$187,'Schools dataset'!$J$3:$J$187,,0)))+SIN(RADIANS(90-O257))*SIN(RADIANS(90-_xlfn.XLOOKUP(S257,'Schools dataset'!$B$3:$B$187,'Schools dataset'!$J$3:$J$187,,0)))*COS(RADIANS(P257-_xlfn.XLOOKUP(S257,'Schools dataset'!$B$3:$B$187,'Schools dataset'!$K$3:$K$187,,0))))*6371*1000</f>
        <v>189.01672660112291</v>
      </c>
      <c r="W257" s="20">
        <f>_xlfn.XLOOKUP(T257,'HDB Recommender'!$P$10:$P$39,'HDB Recommender'!$Q$10:$Q$39,"&gt;30mins",1)</f>
        <v>14</v>
      </c>
      <c r="X257" s="20">
        <f>_xlfn.XLOOKUP(U257,'HDB Recommender'!$P$10:$P$39,'HDB Recommender'!$Q$10:$Q$39,"&gt;30mins",1)</f>
        <v>19</v>
      </c>
      <c r="Y257" s="20">
        <f>_xlfn.XLOOKUP(V257,'HDB Recommender'!$P$10:$P$39,'HDB Recommender'!$Q$10:$Q$39,"&gt;30mins",1)</f>
        <v>3</v>
      </c>
      <c r="Z257" s="39">
        <f t="shared" si="6"/>
        <v>12</v>
      </c>
      <c r="AA257" s="20" t="str">
        <f t="shared" si="7"/>
        <v>Within 1km</v>
      </c>
    </row>
    <row r="258" spans="2:27">
      <c r="B258" s="35" t="s">
        <v>317</v>
      </c>
      <c r="C258" s="35" t="s">
        <v>751</v>
      </c>
      <c r="D258" s="35" t="s">
        <v>20</v>
      </c>
      <c r="E258" s="35">
        <v>367</v>
      </c>
      <c r="F258" s="35" t="s">
        <v>765</v>
      </c>
      <c r="G258" s="35" t="s">
        <v>189</v>
      </c>
      <c r="H258" s="35">
        <v>100</v>
      </c>
      <c r="I258" s="35" t="s">
        <v>335</v>
      </c>
      <c r="J258" s="36">
        <v>1997</v>
      </c>
      <c r="K258" s="39">
        <v>72.6666666666666</v>
      </c>
      <c r="L258" s="37">
        <v>540000</v>
      </c>
      <c r="M258" s="35" t="s">
        <v>766</v>
      </c>
      <c r="N258" s="27">
        <v>520367</v>
      </c>
      <c r="O258" s="38">
        <v>1.35861946074158</v>
      </c>
      <c r="P258" s="38">
        <v>103.960788620104</v>
      </c>
      <c r="Q258" s="38" t="str" cm="1">
        <f t="array" ref="Q258">INDEX('MRT station dataset'!$C$3:$C$179, MATCH(MIN(SQRT(('MRT station dataset'!$E$3:$E$179-'Resale flat dataset (DV)'!O258)^2+('MRT station dataset'!$F$3:$F$179-'Resale flat dataset (DV)'!P258)^2)), SQRT(('MRT station dataset'!$E$3:$E$179-'Resale flat dataset (DV)'!O258)^2+('MRT station dataset'!$F$3:$F$179-'Resale flat dataset (DV)'!P258)^2), 0))</f>
        <v>TAMPINES EAST MRT STATION</v>
      </c>
      <c r="R258" s="38" t="str" cm="1">
        <f t="array" ref="R258">INDEX('Mall Dataset'!$B$3:$B$157, MATCH(MIN(SQRT(('Mall Dataset'!$E$3:$E$157-'Resale flat dataset (DV)'!O258)^2+('Mall Dataset'!$F$3:$F$157-'Resale flat dataset (DV)'!P258)^2)), SQRT(('Mall Dataset'!$E$3:$E$157-'Resale flat dataset (DV)'!O258)^2+('Mall Dataset'!$F$3:$F$157-'Resale flat dataset (DV)'!P258)^2), 0))</f>
        <v>Loyang Point</v>
      </c>
      <c r="S258" s="38" t="str" cm="1">
        <f t="array" ref="S258">INDEX('Schools dataset'!$B$3:$B$187, MATCH(MIN(SQRT(('Schools dataset'!$J$3:$J$187-'Resale flat dataset (DV)'!O258)^2+('Schools dataset'!$K$3:$K$187-'Resale flat dataset (DV)'!P258)^2)), SQRT(('Schools dataset'!$J$3:$J$187-'Resale flat dataset (DV)'!O258)^2+('Schools dataset'!$K$3:$K$187-'Resale flat dataset (DV)'!P258)^2), 0))</f>
        <v>EAST SPRING PRIMARY SCHOOL</v>
      </c>
      <c r="T258" s="39">
        <f>ACOS(COS(RADIANS(90-O258))*COS(RADIANS(90-_xlfn.XLOOKUP(Q258,'MRT station dataset'!$C$3:$C$179,'MRT station dataset'!$E$3:$E$179)))+SIN(RADIANS(90-O258))*SIN(RADIANS(90-_xlfn.XLOOKUP(Q258,'MRT station dataset'!$C$3:$C$179,'MRT station dataset'!$E$3:$E$179)))*COS(RADIANS(P258-_xlfn.XLOOKUP('Resale flat dataset (DV)'!Q258,'MRT station dataset'!$C$3:$C$179,'MRT station dataset'!$F$3:$F$179))))*6371*1000</f>
        <v>738.68352564358577</v>
      </c>
      <c r="U258" s="39">
        <f>ACOS(COS(RADIANS(90-O258))*COS(RADIANS(90-_xlfn.XLOOKUP(R258,'Mall Dataset'!$B$3:$B$157,'Mall Dataset'!$E$3:$E$157,,0)))+SIN(RADIANS(90-O258))*SIN(RADIANS(90-_xlfn.XLOOKUP(R258,'Mall Dataset'!$B$3:$B$157,'Mall Dataset'!$E$3:$E$157,,0)))*COS(RADIANS(P258-_xlfn.XLOOKUP(R258,'Mall Dataset'!$B$3:$B$157,'Mall Dataset'!$F$3:$F$157,,0))))*6371*1000</f>
        <v>1032.0229018201642</v>
      </c>
      <c r="V258" s="39">
        <f>ACOS(COS(RADIANS(90-O258))*COS(RADIANS(90-_xlfn.XLOOKUP(S258,'Schools dataset'!$B$3:$B$187,'Schools dataset'!$J$3:$J$187,,0)))+SIN(RADIANS(90-O258))*SIN(RADIANS(90-_xlfn.XLOOKUP(S258,'Schools dataset'!$B$3:$B$187,'Schools dataset'!$J$3:$J$187,,0)))*COS(RADIANS(P258-_xlfn.XLOOKUP(S258,'Schools dataset'!$B$3:$B$187,'Schools dataset'!$K$3:$K$187,,0))))*6371*1000</f>
        <v>667.33739132658923</v>
      </c>
      <c r="W258" s="20">
        <f>_xlfn.XLOOKUP(T258,'HDB Recommender'!$P$10:$P$39,'HDB Recommender'!$Q$10:$Q$39,"&gt;30mins",1)</f>
        <v>10</v>
      </c>
      <c r="X258" s="20">
        <f>_xlfn.XLOOKUP(U258,'HDB Recommender'!$P$10:$P$39,'HDB Recommender'!$Q$10:$Q$39,"&gt;30mins",1)</f>
        <v>14</v>
      </c>
      <c r="Y258" s="20">
        <f>_xlfn.XLOOKUP(V258,'HDB Recommender'!$P$10:$P$39,'HDB Recommender'!$Q$10:$Q$39,"&gt;30mins",1)</f>
        <v>9</v>
      </c>
      <c r="Z258" s="39">
        <f t="shared" si="6"/>
        <v>11</v>
      </c>
      <c r="AA258" s="20" t="str">
        <f t="shared" si="7"/>
        <v>Within 1km</v>
      </c>
    </row>
    <row r="259" spans="2:27">
      <c r="B259" s="35" t="s">
        <v>317</v>
      </c>
      <c r="C259" s="35" t="s">
        <v>751</v>
      </c>
      <c r="D259" s="35" t="s">
        <v>20</v>
      </c>
      <c r="E259" s="35"/>
      <c r="F259" s="35" t="s">
        <v>767</v>
      </c>
      <c r="G259" s="35" t="s">
        <v>191</v>
      </c>
      <c r="H259" s="35">
        <v>92</v>
      </c>
      <c r="I259" s="35" t="s">
        <v>335</v>
      </c>
      <c r="J259" s="36">
        <v>2018</v>
      </c>
      <c r="K259" s="39">
        <v>94.1666666666666</v>
      </c>
      <c r="L259" s="37">
        <v>655000</v>
      </c>
      <c r="M259" s="35" t="s">
        <v>768</v>
      </c>
      <c r="N259" s="27">
        <v>528494</v>
      </c>
      <c r="O259" s="38">
        <v>1.36368314068034</v>
      </c>
      <c r="P259" s="38">
        <v>103.95499248871</v>
      </c>
      <c r="Q259" s="38" t="str" cm="1">
        <f t="array" ref="Q259">INDEX('MRT station dataset'!$C$3:$C$179, MATCH(MIN(SQRT(('MRT station dataset'!$E$3:$E$179-'Resale flat dataset (DV)'!O259)^2+('MRT station dataset'!$F$3:$F$179-'Resale flat dataset (DV)'!P259)^2)), SQRT(('MRT station dataset'!$E$3:$E$179-'Resale flat dataset (DV)'!O259)^2+('MRT station dataset'!$F$3:$F$179-'Resale flat dataset (DV)'!P259)^2), 0))</f>
        <v>TAMPINES EAST MRT STATION</v>
      </c>
      <c r="R259" s="38" t="str" cm="1">
        <f t="array" ref="R259">INDEX('Mall Dataset'!$B$3:$B$157, MATCH(MIN(SQRT(('Mall Dataset'!$E$3:$E$157-'Resale flat dataset (DV)'!O259)^2+('Mall Dataset'!$F$3:$F$157-'Resale flat dataset (DV)'!P259)^2)), SQRT(('Mall Dataset'!$E$3:$E$157-'Resale flat dataset (DV)'!O259)^2+('Mall Dataset'!$F$3:$F$157-'Resale flat dataset (DV)'!P259)^2), 0))</f>
        <v>White Sands</v>
      </c>
      <c r="S259" s="38" t="str" cm="1">
        <f t="array" ref="S259">INDEX('Schools dataset'!$B$3:$B$187, MATCH(MIN(SQRT(('Schools dataset'!$J$3:$J$187-'Resale flat dataset (DV)'!O259)^2+('Schools dataset'!$K$3:$K$187-'Resale flat dataset (DV)'!P259)^2)), SQRT(('Schools dataset'!$J$3:$J$187-'Resale flat dataset (DV)'!O259)^2+('Schools dataset'!$K$3:$K$187-'Resale flat dataset (DV)'!P259)^2), 0))</f>
        <v>WHITE SANDS PRIMARY SCHOOL</v>
      </c>
      <c r="T259" s="39">
        <f>ACOS(COS(RADIANS(90-O259))*COS(RADIANS(90-_xlfn.XLOOKUP(Q259,'MRT station dataset'!$C$3:$C$179,'MRT station dataset'!$E$3:$E$179)))+SIN(RADIANS(90-O259))*SIN(RADIANS(90-_xlfn.XLOOKUP(Q259,'MRT station dataset'!$C$3:$C$179,'MRT station dataset'!$E$3:$E$179)))*COS(RADIANS(P259-_xlfn.XLOOKUP('Resale flat dataset (DV)'!Q259,'MRT station dataset'!$C$3:$C$179,'MRT station dataset'!$F$3:$F$179))))*6371*1000</f>
        <v>833.23037774471584</v>
      </c>
      <c r="U259" s="39">
        <f>ACOS(COS(RADIANS(90-O259))*COS(RADIANS(90-_xlfn.XLOOKUP(R259,'Mall Dataset'!$B$3:$B$157,'Mall Dataset'!$E$3:$E$157,,0)))+SIN(RADIANS(90-O259))*SIN(RADIANS(90-_xlfn.XLOOKUP(R259,'Mall Dataset'!$B$3:$B$157,'Mall Dataset'!$E$3:$E$157,,0)))*COS(RADIANS(P259-_xlfn.XLOOKUP(R259,'Mall Dataset'!$B$3:$B$157,'Mall Dataset'!$F$3:$F$157,,0))))*6371*1000</f>
        <v>1121.217264549326</v>
      </c>
      <c r="V259" s="39">
        <f>ACOS(COS(RADIANS(90-O259))*COS(RADIANS(90-_xlfn.XLOOKUP(S259,'Schools dataset'!$B$3:$B$187,'Schools dataset'!$J$3:$J$187,,0)))+SIN(RADIANS(90-O259))*SIN(RADIANS(90-_xlfn.XLOOKUP(S259,'Schools dataset'!$B$3:$B$187,'Schools dataset'!$J$3:$J$187,,0)))*COS(RADIANS(P259-_xlfn.XLOOKUP(S259,'Schools dataset'!$B$3:$B$187,'Schools dataset'!$K$3:$K$187,,0))))*6371*1000</f>
        <v>690.96679110326977</v>
      </c>
      <c r="W259" s="20">
        <f>_xlfn.XLOOKUP(T259,'HDB Recommender'!$P$10:$P$39,'HDB Recommender'!$Q$10:$Q$39,"&gt;30mins",1)</f>
        <v>12</v>
      </c>
      <c r="X259" s="20">
        <f>_xlfn.XLOOKUP(U259,'HDB Recommender'!$P$10:$P$39,'HDB Recommender'!$Q$10:$Q$39,"&gt;30mins",1)</f>
        <v>15</v>
      </c>
      <c r="Y259" s="20">
        <f>_xlfn.XLOOKUP(V259,'HDB Recommender'!$P$10:$P$39,'HDB Recommender'!$Q$10:$Q$39,"&gt;30mins",1)</f>
        <v>10</v>
      </c>
      <c r="Z259" s="39">
        <f t="shared" si="6"/>
        <v>12.333333333333334</v>
      </c>
      <c r="AA259" s="20" t="str">
        <f t="shared" si="7"/>
        <v>Within 1km</v>
      </c>
    </row>
    <row r="260" spans="2:27">
      <c r="B260" s="35" t="s">
        <v>317</v>
      </c>
      <c r="C260" s="35" t="s">
        <v>751</v>
      </c>
      <c r="D260" s="35" t="s">
        <v>20</v>
      </c>
      <c r="E260" s="35"/>
      <c r="F260" s="35" t="s">
        <v>767</v>
      </c>
      <c r="G260" s="35" t="s">
        <v>184</v>
      </c>
      <c r="H260" s="35">
        <v>103</v>
      </c>
      <c r="I260" s="35" t="s">
        <v>335</v>
      </c>
      <c r="J260" s="36">
        <v>1990</v>
      </c>
      <c r="K260" s="39">
        <v>65.4166666666666</v>
      </c>
      <c r="L260" s="37">
        <v>570000</v>
      </c>
      <c r="M260" s="35" t="s">
        <v>769</v>
      </c>
      <c r="N260" s="27">
        <v>522487</v>
      </c>
      <c r="O260" s="38">
        <v>1.3607513874127699</v>
      </c>
      <c r="P260" s="38">
        <v>103.95787707189299</v>
      </c>
      <c r="Q260" s="38" t="str" cm="1">
        <f t="array" ref="Q260">INDEX('MRT station dataset'!$C$3:$C$179, MATCH(MIN(SQRT(('MRT station dataset'!$E$3:$E$179-'Resale flat dataset (DV)'!O260)^2+('MRT station dataset'!$F$3:$F$179-'Resale flat dataset (DV)'!P260)^2)), SQRT(('MRT station dataset'!$E$3:$E$179-'Resale flat dataset (DV)'!O260)^2+('MRT station dataset'!$F$3:$F$179-'Resale flat dataset (DV)'!P260)^2), 0))</f>
        <v>TAMPINES EAST MRT STATION</v>
      </c>
      <c r="R260" s="38" t="str" cm="1">
        <f t="array" ref="R260">INDEX('Mall Dataset'!$B$3:$B$157, MATCH(MIN(SQRT(('Mall Dataset'!$E$3:$E$157-'Resale flat dataset (DV)'!O260)^2+('Mall Dataset'!$F$3:$F$157-'Resale flat dataset (DV)'!P260)^2)), SQRT(('Mall Dataset'!$E$3:$E$157-'Resale flat dataset (DV)'!O260)^2+('Mall Dataset'!$F$3:$F$157-'Resale flat dataset (DV)'!P260)^2), 0))</f>
        <v>Loyang Point</v>
      </c>
      <c r="S260" s="38" t="str" cm="1">
        <f t="array" ref="S260">INDEX('Schools dataset'!$B$3:$B$187, MATCH(MIN(SQRT(('Schools dataset'!$J$3:$J$187-'Resale flat dataset (DV)'!O260)^2+('Schools dataset'!$K$3:$K$187-'Resale flat dataset (DV)'!P260)^2)), SQRT(('Schools dataset'!$J$3:$J$187-'Resale flat dataset (DV)'!O260)^2+('Schools dataset'!$K$3:$K$187-'Resale flat dataset (DV)'!P260)^2), 0))</f>
        <v>WHITE SANDS PRIMARY SCHOOL</v>
      </c>
      <c r="T260" s="39">
        <f>ACOS(COS(RADIANS(90-O260))*COS(RADIANS(90-_xlfn.XLOOKUP(Q260,'MRT station dataset'!$C$3:$C$179,'MRT station dataset'!$E$3:$E$179)))+SIN(RADIANS(90-O260))*SIN(RADIANS(90-_xlfn.XLOOKUP(Q260,'MRT station dataset'!$C$3:$C$179,'MRT station dataset'!$E$3:$E$179)))*COS(RADIANS(P260-_xlfn.XLOOKUP('Resale flat dataset (DV)'!Q260,'MRT station dataset'!$C$3:$C$179,'MRT station dataset'!$F$3:$F$179))))*6371*1000</f>
        <v>623.56753674995139</v>
      </c>
      <c r="U260" s="39">
        <f>ACOS(COS(RADIANS(90-O260))*COS(RADIANS(90-_xlfn.XLOOKUP(R260,'Mall Dataset'!$B$3:$B$157,'Mall Dataset'!$E$3:$E$157,,0)))+SIN(RADIANS(90-O260))*SIN(RADIANS(90-_xlfn.XLOOKUP(R260,'Mall Dataset'!$B$3:$B$157,'Mall Dataset'!$E$3:$E$157,,0)))*COS(RADIANS(P260-_xlfn.XLOOKUP(R260,'Mall Dataset'!$B$3:$B$157,'Mall Dataset'!$F$3:$F$157,,0))))*6371*1000</f>
        <v>1028.3614098588957</v>
      </c>
      <c r="V260" s="39">
        <f>ACOS(COS(RADIANS(90-O260))*COS(RADIANS(90-_xlfn.XLOOKUP(S260,'Schools dataset'!$B$3:$B$187,'Schools dataset'!$J$3:$J$187,,0)))+SIN(RADIANS(90-O260))*SIN(RADIANS(90-_xlfn.XLOOKUP(S260,'Schools dataset'!$B$3:$B$187,'Schools dataset'!$J$3:$J$187,,0)))*COS(RADIANS(P260-_xlfn.XLOOKUP(S260,'Schools dataset'!$B$3:$B$187,'Schools dataset'!$K$3:$K$187,,0))))*6371*1000</f>
        <v>632.37188729212107</v>
      </c>
      <c r="W260" s="20">
        <f>_xlfn.XLOOKUP(T260,'HDB Recommender'!$P$10:$P$39,'HDB Recommender'!$Q$10:$Q$39,"&gt;30mins",1)</f>
        <v>9</v>
      </c>
      <c r="X260" s="20">
        <f>_xlfn.XLOOKUP(U260,'HDB Recommender'!$P$10:$P$39,'HDB Recommender'!$Q$10:$Q$39,"&gt;30mins",1)</f>
        <v>14</v>
      </c>
      <c r="Y260" s="20">
        <f>_xlfn.XLOOKUP(V260,'HDB Recommender'!$P$10:$P$39,'HDB Recommender'!$Q$10:$Q$39,"&gt;30mins",1)</f>
        <v>9</v>
      </c>
      <c r="Z260" s="39">
        <f t="shared" ref="Z260:Z322" si="8">AVERAGE(W260:Y260)</f>
        <v>10.666666666666666</v>
      </c>
      <c r="AA260" s="20" t="str">
        <f t="shared" ref="AA260:AA272" si="9">IF(V260&lt;1000, "Within 1km", IF(V260&lt;=2000, "between 1km and 2km", "more than 2km"))</f>
        <v>Within 1km</v>
      </c>
    </row>
    <row r="261" spans="2:27">
      <c r="B261" s="35" t="s">
        <v>317</v>
      </c>
      <c r="C261" s="35" t="s">
        <v>751</v>
      </c>
      <c r="D261" s="35" t="s">
        <v>20</v>
      </c>
      <c r="E261" s="35">
        <v>726</v>
      </c>
      <c r="F261" s="35" t="s">
        <v>770</v>
      </c>
      <c r="G261" s="35" t="s">
        <v>191</v>
      </c>
      <c r="H261" s="35">
        <v>103</v>
      </c>
      <c r="I261" s="35" t="s">
        <v>335</v>
      </c>
      <c r="J261" s="36">
        <v>1997</v>
      </c>
      <c r="K261" s="39">
        <v>73</v>
      </c>
      <c r="L261" s="37">
        <v>600000</v>
      </c>
      <c r="M261" s="35" t="s">
        <v>771</v>
      </c>
      <c r="N261" s="27">
        <v>520726</v>
      </c>
      <c r="O261" s="38">
        <v>1.3569843930127701</v>
      </c>
      <c r="P261" s="38">
        <v>103.935887361779</v>
      </c>
      <c r="Q261" s="38" t="str" cm="1">
        <f t="array" ref="Q261">INDEX('MRT station dataset'!$C$3:$C$179, MATCH(MIN(SQRT(('MRT station dataset'!$E$3:$E$179-'Resale flat dataset (DV)'!O261)^2+('MRT station dataset'!$F$3:$F$179-'Resale flat dataset (DV)'!P261)^2)), SQRT(('MRT station dataset'!$E$3:$E$179-'Resale flat dataset (DV)'!O261)^2+('MRT station dataset'!$F$3:$F$179-'Resale flat dataset (DV)'!P261)^2), 0))</f>
        <v>TAMPINES MRT STATION</v>
      </c>
      <c r="R261" s="38" t="str" cm="1">
        <f t="array" ref="R261">INDEX('Mall Dataset'!$B$3:$B$157, MATCH(MIN(SQRT(('Mall Dataset'!$E$3:$E$157-'Resale flat dataset (DV)'!O261)^2+('Mall Dataset'!$F$3:$F$157-'Resale flat dataset (DV)'!P261)^2)), SQRT(('Mall Dataset'!$E$3:$E$157-'Resale flat dataset (DV)'!O261)^2+('Mall Dataset'!$F$3:$F$157-'Resale flat dataset (DV)'!P261)^2), 0))</f>
        <v>Fairprice Hub</v>
      </c>
      <c r="S261" s="38" t="str" cm="1">
        <f t="array" ref="S261">INDEX('Schools dataset'!$B$3:$B$187, MATCH(MIN(SQRT(('Schools dataset'!$J$3:$J$187-'Resale flat dataset (DV)'!O261)^2+('Schools dataset'!$K$3:$K$187-'Resale flat dataset (DV)'!P261)^2)), SQRT(('Schools dataset'!$J$3:$J$187-'Resale flat dataset (DV)'!O261)^2+('Schools dataset'!$K$3:$K$187-'Resale flat dataset (DV)'!P261)^2), 0))</f>
        <v>POI CHING SCHOOL</v>
      </c>
      <c r="T261" s="39">
        <f>ACOS(COS(RADIANS(90-O261))*COS(RADIANS(90-_xlfn.XLOOKUP(Q261,'MRT station dataset'!$C$3:$C$179,'MRT station dataset'!$E$3:$E$179)))+SIN(RADIANS(90-O261))*SIN(RADIANS(90-_xlfn.XLOOKUP(Q261,'MRT station dataset'!$C$3:$C$179,'MRT station dataset'!$E$3:$E$179)))*COS(RADIANS(P261-_xlfn.XLOOKUP('Resale flat dataset (DV)'!Q261,'MRT station dataset'!$C$3:$C$179,'MRT station dataset'!$F$3:$F$179))))*6371*1000</f>
        <v>1103.0177221201932</v>
      </c>
      <c r="U261" s="39">
        <f>ACOS(COS(RADIANS(90-O261))*COS(RADIANS(90-_xlfn.XLOOKUP(R261,'Mall Dataset'!$B$3:$B$157,'Mall Dataset'!$E$3:$E$157,,0)))+SIN(RADIANS(90-O261))*SIN(RADIANS(90-_xlfn.XLOOKUP(R261,'Mall Dataset'!$B$3:$B$157,'Mall Dataset'!$E$3:$E$157,,0)))*COS(RADIANS(P261-_xlfn.XLOOKUP(R261,'Mall Dataset'!$B$3:$B$157,'Mall Dataset'!$F$3:$F$157,,0))))*6371*1000</f>
        <v>611.46076610248599</v>
      </c>
      <c r="V261" s="39">
        <f>ACOS(COS(RADIANS(90-O261))*COS(RADIANS(90-_xlfn.XLOOKUP(S261,'Schools dataset'!$B$3:$B$187,'Schools dataset'!$J$3:$J$187,,0)))+SIN(RADIANS(90-O261))*SIN(RADIANS(90-_xlfn.XLOOKUP(S261,'Schools dataset'!$B$3:$B$187,'Schools dataset'!$J$3:$J$187,,0)))*COS(RADIANS(P261-_xlfn.XLOOKUP(S261,'Schools dataset'!$B$3:$B$187,'Schools dataset'!$K$3:$K$187,,0))))*6371*1000</f>
        <v>102.82662958246291</v>
      </c>
      <c r="W261" s="20">
        <f>_xlfn.XLOOKUP(T261,'HDB Recommender'!$P$10:$P$39,'HDB Recommender'!$Q$10:$Q$39,"&gt;30mins",1)</f>
        <v>15</v>
      </c>
      <c r="X261" s="20">
        <f>_xlfn.XLOOKUP(U261,'HDB Recommender'!$P$10:$P$39,'HDB Recommender'!$Q$10:$Q$39,"&gt;30mins",1)</f>
        <v>9</v>
      </c>
      <c r="Y261" s="20">
        <f>_xlfn.XLOOKUP(V261,'HDB Recommender'!$P$10:$P$39,'HDB Recommender'!$Q$10:$Q$39,"&gt;30mins",1)</f>
        <v>2</v>
      </c>
      <c r="Z261" s="39">
        <f t="shared" si="8"/>
        <v>8.6666666666666661</v>
      </c>
      <c r="AA261" s="20" t="str">
        <f t="shared" si="9"/>
        <v>Within 1km</v>
      </c>
    </row>
    <row r="262" spans="2:27">
      <c r="B262" s="35" t="s">
        <v>317</v>
      </c>
      <c r="C262" s="35" t="s">
        <v>751</v>
      </c>
      <c r="D262" s="35" t="s">
        <v>20</v>
      </c>
      <c r="E262" s="35">
        <v>832</v>
      </c>
      <c r="F262" s="35" t="s">
        <v>772</v>
      </c>
      <c r="G262" s="35" t="s">
        <v>349</v>
      </c>
      <c r="H262" s="35">
        <v>84</v>
      </c>
      <c r="I262" s="35" t="s">
        <v>369</v>
      </c>
      <c r="J262" s="36">
        <v>1984</v>
      </c>
      <c r="K262" s="39">
        <v>60.25</v>
      </c>
      <c r="L262" s="37">
        <v>505000</v>
      </c>
      <c r="M262" s="35" t="s">
        <v>773</v>
      </c>
      <c r="N262" s="27">
        <v>520832</v>
      </c>
      <c r="O262" s="38">
        <v>1.3501017147759999</v>
      </c>
      <c r="P262" s="38">
        <v>103.935397838075</v>
      </c>
      <c r="Q262" s="38" t="str" cm="1">
        <f t="array" ref="Q262">INDEX('MRT station dataset'!$C$3:$C$179, MATCH(MIN(SQRT(('MRT station dataset'!$E$3:$E$179-'Resale flat dataset (DV)'!O262)^2+('MRT station dataset'!$F$3:$F$179-'Resale flat dataset (DV)'!P262)^2)), SQRT(('MRT station dataset'!$E$3:$E$179-'Resale flat dataset (DV)'!O262)^2+('MRT station dataset'!$F$3:$F$179-'Resale flat dataset (DV)'!P262)^2), 0))</f>
        <v>TAMPINES WEST MRT STATION</v>
      </c>
      <c r="R262" s="38" t="str" cm="1">
        <f t="array" ref="R262">INDEX('Mall Dataset'!$B$3:$B$157, MATCH(MIN(SQRT(('Mall Dataset'!$E$3:$E$157-'Resale flat dataset (DV)'!O262)^2+('Mall Dataset'!$F$3:$F$157-'Resale flat dataset (DV)'!P262)^2)), SQRT(('Mall Dataset'!$E$3:$E$157-'Resale flat dataset (DV)'!O262)^2+('Mall Dataset'!$F$3:$F$157-'Resale flat dataset (DV)'!P262)^2), 0))</f>
        <v>Tampines 1</v>
      </c>
      <c r="S262" s="38" t="str" cm="1">
        <f t="array" ref="S262">INDEX('Schools dataset'!$B$3:$B$187, MATCH(MIN(SQRT(('Schools dataset'!$J$3:$J$187-'Resale flat dataset (DV)'!O262)^2+('Schools dataset'!$K$3:$K$187-'Resale flat dataset (DV)'!P262)^2)), SQRT(('Schools dataset'!$J$3:$J$187-'Resale flat dataset (DV)'!O262)^2+('Schools dataset'!$K$3:$K$187-'Resale flat dataset (DV)'!P262)^2), 0))</f>
        <v>ST. HILDA'S PRIMARY SCHOOL</v>
      </c>
      <c r="T262" s="39">
        <f>ACOS(COS(RADIANS(90-O262))*COS(RADIANS(90-_xlfn.XLOOKUP(Q262,'MRT station dataset'!$C$3:$C$179,'MRT station dataset'!$E$3:$E$179)))+SIN(RADIANS(90-O262))*SIN(RADIANS(90-_xlfn.XLOOKUP(Q262,'MRT station dataset'!$C$3:$C$179,'MRT station dataset'!$E$3:$E$179)))*COS(RADIANS(P262-_xlfn.XLOOKUP('Resale flat dataset (DV)'!Q262,'MRT station dataset'!$C$3:$C$179,'MRT station dataset'!$F$3:$F$179))))*6371*1000</f>
        <v>610.90221769658945</v>
      </c>
      <c r="U262" s="39">
        <f>ACOS(COS(RADIANS(90-O262))*COS(RADIANS(90-_xlfn.XLOOKUP(R262,'Mall Dataset'!$B$3:$B$157,'Mall Dataset'!$E$3:$E$157,,0)))+SIN(RADIANS(90-O262))*SIN(RADIANS(90-_xlfn.XLOOKUP(R262,'Mall Dataset'!$B$3:$B$157,'Mall Dataset'!$E$3:$E$157,,0)))*COS(RADIANS(P262-_xlfn.XLOOKUP(R262,'Mall Dataset'!$B$3:$B$157,'Mall Dataset'!$F$3:$F$157,,0))))*6371*1000</f>
        <v>447.49266035244295</v>
      </c>
      <c r="V262" s="39">
        <f>ACOS(COS(RADIANS(90-O262))*COS(RADIANS(90-_xlfn.XLOOKUP(S262,'Schools dataset'!$B$3:$B$187,'Schools dataset'!$J$3:$J$187,,0)))+SIN(RADIANS(90-O262))*SIN(RADIANS(90-_xlfn.XLOOKUP(S262,'Schools dataset'!$B$3:$B$187,'Schools dataset'!$J$3:$J$187,,0)))*COS(RADIANS(P262-_xlfn.XLOOKUP(S262,'Schools dataset'!$B$3:$B$187,'Schools dataset'!$K$3:$K$187,,0))))*6371*1000</f>
        <v>292.62463925375414</v>
      </c>
      <c r="W262" s="20">
        <f>_xlfn.XLOOKUP(T262,'HDB Recommender'!$P$10:$P$39,'HDB Recommender'!$Q$10:$Q$39,"&gt;30mins",1)</f>
        <v>9</v>
      </c>
      <c r="X262" s="20">
        <f>_xlfn.XLOOKUP(U262,'HDB Recommender'!$P$10:$P$39,'HDB Recommender'!$Q$10:$Q$39,"&gt;30mins",1)</f>
        <v>6</v>
      </c>
      <c r="Y262" s="20">
        <f>_xlfn.XLOOKUP(V262,'HDB Recommender'!$P$10:$P$39,'HDB Recommender'!$Q$10:$Q$39,"&gt;30mins",1)</f>
        <v>4</v>
      </c>
      <c r="Z262" s="39">
        <f t="shared" si="8"/>
        <v>6.333333333333333</v>
      </c>
      <c r="AA262" s="20" t="str">
        <f t="shared" si="9"/>
        <v>Within 1km</v>
      </c>
    </row>
    <row r="263" spans="2:27">
      <c r="B263" s="35" t="s">
        <v>317</v>
      </c>
      <c r="C263" s="35" t="s">
        <v>751</v>
      </c>
      <c r="D263" s="35" t="s">
        <v>20</v>
      </c>
      <c r="E263" s="35">
        <v>850</v>
      </c>
      <c r="F263" s="35" t="s">
        <v>772</v>
      </c>
      <c r="G263" s="35" t="s">
        <v>349</v>
      </c>
      <c r="H263" s="35">
        <v>84</v>
      </c>
      <c r="I263" s="35" t="s">
        <v>369</v>
      </c>
      <c r="J263" s="36">
        <v>1986</v>
      </c>
      <c r="K263" s="39">
        <v>62.25</v>
      </c>
      <c r="L263" s="37">
        <v>510000</v>
      </c>
      <c r="M263" s="35" t="s">
        <v>774</v>
      </c>
      <c r="N263" s="27">
        <v>520850</v>
      </c>
      <c r="O263" s="38">
        <v>1.35304367332026</v>
      </c>
      <c r="P263" s="38">
        <v>103.93596564531499</v>
      </c>
      <c r="Q263" s="38" t="str" cm="1">
        <f t="array" ref="Q263">INDEX('MRT station dataset'!$C$3:$C$179, MATCH(MIN(SQRT(('MRT station dataset'!$E$3:$E$179-'Resale flat dataset (DV)'!O263)^2+('MRT station dataset'!$F$3:$F$179-'Resale flat dataset (DV)'!P263)^2)), SQRT(('MRT station dataset'!$E$3:$E$179-'Resale flat dataset (DV)'!O263)^2+('MRT station dataset'!$F$3:$F$179-'Resale flat dataset (DV)'!P263)^2), 0))</f>
        <v>TAMPINES WEST MRT STATION</v>
      </c>
      <c r="R263" s="38" t="str" cm="1">
        <f t="array" ref="R263">INDEX('Mall Dataset'!$B$3:$B$157, MATCH(MIN(SQRT(('Mall Dataset'!$E$3:$E$157-'Resale flat dataset (DV)'!O263)^2+('Mall Dataset'!$F$3:$F$157-'Resale flat dataset (DV)'!P263)^2)), SQRT(('Mall Dataset'!$E$3:$E$157-'Resale flat dataset (DV)'!O263)^2+('Mall Dataset'!$F$3:$F$157-'Resale flat dataset (DV)'!P263)^2), 0))</f>
        <v>Fairprice Hub</v>
      </c>
      <c r="S263" s="38" t="str" cm="1">
        <f t="array" ref="S263">INDEX('Schools dataset'!$B$3:$B$187, MATCH(MIN(SQRT(('Schools dataset'!$J$3:$J$187-'Resale flat dataset (DV)'!O263)^2+('Schools dataset'!$K$3:$K$187-'Resale flat dataset (DV)'!P263)^2)), SQRT(('Schools dataset'!$J$3:$J$187-'Resale flat dataset (DV)'!O263)^2+('Schools dataset'!$K$3:$K$187-'Resale flat dataset (DV)'!P263)^2), 0))</f>
        <v>ST. HILDA'S PRIMARY SCHOOL</v>
      </c>
      <c r="T263" s="39">
        <f>ACOS(COS(RADIANS(90-O263))*COS(RADIANS(90-_xlfn.XLOOKUP(Q263,'MRT station dataset'!$C$3:$C$179,'MRT station dataset'!$E$3:$E$179)))+SIN(RADIANS(90-O263))*SIN(RADIANS(90-_xlfn.XLOOKUP(Q263,'MRT station dataset'!$C$3:$C$179,'MRT station dataset'!$E$3:$E$179)))*COS(RADIANS(P263-_xlfn.XLOOKUP('Resale flat dataset (DV)'!Q263,'MRT station dataset'!$C$3:$C$179,'MRT station dataset'!$F$3:$F$179))))*6371*1000</f>
        <v>881.38939971641571</v>
      </c>
      <c r="U263" s="39">
        <f>ACOS(COS(RADIANS(90-O263))*COS(RADIANS(90-_xlfn.XLOOKUP(R263,'Mall Dataset'!$B$3:$B$157,'Mall Dataset'!$E$3:$E$157,,0)))+SIN(RADIANS(90-O263))*SIN(RADIANS(90-_xlfn.XLOOKUP(R263,'Mall Dataset'!$B$3:$B$157,'Mall Dataset'!$E$3:$E$157,,0)))*COS(RADIANS(P263-_xlfn.XLOOKUP(R263,'Mall Dataset'!$B$3:$B$157,'Mall Dataset'!$F$3:$F$157,,0))))*6371*1000</f>
        <v>466.68753762148475</v>
      </c>
      <c r="V263" s="39">
        <f>ACOS(COS(RADIANS(90-O263))*COS(RADIANS(90-_xlfn.XLOOKUP(S263,'Schools dataset'!$B$3:$B$187,'Schools dataset'!$J$3:$J$187,,0)))+SIN(RADIANS(90-O263))*SIN(RADIANS(90-_xlfn.XLOOKUP(S263,'Schools dataset'!$B$3:$B$187,'Schools dataset'!$J$3:$J$187,,0)))*COS(RADIANS(P263-_xlfn.XLOOKUP(S263,'Schools dataset'!$B$3:$B$187,'Schools dataset'!$K$3:$K$187,,0))))*6371*1000</f>
        <v>464.66997824384703</v>
      </c>
      <c r="W263" s="20">
        <f>_xlfn.XLOOKUP(T263,'HDB Recommender'!$P$10:$P$39,'HDB Recommender'!$Q$10:$Q$39,"&gt;30mins",1)</f>
        <v>12</v>
      </c>
      <c r="X263" s="20">
        <f>_xlfn.XLOOKUP(U263,'HDB Recommender'!$P$10:$P$39,'HDB Recommender'!$Q$10:$Q$39,"&gt;30mins",1)</f>
        <v>7</v>
      </c>
      <c r="Y263" s="20">
        <f>_xlfn.XLOOKUP(V263,'HDB Recommender'!$P$10:$P$39,'HDB Recommender'!$Q$10:$Q$39,"&gt;30mins",1)</f>
        <v>7</v>
      </c>
      <c r="Z263" s="39">
        <f t="shared" si="8"/>
        <v>8.6666666666666661</v>
      </c>
      <c r="AA263" s="20" t="str">
        <f t="shared" si="9"/>
        <v>Within 1km</v>
      </c>
    </row>
    <row r="264" spans="2:27">
      <c r="B264" s="35" t="s">
        <v>317</v>
      </c>
      <c r="C264" s="35" t="s">
        <v>751</v>
      </c>
      <c r="D264" s="35" t="s">
        <v>20</v>
      </c>
      <c r="E264" s="35">
        <v>927</v>
      </c>
      <c r="F264" s="35" t="s">
        <v>775</v>
      </c>
      <c r="G264" s="35" t="s">
        <v>349</v>
      </c>
      <c r="H264" s="35">
        <v>109</v>
      </c>
      <c r="I264" s="35" t="s">
        <v>335</v>
      </c>
      <c r="J264" s="36">
        <v>1984</v>
      </c>
      <c r="K264" s="39">
        <v>59.8333333333333</v>
      </c>
      <c r="L264" s="37">
        <v>565000</v>
      </c>
      <c r="M264" s="35" t="s">
        <v>776</v>
      </c>
      <c r="N264" s="27">
        <v>520927</v>
      </c>
      <c r="O264" s="38">
        <v>1.34615293908617</v>
      </c>
      <c r="P264" s="38">
        <v>103.940497682184</v>
      </c>
      <c r="Q264" s="38" t="str" cm="1">
        <f t="array" ref="Q264">INDEX('MRT station dataset'!$C$3:$C$179, MATCH(MIN(SQRT(('MRT station dataset'!$E$3:$E$179-'Resale flat dataset (DV)'!O264)^2+('MRT station dataset'!$F$3:$F$179-'Resale flat dataset (DV)'!P264)^2)), SQRT(('MRT station dataset'!$E$3:$E$179-'Resale flat dataset (DV)'!O264)^2+('MRT station dataset'!$F$3:$F$179-'Resale flat dataset (DV)'!P264)^2), 0))</f>
        <v>TAMPINES WEST MRT STATION</v>
      </c>
      <c r="R264" s="38" t="str" cm="1">
        <f t="array" ref="R264">INDEX('Mall Dataset'!$B$3:$B$157, MATCH(MIN(SQRT(('Mall Dataset'!$E$3:$E$157-'Resale flat dataset (DV)'!O264)^2+('Mall Dataset'!$F$3:$F$157-'Resale flat dataset (DV)'!P264)^2)), SQRT(('Mall Dataset'!$E$3:$E$157-'Resale flat dataset (DV)'!O264)^2+('Mall Dataset'!$F$3:$F$157-'Resale flat dataset (DV)'!P264)^2), 0))</f>
        <v>Our Tampines Hub</v>
      </c>
      <c r="S264" s="38" t="str" cm="1">
        <f t="array" ref="S264">INDEX('Schools dataset'!$B$3:$B$187, MATCH(MIN(SQRT(('Schools dataset'!$J$3:$J$187-'Resale flat dataset (DV)'!O264)^2+('Schools dataset'!$K$3:$K$187-'Resale flat dataset (DV)'!P264)^2)), SQRT(('Schools dataset'!$J$3:$J$187-'Resale flat dataset (DV)'!O264)^2+('Schools dataset'!$K$3:$K$187-'Resale flat dataset (DV)'!P264)^2), 0))</f>
        <v>JUNYUAN PRIMARY SCHOOL</v>
      </c>
      <c r="T264" s="39">
        <f>ACOS(COS(RADIANS(90-O264))*COS(RADIANS(90-_xlfn.XLOOKUP(Q264,'MRT station dataset'!$C$3:$C$179,'MRT station dataset'!$E$3:$E$179)))+SIN(RADIANS(90-O264))*SIN(RADIANS(90-_xlfn.XLOOKUP(Q264,'MRT station dataset'!$C$3:$C$179,'MRT station dataset'!$E$3:$E$179)))*COS(RADIANS(P264-_xlfn.XLOOKUP('Resale flat dataset (DV)'!Q264,'MRT station dataset'!$C$3:$C$179,'MRT station dataset'!$F$3:$F$179))))*6371*1000</f>
        <v>244.22854079760947</v>
      </c>
      <c r="U264" s="39">
        <f>ACOS(COS(RADIANS(90-O264))*COS(RADIANS(90-_xlfn.XLOOKUP(R264,'Mall Dataset'!$B$3:$B$157,'Mall Dataset'!$E$3:$E$157,,0)))+SIN(RADIANS(90-O264))*SIN(RADIANS(90-_xlfn.XLOOKUP(R264,'Mall Dataset'!$B$3:$B$157,'Mall Dataset'!$E$3:$E$157,,0)))*COS(RADIANS(P264-_xlfn.XLOOKUP(R264,'Mall Dataset'!$B$3:$B$157,'Mall Dataset'!$F$3:$F$157,,0))))*6371*1000</f>
        <v>670.32351762613177</v>
      </c>
      <c r="V264" s="39">
        <f>ACOS(COS(RADIANS(90-O264))*COS(RADIANS(90-_xlfn.XLOOKUP(S264,'Schools dataset'!$B$3:$B$187,'Schools dataset'!$J$3:$J$187,,0)))+SIN(RADIANS(90-O264))*SIN(RADIANS(90-_xlfn.XLOOKUP(S264,'Schools dataset'!$B$3:$B$187,'Schools dataset'!$J$3:$J$187,,0)))*COS(RADIANS(P264-_xlfn.XLOOKUP(S264,'Schools dataset'!$B$3:$B$187,'Schools dataset'!$K$3:$K$187,,0))))*6371*1000</f>
        <v>267.14317156729049</v>
      </c>
      <c r="W264" s="20">
        <f>_xlfn.XLOOKUP(T264,'HDB Recommender'!$P$10:$P$39,'HDB Recommender'!$Q$10:$Q$39,"&gt;30mins",1)</f>
        <v>4</v>
      </c>
      <c r="X264" s="20">
        <f>_xlfn.XLOOKUP(U264,'HDB Recommender'!$P$10:$P$39,'HDB Recommender'!$Q$10:$Q$39,"&gt;30mins",1)</f>
        <v>9</v>
      </c>
      <c r="Y264" s="20">
        <f>_xlfn.XLOOKUP(V264,'HDB Recommender'!$P$10:$P$39,'HDB Recommender'!$Q$10:$Q$39,"&gt;30mins",1)</f>
        <v>4</v>
      </c>
      <c r="Z264" s="39">
        <f t="shared" si="8"/>
        <v>5.666666666666667</v>
      </c>
      <c r="AA264" s="20" t="str">
        <f t="shared" si="9"/>
        <v>Within 1km</v>
      </c>
    </row>
    <row r="265" spans="2:27">
      <c r="B265" s="35" t="s">
        <v>317</v>
      </c>
      <c r="C265" s="35" t="s">
        <v>751</v>
      </c>
      <c r="D265" s="35" t="s">
        <v>341</v>
      </c>
      <c r="E265" s="35"/>
      <c r="F265" s="35" t="s">
        <v>777</v>
      </c>
      <c r="G265" s="35" t="s">
        <v>349</v>
      </c>
      <c r="H265" s="35">
        <v>124</v>
      </c>
      <c r="I265" s="35" t="s">
        <v>326</v>
      </c>
      <c r="J265" s="36">
        <v>1993</v>
      </c>
      <c r="K265" s="39">
        <v>68.8333333333333</v>
      </c>
      <c r="L265" s="37">
        <v>650000</v>
      </c>
      <c r="M265" s="35" t="s">
        <v>778</v>
      </c>
      <c r="N265" s="27">
        <v>520494</v>
      </c>
      <c r="O265" s="38">
        <v>1.3630082896792</v>
      </c>
      <c r="P265" s="38">
        <v>103.952704897774</v>
      </c>
      <c r="Q265" s="38" t="str" cm="1">
        <f t="array" ref="Q265">INDEX('MRT station dataset'!$C$3:$C$179, MATCH(MIN(SQRT(('MRT station dataset'!$E$3:$E$179-'Resale flat dataset (DV)'!O265)^2+('MRT station dataset'!$F$3:$F$179-'Resale flat dataset (DV)'!P265)^2)), SQRT(('MRT station dataset'!$E$3:$E$179-'Resale flat dataset (DV)'!O265)^2+('MRT station dataset'!$F$3:$F$179-'Resale flat dataset (DV)'!P265)^2), 0))</f>
        <v>TAMPINES EAST MRT STATION</v>
      </c>
      <c r="R265" s="38" t="str" cm="1">
        <f t="array" ref="R265">INDEX('Mall Dataset'!$B$3:$B$157, MATCH(MIN(SQRT(('Mall Dataset'!$E$3:$E$157-'Resale flat dataset (DV)'!O265)^2+('Mall Dataset'!$F$3:$F$157-'Resale flat dataset (DV)'!P265)^2)), SQRT(('Mall Dataset'!$E$3:$E$157-'Resale flat dataset (DV)'!O265)^2+('Mall Dataset'!$F$3:$F$157-'Resale flat dataset (DV)'!P265)^2), 0))</f>
        <v>White Sands</v>
      </c>
      <c r="S265" s="38" t="str" cm="1">
        <f t="array" ref="S265">INDEX('Schools dataset'!$B$3:$B$187, MATCH(MIN(SQRT(('Schools dataset'!$J$3:$J$187-'Resale flat dataset (DV)'!O265)^2+('Schools dataset'!$K$3:$K$187-'Resale flat dataset (DV)'!P265)^2)), SQRT(('Schools dataset'!$J$3:$J$187-'Resale flat dataset (DV)'!O265)^2+('Schools dataset'!$K$3:$K$187-'Resale flat dataset (DV)'!P265)^2), 0))</f>
        <v>TAMPINES NORTH PRIMARY SCHOOL</v>
      </c>
      <c r="T265" s="39">
        <f>ACOS(COS(RADIANS(90-O265))*COS(RADIANS(90-_xlfn.XLOOKUP(Q265,'MRT station dataset'!$C$3:$C$179,'MRT station dataset'!$E$3:$E$179)))+SIN(RADIANS(90-O265))*SIN(RADIANS(90-_xlfn.XLOOKUP(Q265,'MRT station dataset'!$C$3:$C$179,'MRT station dataset'!$E$3:$E$179)))*COS(RADIANS(P265-_xlfn.XLOOKUP('Resale flat dataset (DV)'!Q265,'MRT station dataset'!$C$3:$C$179,'MRT station dataset'!$F$3:$F$179))))*6371*1000</f>
        <v>785.81226462340942</v>
      </c>
      <c r="U265" s="39">
        <f>ACOS(COS(RADIANS(90-O265))*COS(RADIANS(90-_xlfn.XLOOKUP(R265,'Mall Dataset'!$B$3:$B$157,'Mall Dataset'!$E$3:$E$157,,0)))+SIN(RADIANS(90-O265))*SIN(RADIANS(90-_xlfn.XLOOKUP(R265,'Mall Dataset'!$B$3:$B$157,'Mall Dataset'!$E$3:$E$157,,0)))*COS(RADIANS(P265-_xlfn.XLOOKUP(R265,'Mall Dataset'!$B$3:$B$157,'Mall Dataset'!$F$3:$F$157,,0))))*6371*1000</f>
        <v>1083.3813732985602</v>
      </c>
      <c r="V265" s="39">
        <f>ACOS(COS(RADIANS(90-O265))*COS(RADIANS(90-_xlfn.XLOOKUP(S265,'Schools dataset'!$B$3:$B$187,'Schools dataset'!$J$3:$J$187,,0)))+SIN(RADIANS(90-O265))*SIN(RADIANS(90-_xlfn.XLOOKUP(S265,'Schools dataset'!$B$3:$B$187,'Schools dataset'!$J$3:$J$187,,0)))*COS(RADIANS(P265-_xlfn.XLOOKUP(S265,'Schools dataset'!$B$3:$B$187,'Schools dataset'!$K$3:$K$187,,0))))*6371*1000</f>
        <v>519.60151870781112</v>
      </c>
      <c r="W265" s="20">
        <f>_xlfn.XLOOKUP(T265,'HDB Recommender'!$P$10:$P$39,'HDB Recommender'!$Q$10:$Q$39,"&gt;30mins",1)</f>
        <v>11</v>
      </c>
      <c r="X265" s="20">
        <f>_xlfn.XLOOKUP(U265,'HDB Recommender'!$P$10:$P$39,'HDB Recommender'!$Q$10:$Q$39,"&gt;30mins",1)</f>
        <v>15</v>
      </c>
      <c r="Y265" s="20">
        <f>_xlfn.XLOOKUP(V265,'HDB Recommender'!$P$10:$P$39,'HDB Recommender'!$Q$10:$Q$39,"&gt;30mins",1)</f>
        <v>7</v>
      </c>
      <c r="Z265" s="39">
        <f t="shared" si="8"/>
        <v>11</v>
      </c>
      <c r="AA265" s="20" t="str">
        <f t="shared" si="9"/>
        <v>Within 1km</v>
      </c>
    </row>
    <row r="266" spans="2:27">
      <c r="B266" s="35" t="s">
        <v>317</v>
      </c>
      <c r="C266" s="35" t="s">
        <v>751</v>
      </c>
      <c r="D266" s="35" t="s">
        <v>341</v>
      </c>
      <c r="E266" s="35"/>
      <c r="F266" s="35" t="s">
        <v>777</v>
      </c>
      <c r="G266" s="35" t="s">
        <v>191</v>
      </c>
      <c r="H266" s="35">
        <v>126</v>
      </c>
      <c r="I266" s="35" t="s">
        <v>326</v>
      </c>
      <c r="J266" s="36">
        <v>1993</v>
      </c>
      <c r="K266" s="39">
        <v>68.8333333333333</v>
      </c>
      <c r="L266" s="37">
        <v>675000</v>
      </c>
      <c r="M266" s="35" t="s">
        <v>779</v>
      </c>
      <c r="N266" s="27">
        <v>520491</v>
      </c>
      <c r="O266" s="38">
        <v>1.3625647439944599</v>
      </c>
      <c r="P266" s="38">
        <v>103.953782907479</v>
      </c>
      <c r="Q266" s="38" t="str" cm="1">
        <f t="array" ref="Q266">INDEX('MRT station dataset'!$C$3:$C$179, MATCH(MIN(SQRT(('MRT station dataset'!$E$3:$E$179-'Resale flat dataset (DV)'!O266)^2+('MRT station dataset'!$F$3:$F$179-'Resale flat dataset (DV)'!P266)^2)), SQRT(('MRT station dataset'!$E$3:$E$179-'Resale flat dataset (DV)'!O266)^2+('MRT station dataset'!$F$3:$F$179-'Resale flat dataset (DV)'!P266)^2), 0))</f>
        <v>TAMPINES EAST MRT STATION</v>
      </c>
      <c r="R266" s="38" t="str" cm="1">
        <f t="array" ref="R266">INDEX('Mall Dataset'!$B$3:$B$157, MATCH(MIN(SQRT(('Mall Dataset'!$E$3:$E$157-'Resale flat dataset (DV)'!O266)^2+('Mall Dataset'!$F$3:$F$157-'Resale flat dataset (DV)'!P266)^2)), SQRT(('Mall Dataset'!$E$3:$E$157-'Resale flat dataset (DV)'!O266)^2+('Mall Dataset'!$F$3:$F$157-'Resale flat dataset (DV)'!P266)^2), 0))</f>
        <v>White Sands</v>
      </c>
      <c r="S266" s="38" t="str" cm="1">
        <f t="array" ref="S266">INDEX('Schools dataset'!$B$3:$B$187, MATCH(MIN(SQRT(('Schools dataset'!$J$3:$J$187-'Resale flat dataset (DV)'!O266)^2+('Schools dataset'!$K$3:$K$187-'Resale flat dataset (DV)'!P266)^2)), SQRT(('Schools dataset'!$J$3:$J$187-'Resale flat dataset (DV)'!O266)^2+('Schools dataset'!$K$3:$K$187-'Resale flat dataset (DV)'!P266)^2), 0))</f>
        <v>TAMPINES NORTH PRIMARY SCHOOL</v>
      </c>
      <c r="T266" s="39">
        <f>ACOS(COS(RADIANS(90-O266))*COS(RADIANS(90-_xlfn.XLOOKUP(Q266,'MRT station dataset'!$C$3:$C$179,'MRT station dataset'!$E$3:$E$179)))+SIN(RADIANS(90-O266))*SIN(RADIANS(90-_xlfn.XLOOKUP(Q266,'MRT station dataset'!$C$3:$C$179,'MRT station dataset'!$E$3:$E$179)))*COS(RADIANS(P266-_xlfn.XLOOKUP('Resale flat dataset (DV)'!Q266,'MRT station dataset'!$C$3:$C$179,'MRT station dataset'!$F$3:$F$179))))*6371*1000</f>
        <v>713.53214625927114</v>
      </c>
      <c r="U266" s="39">
        <f>ACOS(COS(RADIANS(90-O266))*COS(RADIANS(90-_xlfn.XLOOKUP(R266,'Mall Dataset'!$B$3:$B$157,'Mall Dataset'!$E$3:$E$157,,0)))+SIN(RADIANS(90-O266))*SIN(RADIANS(90-_xlfn.XLOOKUP(R266,'Mall Dataset'!$B$3:$B$157,'Mall Dataset'!$E$3:$E$157,,0)))*COS(RADIANS(P266-_xlfn.XLOOKUP(R266,'Mall Dataset'!$B$3:$B$157,'Mall Dataset'!$F$3:$F$157,,0))))*6371*1000</f>
        <v>1171.0854087562686</v>
      </c>
      <c r="V266" s="39">
        <f>ACOS(COS(RADIANS(90-O266))*COS(RADIANS(90-_xlfn.XLOOKUP(S266,'Schools dataset'!$B$3:$B$187,'Schools dataset'!$J$3:$J$187,,0)))+SIN(RADIANS(90-O266))*SIN(RADIANS(90-_xlfn.XLOOKUP(S266,'Schools dataset'!$B$3:$B$187,'Schools dataset'!$J$3:$J$187,,0)))*COS(RADIANS(P266-_xlfn.XLOOKUP(S266,'Schools dataset'!$B$3:$B$187,'Schools dataset'!$K$3:$K$187,,0))))*6371*1000</f>
        <v>603.32361849149561</v>
      </c>
      <c r="W266" s="20">
        <f>_xlfn.XLOOKUP(T266,'HDB Recommender'!$P$10:$P$39,'HDB Recommender'!$Q$10:$Q$39,"&gt;30mins",1)</f>
        <v>10</v>
      </c>
      <c r="X266" s="20">
        <f>_xlfn.XLOOKUP(U266,'HDB Recommender'!$P$10:$P$39,'HDB Recommender'!$Q$10:$Q$39,"&gt;30mins",1)</f>
        <v>16</v>
      </c>
      <c r="Y266" s="20">
        <f>_xlfn.XLOOKUP(V266,'HDB Recommender'!$P$10:$P$39,'HDB Recommender'!$Q$10:$Q$39,"&gt;30mins",1)</f>
        <v>9</v>
      </c>
      <c r="Z266" s="39">
        <f t="shared" si="8"/>
        <v>11.666666666666666</v>
      </c>
      <c r="AA266" s="20" t="str">
        <f t="shared" si="9"/>
        <v>Within 1km</v>
      </c>
    </row>
    <row r="267" spans="2:27">
      <c r="B267" s="35" t="s">
        <v>317</v>
      </c>
      <c r="C267" s="35" t="s">
        <v>751</v>
      </c>
      <c r="D267" s="35" t="s">
        <v>341</v>
      </c>
      <c r="E267" s="35">
        <v>317</v>
      </c>
      <c r="F267" s="35" t="s">
        <v>763</v>
      </c>
      <c r="G267" s="35" t="s">
        <v>189</v>
      </c>
      <c r="H267" s="35">
        <v>128</v>
      </c>
      <c r="I267" s="35" t="s">
        <v>326</v>
      </c>
      <c r="J267" s="36">
        <v>1995</v>
      </c>
      <c r="K267" s="39">
        <v>70.9166666666666</v>
      </c>
      <c r="L267" s="37">
        <v>665000</v>
      </c>
      <c r="M267" s="35" t="s">
        <v>780</v>
      </c>
      <c r="N267" s="27">
        <v>520317</v>
      </c>
      <c r="O267" s="38">
        <v>1.35153802906184</v>
      </c>
      <c r="P267" s="38">
        <v>103.956897901071</v>
      </c>
      <c r="Q267" s="38" t="str" cm="1">
        <f t="array" ref="Q267">INDEX('MRT station dataset'!$C$3:$C$179, MATCH(MIN(SQRT(('MRT station dataset'!$E$3:$E$179-'Resale flat dataset (DV)'!O267)^2+('MRT station dataset'!$F$3:$F$179-'Resale flat dataset (DV)'!P267)^2)), SQRT(('MRT station dataset'!$E$3:$E$179-'Resale flat dataset (DV)'!O267)^2+('MRT station dataset'!$F$3:$F$179-'Resale flat dataset (DV)'!P267)^2), 0))</f>
        <v>TAMPINES EAST MRT STATION</v>
      </c>
      <c r="R267" s="38" t="str" cm="1">
        <f t="array" ref="R267">INDEX('Mall Dataset'!$B$3:$B$157, MATCH(MIN(SQRT(('Mall Dataset'!$E$3:$E$157-'Resale flat dataset (DV)'!O267)^2+('Mall Dataset'!$F$3:$F$157-'Resale flat dataset (DV)'!P267)^2)), SQRT(('Mall Dataset'!$E$3:$E$157-'Resale flat dataset (DV)'!O267)^2+('Mall Dataset'!$F$3:$F$157-'Resale flat dataset (DV)'!P267)^2), 0))</f>
        <v>Eastpoint Mall</v>
      </c>
      <c r="S267" s="38" t="str" cm="1">
        <f t="array" ref="S267">INDEX('Schools dataset'!$B$3:$B$187, MATCH(MIN(SQRT(('Schools dataset'!$J$3:$J$187-'Resale flat dataset (DV)'!O267)^2+('Schools dataset'!$K$3:$K$187-'Resale flat dataset (DV)'!P267)^2)), SQRT(('Schools dataset'!$J$3:$J$187-'Resale flat dataset (DV)'!O267)^2+('Schools dataset'!$K$3:$K$187-'Resale flat dataset (DV)'!P267)^2), 0))</f>
        <v>EAST SPRING PRIMARY SCHOOL</v>
      </c>
      <c r="T267" s="39">
        <f>ACOS(COS(RADIANS(90-O267))*COS(RADIANS(90-_xlfn.XLOOKUP(Q267,'MRT station dataset'!$C$3:$C$179,'MRT station dataset'!$E$3:$E$179)))+SIN(RADIANS(90-O267))*SIN(RADIANS(90-_xlfn.XLOOKUP(Q267,'MRT station dataset'!$C$3:$C$179,'MRT station dataset'!$E$3:$E$179)))*COS(RADIANS(P267-_xlfn.XLOOKUP('Resale flat dataset (DV)'!Q267,'MRT station dataset'!$C$3:$C$179,'MRT station dataset'!$F$3:$F$179))))*6371*1000</f>
        <v>577.90748179535819</v>
      </c>
      <c r="U267" s="39">
        <f>ACOS(COS(RADIANS(90-O267))*COS(RADIANS(90-_xlfn.XLOOKUP(R267,'Mall Dataset'!$B$3:$B$157,'Mall Dataset'!$E$3:$E$157,,0)))+SIN(RADIANS(90-O267))*SIN(RADIANS(90-_xlfn.XLOOKUP(R267,'Mall Dataset'!$B$3:$B$157,'Mall Dataset'!$E$3:$E$157,,0)))*COS(RADIANS(P267-_xlfn.XLOOKUP(R267,'Mall Dataset'!$B$3:$B$157,'Mall Dataset'!$F$3:$F$157,,0))))*6371*1000</f>
        <v>1072.3257103508668</v>
      </c>
      <c r="V267" s="39">
        <f>ACOS(COS(RADIANS(90-O267))*COS(RADIANS(90-_xlfn.XLOOKUP(S267,'Schools dataset'!$B$3:$B$187,'Schools dataset'!$J$3:$J$187,,0)))+SIN(RADIANS(90-O267))*SIN(RADIANS(90-_xlfn.XLOOKUP(S267,'Schools dataset'!$B$3:$B$187,'Schools dataset'!$J$3:$J$187,,0)))*COS(RADIANS(P267-_xlfn.XLOOKUP(S267,'Schools dataset'!$B$3:$B$187,'Schools dataset'!$K$3:$K$187,,0))))*6371*1000</f>
        <v>546.31567910448496</v>
      </c>
      <c r="W267" s="20">
        <f>_xlfn.XLOOKUP(T267,'HDB Recommender'!$P$10:$P$39,'HDB Recommender'!$Q$10:$Q$39,"&gt;30mins",1)</f>
        <v>8</v>
      </c>
      <c r="X267" s="20">
        <f>_xlfn.XLOOKUP(U267,'HDB Recommender'!$P$10:$P$39,'HDB Recommender'!$Q$10:$Q$39,"&gt;30mins",1)</f>
        <v>15</v>
      </c>
      <c r="Y267" s="20">
        <f>_xlfn.XLOOKUP(V267,'HDB Recommender'!$P$10:$P$39,'HDB Recommender'!$Q$10:$Q$39,"&gt;30mins",1)</f>
        <v>8</v>
      </c>
      <c r="Z267" s="39">
        <f t="shared" si="8"/>
        <v>10.333333333333334</v>
      </c>
      <c r="AA267" s="20" t="str">
        <f t="shared" si="9"/>
        <v>Within 1km</v>
      </c>
    </row>
    <row r="268" spans="2:27">
      <c r="B268" s="35" t="s">
        <v>317</v>
      </c>
      <c r="C268" s="35" t="s">
        <v>751</v>
      </c>
      <c r="D268" s="35" t="s">
        <v>341</v>
      </c>
      <c r="E268" s="35">
        <v>912</v>
      </c>
      <c r="F268" s="35" t="s">
        <v>775</v>
      </c>
      <c r="G268" s="35" t="s">
        <v>189</v>
      </c>
      <c r="H268" s="35">
        <v>134</v>
      </c>
      <c r="I268" s="35" t="s">
        <v>335</v>
      </c>
      <c r="J268" s="36">
        <v>1984</v>
      </c>
      <c r="K268" s="39">
        <v>60</v>
      </c>
      <c r="L268" s="37">
        <v>740000</v>
      </c>
      <c r="M268" s="35" t="s">
        <v>781</v>
      </c>
      <c r="N268" s="27">
        <v>520912</v>
      </c>
      <c r="O268" s="38">
        <v>1.3494356123953399</v>
      </c>
      <c r="P268" s="38">
        <v>103.939252333523</v>
      </c>
      <c r="Q268" s="38" t="str" cm="1">
        <f t="array" ref="Q268">INDEX('MRT station dataset'!$C$3:$C$179, MATCH(MIN(SQRT(('MRT station dataset'!$E$3:$E$179-'Resale flat dataset (DV)'!O268)^2+('MRT station dataset'!$F$3:$F$179-'Resale flat dataset (DV)'!P268)^2)), SQRT(('MRT station dataset'!$E$3:$E$179-'Resale flat dataset (DV)'!O268)^2+('MRT station dataset'!$F$3:$F$179-'Resale flat dataset (DV)'!P268)^2), 0))</f>
        <v>TAMPINES WEST MRT STATION</v>
      </c>
      <c r="R268" s="38" t="str" cm="1">
        <f t="array" ref="R268">INDEX('Mall Dataset'!$B$3:$B$157, MATCH(MIN(SQRT(('Mall Dataset'!$E$3:$E$157-'Resale flat dataset (DV)'!O268)^2+('Mall Dataset'!$F$3:$F$157-'Resale flat dataset (DV)'!P268)^2)), SQRT(('Mall Dataset'!$E$3:$E$157-'Resale flat dataset (DV)'!O268)^2+('Mall Dataset'!$F$3:$F$157-'Resale flat dataset (DV)'!P268)^2), 0))</f>
        <v>Our Tampines Hub</v>
      </c>
      <c r="S268" s="38" t="str" cm="1">
        <f t="array" ref="S268">INDEX('Schools dataset'!$B$3:$B$187, MATCH(MIN(SQRT(('Schools dataset'!$J$3:$J$187-'Resale flat dataset (DV)'!O268)^2+('Schools dataset'!$K$3:$K$187-'Resale flat dataset (DV)'!P268)^2)), SQRT(('Schools dataset'!$J$3:$J$187-'Resale flat dataset (DV)'!O268)^2+('Schools dataset'!$K$3:$K$187-'Resale flat dataset (DV)'!P268)^2), 0))</f>
        <v>ST. HILDA'S PRIMARY SCHOOL</v>
      </c>
      <c r="T268" s="39">
        <f>ACOS(COS(RADIANS(90-O268))*COS(RADIANS(90-_xlfn.XLOOKUP(Q268,'MRT station dataset'!$C$3:$C$179,'MRT station dataset'!$E$3:$E$179)))+SIN(RADIANS(90-O268))*SIN(RADIANS(90-_xlfn.XLOOKUP(Q268,'MRT station dataset'!$C$3:$C$179,'MRT station dataset'!$E$3:$E$179)))*COS(RADIANS(P268-_xlfn.XLOOKUP('Resale flat dataset (DV)'!Q268,'MRT station dataset'!$C$3:$C$179,'MRT station dataset'!$F$3:$F$179))))*6371*1000</f>
        <v>447.75969361211065</v>
      </c>
      <c r="U268" s="39">
        <f>ACOS(COS(RADIANS(90-O268))*COS(RADIANS(90-_xlfn.XLOOKUP(R268,'Mall Dataset'!$B$3:$B$157,'Mall Dataset'!$E$3:$E$157,,0)))+SIN(RADIANS(90-O268))*SIN(RADIANS(90-_xlfn.XLOOKUP(R268,'Mall Dataset'!$B$3:$B$157,'Mall Dataset'!$E$3:$E$157,,0)))*COS(RADIANS(P268-_xlfn.XLOOKUP(R268,'Mall Dataset'!$B$3:$B$157,'Mall Dataset'!$F$3:$F$157,,0))))*6371*1000</f>
        <v>339.9011417219233</v>
      </c>
      <c r="V268" s="39">
        <f>ACOS(COS(RADIANS(90-O268))*COS(RADIANS(90-_xlfn.XLOOKUP(S268,'Schools dataset'!$B$3:$B$187,'Schools dataset'!$J$3:$J$187,,0)))+SIN(RADIANS(90-O268))*SIN(RADIANS(90-_xlfn.XLOOKUP(S268,'Schools dataset'!$B$3:$B$187,'Schools dataset'!$J$3:$J$187,,0)))*COS(RADIANS(P268-_xlfn.XLOOKUP(S268,'Schools dataset'!$B$3:$B$187,'Schools dataset'!$K$3:$K$187,,0))))*6371*1000</f>
        <v>148.35693046358878</v>
      </c>
      <c r="W268" s="20">
        <f>_xlfn.XLOOKUP(T268,'HDB Recommender'!$P$10:$P$39,'HDB Recommender'!$Q$10:$Q$39,"&gt;30mins",1)</f>
        <v>6</v>
      </c>
      <c r="X268" s="20">
        <f>_xlfn.XLOOKUP(U268,'HDB Recommender'!$P$10:$P$39,'HDB Recommender'!$Q$10:$Q$39,"&gt;30mins",1)</f>
        <v>5</v>
      </c>
      <c r="Y268" s="20">
        <f>_xlfn.XLOOKUP(V268,'HDB Recommender'!$P$10:$P$39,'HDB Recommender'!$Q$10:$Q$39,"&gt;30mins",1)</f>
        <v>2</v>
      </c>
      <c r="Z268" s="39">
        <f t="shared" si="8"/>
        <v>4.333333333333333</v>
      </c>
      <c r="AA268" s="20" t="str">
        <f t="shared" si="9"/>
        <v>Within 1km</v>
      </c>
    </row>
    <row r="269" spans="2:27">
      <c r="B269" s="35" t="s">
        <v>317</v>
      </c>
      <c r="C269" s="35" t="s">
        <v>751</v>
      </c>
      <c r="D269" s="35" t="s">
        <v>383</v>
      </c>
      <c r="E269" s="35">
        <v>149</v>
      </c>
      <c r="F269" s="35" t="s">
        <v>782</v>
      </c>
      <c r="G269" s="35" t="s">
        <v>191</v>
      </c>
      <c r="H269" s="35">
        <v>150</v>
      </c>
      <c r="I269" s="35" t="s">
        <v>392</v>
      </c>
      <c r="J269" s="36">
        <v>1984</v>
      </c>
      <c r="K269" s="39">
        <v>60.0833333333333</v>
      </c>
      <c r="L269" s="37">
        <v>940000</v>
      </c>
      <c r="M269" s="35" t="s">
        <v>783</v>
      </c>
      <c r="N269" s="27">
        <v>521149</v>
      </c>
      <c r="O269" s="38">
        <v>1.3514019915520901</v>
      </c>
      <c r="P269" s="38">
        <v>103.942727273621</v>
      </c>
      <c r="Q269" s="38" t="str" cm="1">
        <f t="array" ref="Q269">INDEX('MRT station dataset'!$C$3:$C$179, MATCH(MIN(SQRT(('MRT station dataset'!$E$3:$E$179-'Resale flat dataset (DV)'!O269)^2+('MRT station dataset'!$F$3:$F$179-'Resale flat dataset (DV)'!P269)^2)), SQRT(('MRT station dataset'!$E$3:$E$179-'Resale flat dataset (DV)'!O269)^2+('MRT station dataset'!$F$3:$F$179-'Resale flat dataset (DV)'!P269)^2), 0))</f>
        <v>TAMPINES MRT STATION</v>
      </c>
      <c r="R269" s="38" t="str" cm="1">
        <f t="array" ref="R269">INDEX('Mall Dataset'!$B$3:$B$157, MATCH(MIN(SQRT(('Mall Dataset'!$E$3:$E$157-'Resale flat dataset (DV)'!O269)^2+('Mall Dataset'!$F$3:$F$157-'Resale flat dataset (DV)'!P269)^2)), SQRT(('Mall Dataset'!$E$3:$E$157-'Resale flat dataset (DV)'!O269)^2+('Mall Dataset'!$F$3:$F$157-'Resale flat dataset (DV)'!P269)^2), 0))</f>
        <v>Century Square</v>
      </c>
      <c r="S269" s="38" t="str" cm="1">
        <f t="array" ref="S269">INDEX('Schools dataset'!$B$3:$B$187, MATCH(MIN(SQRT(('Schools dataset'!$J$3:$J$187-'Resale flat dataset (DV)'!O269)^2+('Schools dataset'!$K$3:$K$187-'Resale flat dataset (DV)'!P269)^2)), SQRT(('Schools dataset'!$J$3:$J$187-'Resale flat dataset (DV)'!O269)^2+('Schools dataset'!$K$3:$K$187-'Resale flat dataset (DV)'!P269)^2), 0))</f>
        <v>TAMPINES PRIMARY SCHOOL</v>
      </c>
      <c r="T269" s="39">
        <f>ACOS(COS(RADIANS(90-O269))*COS(RADIANS(90-_xlfn.XLOOKUP(Q269,'MRT station dataset'!$C$3:$C$179,'MRT station dataset'!$E$3:$E$179)))+SIN(RADIANS(90-O269))*SIN(RADIANS(90-_xlfn.XLOOKUP(Q269,'MRT station dataset'!$C$3:$C$179,'MRT station dataset'!$E$3:$E$179)))*COS(RADIANS(P269-_xlfn.XLOOKUP('Resale flat dataset (DV)'!Q269,'MRT station dataset'!$C$3:$C$179,'MRT station dataset'!$F$3:$F$179))))*6371*1000</f>
        <v>337.80444366315845</v>
      </c>
      <c r="U269" s="39">
        <f>ACOS(COS(RADIANS(90-O269))*COS(RADIANS(90-_xlfn.XLOOKUP(R269,'Mall Dataset'!$B$3:$B$157,'Mall Dataset'!$E$3:$E$157,,0)))+SIN(RADIANS(90-O269))*SIN(RADIANS(90-_xlfn.XLOOKUP(R269,'Mall Dataset'!$B$3:$B$157,'Mall Dataset'!$E$3:$E$157,,0)))*COS(RADIANS(P269-_xlfn.XLOOKUP(R269,'Mall Dataset'!$B$3:$B$157,'Mall Dataset'!$F$3:$F$157,,0))))*6371*1000</f>
        <v>147.84099327444423</v>
      </c>
      <c r="V269" s="39">
        <f>ACOS(COS(RADIANS(90-O269))*COS(RADIANS(90-_xlfn.XLOOKUP(S269,'Schools dataset'!$B$3:$B$187,'Schools dataset'!$J$3:$J$187,,0)))+SIN(RADIANS(90-O269))*SIN(RADIANS(90-_xlfn.XLOOKUP(S269,'Schools dataset'!$B$3:$B$187,'Schools dataset'!$J$3:$J$187,,0)))*COS(RADIANS(P269-_xlfn.XLOOKUP(S269,'Schools dataset'!$B$3:$B$187,'Schools dataset'!$K$3:$K$187,,0))))*6371*1000</f>
        <v>229.66322207119271</v>
      </c>
      <c r="W269" s="20">
        <f>_xlfn.XLOOKUP(T269,'HDB Recommender'!$P$10:$P$39,'HDB Recommender'!$Q$10:$Q$39,"&gt;30mins",1)</f>
        <v>5</v>
      </c>
      <c r="X269" s="20">
        <f>_xlfn.XLOOKUP(U269,'HDB Recommender'!$P$10:$P$39,'HDB Recommender'!$Q$10:$Q$39,"&gt;30mins",1)</f>
        <v>2</v>
      </c>
      <c r="Y269" s="20">
        <f>_xlfn.XLOOKUP(V269,'HDB Recommender'!$P$10:$P$39,'HDB Recommender'!$Q$10:$Q$39,"&gt;30mins",1)</f>
        <v>4</v>
      </c>
      <c r="Z269" s="39">
        <f t="shared" si="8"/>
        <v>3.6666666666666665</v>
      </c>
      <c r="AA269" s="20" t="str">
        <f t="shared" si="9"/>
        <v>Within 1km</v>
      </c>
    </row>
    <row r="270" spans="2:27">
      <c r="B270" s="35" t="s">
        <v>317</v>
      </c>
      <c r="C270" s="35" t="s">
        <v>751</v>
      </c>
      <c r="D270" s="35" t="s">
        <v>383</v>
      </c>
      <c r="E270" s="35">
        <v>332</v>
      </c>
      <c r="F270" s="35" t="s">
        <v>784</v>
      </c>
      <c r="G270" s="35" t="s">
        <v>189</v>
      </c>
      <c r="H270" s="35">
        <v>147</v>
      </c>
      <c r="I270" s="35" t="s">
        <v>384</v>
      </c>
      <c r="J270" s="36">
        <v>1996</v>
      </c>
      <c r="K270" s="39">
        <v>71.3333333333333</v>
      </c>
      <c r="L270" s="37">
        <v>845088</v>
      </c>
      <c r="M270" s="35" t="s">
        <v>785</v>
      </c>
      <c r="N270" s="27">
        <v>520332</v>
      </c>
      <c r="O270" s="38">
        <v>1.35316793762096</v>
      </c>
      <c r="P270" s="38">
        <v>103.96068865339301</v>
      </c>
      <c r="Q270" s="38" t="str" cm="1">
        <f t="array" ref="Q270">INDEX('MRT station dataset'!$C$3:$C$179, MATCH(MIN(SQRT(('MRT station dataset'!$E$3:$E$179-'Resale flat dataset (DV)'!O270)^2+('MRT station dataset'!$F$3:$F$179-'Resale flat dataset (DV)'!P270)^2)), SQRT(('MRT station dataset'!$E$3:$E$179-'Resale flat dataset (DV)'!O270)^2+('MRT station dataset'!$F$3:$F$179-'Resale flat dataset (DV)'!P270)^2), 0))</f>
        <v>TAMPINES EAST MRT STATION</v>
      </c>
      <c r="R270" s="38" t="str" cm="1">
        <f t="array" ref="R270">INDEX('Mall Dataset'!$B$3:$B$157, MATCH(MIN(SQRT(('Mall Dataset'!$E$3:$E$157-'Resale flat dataset (DV)'!O270)^2+('Mall Dataset'!$F$3:$F$157-'Resale flat dataset (DV)'!P270)^2)), SQRT(('Mall Dataset'!$E$3:$E$157-'Resale flat dataset (DV)'!O270)^2+('Mall Dataset'!$F$3:$F$157-'Resale flat dataset (DV)'!P270)^2), 0))</f>
        <v>Eastpoint Mall</v>
      </c>
      <c r="S270" s="38" t="str" cm="1">
        <f t="array" ref="S270">INDEX('Schools dataset'!$B$3:$B$187, MATCH(MIN(SQRT(('Schools dataset'!$J$3:$J$187-'Resale flat dataset (DV)'!O270)^2+('Schools dataset'!$K$3:$K$187-'Resale flat dataset (DV)'!P270)^2)), SQRT(('Schools dataset'!$J$3:$J$187-'Resale flat dataset (DV)'!O270)^2+('Schools dataset'!$K$3:$K$187-'Resale flat dataset (DV)'!P270)^2), 0))</f>
        <v>EAST SPRING PRIMARY SCHOOL</v>
      </c>
      <c r="T270" s="39">
        <f>ACOS(COS(RADIANS(90-O270))*COS(RADIANS(90-_xlfn.XLOOKUP(Q270,'MRT station dataset'!$C$3:$C$179,'MRT station dataset'!$E$3:$E$179)))+SIN(RADIANS(90-O270))*SIN(RADIANS(90-_xlfn.XLOOKUP(Q270,'MRT station dataset'!$C$3:$C$179,'MRT station dataset'!$E$3:$E$179)))*COS(RADIANS(P270-_xlfn.XLOOKUP('Resale flat dataset (DV)'!Q270,'MRT station dataset'!$C$3:$C$179,'MRT station dataset'!$F$3:$F$179))))*6371*1000</f>
        <v>756.16133528741875</v>
      </c>
      <c r="U270" s="39">
        <f>ACOS(COS(RADIANS(90-O270))*COS(RADIANS(90-_xlfn.XLOOKUP(R270,'Mall Dataset'!$B$3:$B$157,'Mall Dataset'!$E$3:$E$157,,0)))+SIN(RADIANS(90-O270))*SIN(RADIANS(90-_xlfn.XLOOKUP(R270,'Mall Dataset'!$B$3:$B$157,'Mall Dataset'!$E$3:$E$157,,0)))*COS(RADIANS(P270-_xlfn.XLOOKUP(R270,'Mall Dataset'!$B$3:$B$157,'Mall Dataset'!$F$3:$F$157,,0))))*6371*1000</f>
        <v>1441.9314165642675</v>
      </c>
      <c r="V270" s="39">
        <f>ACOS(COS(RADIANS(90-O270))*COS(RADIANS(90-_xlfn.XLOOKUP(S270,'Schools dataset'!$B$3:$B$187,'Schools dataset'!$J$3:$J$187,,0)))+SIN(RADIANS(90-O270))*SIN(RADIANS(90-_xlfn.XLOOKUP(S270,'Schools dataset'!$B$3:$B$187,'Schools dataset'!$J$3:$J$187,,0)))*COS(RADIANS(P270-_xlfn.XLOOKUP(S270,'Schools dataset'!$B$3:$B$187,'Schools dataset'!$K$3:$K$187,,0))))*6371*1000</f>
        <v>122.32323807023148</v>
      </c>
      <c r="W270" s="20">
        <f>_xlfn.XLOOKUP(T270,'HDB Recommender'!$P$10:$P$39,'HDB Recommender'!$Q$10:$Q$39,"&gt;30mins",1)</f>
        <v>11</v>
      </c>
      <c r="X270" s="20">
        <f>_xlfn.XLOOKUP(U270,'HDB Recommender'!$P$10:$P$39,'HDB Recommender'!$Q$10:$Q$39,"&gt;30mins",1)</f>
        <v>20</v>
      </c>
      <c r="Y270" s="20">
        <f>_xlfn.XLOOKUP(V270,'HDB Recommender'!$P$10:$P$39,'HDB Recommender'!$Q$10:$Q$39,"&gt;30mins",1)</f>
        <v>2</v>
      </c>
      <c r="Z270" s="39">
        <f t="shared" si="8"/>
        <v>11</v>
      </c>
      <c r="AA270" s="20" t="str">
        <f t="shared" si="9"/>
        <v>Within 1km</v>
      </c>
    </row>
    <row r="271" spans="2:27">
      <c r="B271" s="35" t="s">
        <v>317</v>
      </c>
      <c r="C271" s="35" t="s">
        <v>751</v>
      </c>
      <c r="D271" s="35" t="s">
        <v>383</v>
      </c>
      <c r="E271" s="35"/>
      <c r="F271" s="35" t="s">
        <v>767</v>
      </c>
      <c r="G271" s="35" t="s">
        <v>191</v>
      </c>
      <c r="H271" s="35">
        <v>144</v>
      </c>
      <c r="I271" s="35" t="s">
        <v>389</v>
      </c>
      <c r="J271" s="36">
        <v>1996</v>
      </c>
      <c r="K271" s="39">
        <v>71.75</v>
      </c>
      <c r="L271" s="37">
        <v>830000</v>
      </c>
      <c r="M271" s="35" t="s">
        <v>786</v>
      </c>
      <c r="N271" s="27">
        <v>520497</v>
      </c>
      <c r="O271" s="38">
        <v>1.35933200137711</v>
      </c>
      <c r="P271" s="38">
        <v>103.958581034137</v>
      </c>
      <c r="Q271" s="38" t="str" cm="1">
        <f t="array" ref="Q271">INDEX('MRT station dataset'!$C$3:$C$179, MATCH(MIN(SQRT(('MRT station dataset'!$E$3:$E$179-'Resale flat dataset (DV)'!O271)^2+('MRT station dataset'!$F$3:$F$179-'Resale flat dataset (DV)'!P271)^2)), SQRT(('MRT station dataset'!$E$3:$E$179-'Resale flat dataset (DV)'!O271)^2+('MRT station dataset'!$F$3:$F$179-'Resale flat dataset (DV)'!P271)^2), 0))</f>
        <v>TAMPINES EAST MRT STATION</v>
      </c>
      <c r="R271" s="38" t="str" cm="1">
        <f t="array" ref="R271">INDEX('Mall Dataset'!$B$3:$B$157, MATCH(MIN(SQRT(('Mall Dataset'!$E$3:$E$157-'Resale flat dataset (DV)'!O271)^2+('Mall Dataset'!$F$3:$F$157-'Resale flat dataset (DV)'!P271)^2)), SQRT(('Mall Dataset'!$E$3:$E$157-'Resale flat dataset (DV)'!O271)^2+('Mall Dataset'!$F$3:$F$157-'Resale flat dataset (DV)'!P271)^2), 0))</f>
        <v>Loyang Point</v>
      </c>
      <c r="S271" s="38" t="str" cm="1">
        <f t="array" ref="S271">INDEX('Schools dataset'!$B$3:$B$187, MATCH(MIN(SQRT(('Schools dataset'!$J$3:$J$187-'Resale flat dataset (DV)'!O271)^2+('Schools dataset'!$K$3:$K$187-'Resale flat dataset (DV)'!P271)^2)), SQRT(('Schools dataset'!$J$3:$J$187-'Resale flat dataset (DV)'!O271)^2+('Schools dataset'!$K$3:$K$187-'Resale flat dataset (DV)'!P271)^2), 0))</f>
        <v>WHITE SANDS PRIMARY SCHOOL</v>
      </c>
      <c r="T271" s="39">
        <f>ACOS(COS(RADIANS(90-O271))*COS(RADIANS(90-_xlfn.XLOOKUP(Q271,'MRT station dataset'!$C$3:$C$179,'MRT station dataset'!$E$3:$E$179)))+SIN(RADIANS(90-O271))*SIN(RADIANS(90-_xlfn.XLOOKUP(Q271,'MRT station dataset'!$C$3:$C$179,'MRT station dataset'!$E$3:$E$179)))*COS(RADIANS(P271-_xlfn.XLOOKUP('Resale flat dataset (DV)'!Q271,'MRT station dataset'!$C$3:$C$179,'MRT station dataset'!$F$3:$F$179))))*6371*1000</f>
        <v>563.14677732917607</v>
      </c>
      <c r="U271" s="39">
        <f>ACOS(COS(RADIANS(90-O271))*COS(RADIANS(90-_xlfn.XLOOKUP(R271,'Mall Dataset'!$B$3:$B$157,'Mall Dataset'!$E$3:$E$157,,0)))+SIN(RADIANS(90-O271))*SIN(RADIANS(90-_xlfn.XLOOKUP(R271,'Mall Dataset'!$B$3:$B$157,'Mall Dataset'!$E$3:$E$157,,0)))*COS(RADIANS(P271-_xlfn.XLOOKUP(R271,'Mall Dataset'!$B$3:$B$157,'Mall Dataset'!$F$3:$F$157,,0))))*6371*1000</f>
        <v>1092.0744141815967</v>
      </c>
      <c r="V271" s="39">
        <f>ACOS(COS(RADIANS(90-O271))*COS(RADIANS(90-_xlfn.XLOOKUP(S271,'Schools dataset'!$B$3:$B$187,'Schools dataset'!$J$3:$J$187,,0)))+SIN(RADIANS(90-O271))*SIN(RADIANS(90-_xlfn.XLOOKUP(S271,'Schools dataset'!$B$3:$B$187,'Schools dataset'!$J$3:$J$187,,0)))*COS(RADIANS(P271-_xlfn.XLOOKUP(S271,'Schools dataset'!$B$3:$B$187,'Schools dataset'!$K$3:$K$187,,0))))*6371*1000</f>
        <v>739.38203462819536</v>
      </c>
      <c r="W271" s="20">
        <f>_xlfn.XLOOKUP(T271,'HDB Recommender'!$P$10:$P$39,'HDB Recommender'!$Q$10:$Q$39,"&gt;30mins",1)</f>
        <v>8</v>
      </c>
      <c r="X271" s="20">
        <f>_xlfn.XLOOKUP(U271,'HDB Recommender'!$P$10:$P$39,'HDB Recommender'!$Q$10:$Q$39,"&gt;30mins",1)</f>
        <v>15</v>
      </c>
      <c r="Y271" s="20">
        <f>_xlfn.XLOOKUP(V271,'HDB Recommender'!$P$10:$P$39,'HDB Recommender'!$Q$10:$Q$39,"&gt;30mins",1)</f>
        <v>10</v>
      </c>
      <c r="Z271" s="39">
        <f t="shared" si="8"/>
        <v>11</v>
      </c>
      <c r="AA271" s="20" t="str">
        <f t="shared" si="9"/>
        <v>Within 1km</v>
      </c>
    </row>
    <row r="272" spans="2:27">
      <c r="B272" s="35" t="s">
        <v>317</v>
      </c>
      <c r="C272" s="35" t="s">
        <v>787</v>
      </c>
      <c r="D272" s="35" t="s">
        <v>318</v>
      </c>
      <c r="E272" s="35">
        <v>157</v>
      </c>
      <c r="F272" s="35" t="s">
        <v>788</v>
      </c>
      <c r="G272" s="35" t="s">
        <v>349</v>
      </c>
      <c r="H272" s="35">
        <v>67</v>
      </c>
      <c r="I272" s="35" t="s">
        <v>326</v>
      </c>
      <c r="J272" s="36">
        <v>1971</v>
      </c>
      <c r="K272" s="39">
        <v>46.8333333333333</v>
      </c>
      <c r="L272" s="37">
        <v>380000</v>
      </c>
      <c r="M272" s="35" t="s">
        <v>789</v>
      </c>
      <c r="N272" s="27">
        <v>310157</v>
      </c>
      <c r="O272" s="38">
        <v>1.3322286992560299</v>
      </c>
      <c r="P272" s="38">
        <v>103.845548405014</v>
      </c>
      <c r="Q272" s="38" t="str" cm="1">
        <f t="array" ref="Q272">INDEX('MRT station dataset'!$C$3:$C$179, MATCH(MIN(SQRT(('MRT station dataset'!$E$3:$E$179-'Resale flat dataset (DV)'!O272)^2+('MRT station dataset'!$F$3:$F$179-'Resale flat dataset (DV)'!P272)^2)), SQRT(('MRT station dataset'!$E$3:$E$179-'Resale flat dataset (DV)'!O272)^2+('MRT station dataset'!$F$3:$F$179-'Resale flat dataset (DV)'!P272)^2), 0))</f>
        <v>TOA PAYOH MRT STATION</v>
      </c>
      <c r="R272" s="38" t="str" cm="1">
        <f t="array" ref="R272">INDEX('Mall Dataset'!$B$3:$B$157, MATCH(MIN(SQRT(('Mall Dataset'!$E$3:$E$157-'Resale flat dataset (DV)'!O272)^2+('Mall Dataset'!$F$3:$F$157-'Resale flat dataset (DV)'!P272)^2)), SQRT(('Mall Dataset'!$E$3:$E$157-'Resale flat dataset (DV)'!O272)^2+('Mall Dataset'!$F$3:$F$157-'Resale flat dataset (DV)'!P272)^2), 0))</f>
        <v>HDB Hub</v>
      </c>
      <c r="S272" s="38" t="str" cm="1">
        <f t="array" ref="S272">INDEX('Schools dataset'!$B$3:$B$187, MATCH(MIN(SQRT(('Schools dataset'!$J$3:$J$187-'Resale flat dataset (DV)'!O272)^2+('Schools dataset'!$K$3:$K$187-'Resale flat dataset (DV)'!P272)^2)), SQRT(('Schools dataset'!$J$3:$J$187-'Resale flat dataset (DV)'!O272)^2+('Schools dataset'!$K$3:$K$187-'Resale flat dataset (DV)'!P272)^2), 0))</f>
        <v>CHIJ PRIMARY (TOA PAYOH)</v>
      </c>
      <c r="T272" s="39">
        <f>ACOS(COS(RADIANS(90-O272))*COS(RADIANS(90-_xlfn.XLOOKUP(Q272,'MRT station dataset'!$C$3:$C$179,'MRT station dataset'!$E$3:$E$179)))+SIN(RADIANS(90-O272))*SIN(RADIANS(90-_xlfn.XLOOKUP(Q272,'MRT station dataset'!$C$3:$C$179,'MRT station dataset'!$E$3:$E$179)))*COS(RADIANS(P272-_xlfn.XLOOKUP('Resale flat dataset (DV)'!Q272,'MRT station dataset'!$C$3:$C$179,'MRT station dataset'!$F$3:$F$179))))*6371*1000</f>
        <v>220.84241941890181</v>
      </c>
      <c r="U272" s="39">
        <f>ACOS(COS(RADIANS(90-O272))*COS(RADIANS(90-_xlfn.XLOOKUP(R272,'Mall Dataset'!$B$3:$B$157,'Mall Dataset'!$E$3:$E$157,,0)))+SIN(RADIANS(90-O272))*SIN(RADIANS(90-_xlfn.XLOOKUP(R272,'Mall Dataset'!$B$3:$B$157,'Mall Dataset'!$E$3:$E$157,,0)))*COS(RADIANS(P272-_xlfn.XLOOKUP(R272,'Mall Dataset'!$B$3:$B$157,'Mall Dataset'!$F$3:$F$157,,0))))*6371*1000</f>
        <v>478.72667566768268</v>
      </c>
      <c r="V272" s="39">
        <f>ACOS(COS(RADIANS(90-O272))*COS(RADIANS(90-_xlfn.XLOOKUP(S272,'Schools dataset'!$B$3:$B$187,'Schools dataset'!$J$3:$J$187,,0)))+SIN(RADIANS(90-O272))*SIN(RADIANS(90-_xlfn.XLOOKUP(S272,'Schools dataset'!$B$3:$B$187,'Schools dataset'!$J$3:$J$187,,0)))*COS(RADIANS(P272-_xlfn.XLOOKUP(S272,'Schools dataset'!$B$3:$B$187,'Schools dataset'!$K$3:$K$187,,0))))*6371*1000</f>
        <v>415.54126666440118</v>
      </c>
      <c r="W272" s="20">
        <f>_xlfn.XLOOKUP(T272,'HDB Recommender'!$P$10:$P$39,'HDB Recommender'!$Q$10:$Q$39,"&gt;30mins",1)</f>
        <v>3</v>
      </c>
      <c r="X272" s="20">
        <f>_xlfn.XLOOKUP(U272,'HDB Recommender'!$P$10:$P$39,'HDB Recommender'!$Q$10:$Q$39,"&gt;30mins",1)</f>
        <v>7</v>
      </c>
      <c r="Y272" s="20">
        <f>_xlfn.XLOOKUP(V272,'HDB Recommender'!$P$10:$P$39,'HDB Recommender'!$Q$10:$Q$39,"&gt;30mins",1)</f>
        <v>6</v>
      </c>
      <c r="Z272" s="39">
        <f t="shared" si="8"/>
        <v>5.333333333333333</v>
      </c>
      <c r="AA272" s="20" t="str">
        <f t="shared" si="9"/>
        <v>Within 1km</v>
      </c>
    </row>
    <row r="273" spans="2:27">
      <c r="B273" s="35" t="s">
        <v>317</v>
      </c>
      <c r="C273" s="35" t="s">
        <v>787</v>
      </c>
      <c r="D273" s="35" t="s">
        <v>318</v>
      </c>
      <c r="E273" s="35">
        <v>3</v>
      </c>
      <c r="F273" s="35" t="s">
        <v>790</v>
      </c>
      <c r="G273" s="35" t="s">
        <v>191</v>
      </c>
      <c r="H273" s="35">
        <v>68</v>
      </c>
      <c r="I273" s="35" t="s">
        <v>326</v>
      </c>
      <c r="J273" s="36">
        <v>1969</v>
      </c>
      <c r="K273" s="39">
        <v>44.75</v>
      </c>
      <c r="L273" s="37">
        <v>355000</v>
      </c>
      <c r="M273" s="35" t="s">
        <v>791</v>
      </c>
      <c r="N273" s="27">
        <v>310003</v>
      </c>
      <c r="O273" s="38">
        <v>1.33919545395688</v>
      </c>
      <c r="P273" s="38">
        <v>103.854450883864</v>
      </c>
      <c r="Q273" s="38" t="str" cm="1">
        <f t="array" ref="Q273">INDEX('MRT station dataset'!$C$3:$C$179, MATCH(MIN(SQRT(('MRT station dataset'!$E$3:$E$179-'Resale flat dataset (DV)'!O273)^2+('MRT station dataset'!$F$3:$F$179-'Resale flat dataset (DV)'!P273)^2)), SQRT(('MRT station dataset'!$E$3:$E$179-'Resale flat dataset (DV)'!O273)^2+('MRT station dataset'!$F$3:$F$179-'Resale flat dataset (DV)'!P273)^2), 0))</f>
        <v>BRADDELL MRT STATION</v>
      </c>
      <c r="R273" s="38" t="str" cm="1">
        <f t="array" ref="R273">INDEX('Mall Dataset'!$B$3:$B$157, MATCH(MIN(SQRT(('Mall Dataset'!$E$3:$E$157-'Resale flat dataset (DV)'!O273)^2+('Mall Dataset'!$F$3:$F$157-'Resale flat dataset (DV)'!P273)^2)), SQRT(('Mall Dataset'!$E$3:$E$157-'Resale flat dataset (DV)'!O273)^2+('Mall Dataset'!$F$3:$F$157-'Resale flat dataset (DV)'!P273)^2), 0))</f>
        <v>HDB Hub</v>
      </c>
      <c r="S273" s="38" t="str" cm="1">
        <f t="array" ref="S273">INDEX('Schools dataset'!$B$3:$B$187, MATCH(MIN(SQRT(('Schools dataset'!$J$3:$J$187-'Resale flat dataset (DV)'!O273)^2+('Schools dataset'!$K$3:$K$187-'Resale flat dataset (DV)'!P273)^2)), SQRT(('Schools dataset'!$J$3:$J$187-'Resale flat dataset (DV)'!O273)^2+('Schools dataset'!$K$3:$K$187-'Resale flat dataset (DV)'!P273)^2), 0))</f>
        <v>FIRST TOA PAYOH PRIMARY SCHOOL</v>
      </c>
      <c r="T273" s="39">
        <f>ACOS(COS(RADIANS(90-O273))*COS(RADIANS(90-_xlfn.XLOOKUP(Q273,'MRT station dataset'!$C$3:$C$179,'MRT station dataset'!$E$3:$E$179)))+SIN(RADIANS(90-O273))*SIN(RADIANS(90-_xlfn.XLOOKUP(Q273,'MRT station dataset'!$C$3:$C$179,'MRT station dataset'!$E$3:$E$179)))*COS(RADIANS(P273-_xlfn.XLOOKUP('Resale flat dataset (DV)'!Q273,'MRT station dataset'!$C$3:$C$179,'MRT station dataset'!$F$3:$F$179))))*6371*1000</f>
        <v>862.78851956788549</v>
      </c>
      <c r="U273" s="39">
        <f>ACOS(COS(RADIANS(90-O273))*COS(RADIANS(90-_xlfn.XLOOKUP(R273,'Mall Dataset'!$B$3:$B$157,'Mall Dataset'!$E$3:$E$157,,0)))+SIN(RADIANS(90-O273))*SIN(RADIANS(90-_xlfn.XLOOKUP(R273,'Mall Dataset'!$B$3:$B$157,'Mall Dataset'!$E$3:$E$157,,0)))*COS(RADIANS(P273-_xlfn.XLOOKUP(R273,'Mall Dataset'!$B$3:$B$157,'Mall Dataset'!$F$3:$F$157,,0))))*6371*1000</f>
        <v>948.33307916670549</v>
      </c>
      <c r="V273" s="39">
        <f>ACOS(COS(RADIANS(90-O273))*COS(RADIANS(90-_xlfn.XLOOKUP(S273,'Schools dataset'!$B$3:$B$187,'Schools dataset'!$J$3:$J$187,,0)))+SIN(RADIANS(90-O273))*SIN(RADIANS(90-_xlfn.XLOOKUP(S273,'Schools dataset'!$B$3:$B$187,'Schools dataset'!$J$3:$J$187,,0)))*COS(RADIANS(P273-_xlfn.XLOOKUP(S273,'Schools dataset'!$B$3:$B$187,'Schools dataset'!$K$3:$K$187,,0))))*6371*1000</f>
        <v>183.09041992744434</v>
      </c>
      <c r="W273" s="20">
        <f>_xlfn.XLOOKUP(T273,'HDB Recommender'!$P$10:$P$39,'HDB Recommender'!$Q$10:$Q$39,"&gt;30mins",1)</f>
        <v>12</v>
      </c>
      <c r="X273" s="20">
        <f>_xlfn.XLOOKUP(U273,'HDB Recommender'!$P$10:$P$39,'HDB Recommender'!$Q$10:$Q$39,"&gt;30mins",1)</f>
        <v>13</v>
      </c>
      <c r="Y273" s="20">
        <f>_xlfn.XLOOKUP(V273,'HDB Recommender'!$P$10:$P$39,'HDB Recommender'!$Q$10:$Q$39,"&gt;30mins",1)</f>
        <v>3</v>
      </c>
      <c r="Z273" s="39">
        <f t="shared" si="8"/>
        <v>9.3333333333333339</v>
      </c>
      <c r="AA273" s="20" t="str">
        <f>IF(V273&lt;1000, "Within 1km", IF(V273&lt;=2000, "between 1km and 2km", "more than 2km"))</f>
        <v>Within 1km</v>
      </c>
    </row>
    <row r="274" spans="2:27">
      <c r="B274" s="35" t="s">
        <v>317</v>
      </c>
      <c r="C274" s="35" t="s">
        <v>787</v>
      </c>
      <c r="D274" s="35" t="s">
        <v>318</v>
      </c>
      <c r="E274" s="35">
        <v>234</v>
      </c>
      <c r="F274" s="35" t="s">
        <v>792</v>
      </c>
      <c r="G274" s="35" t="s">
        <v>184</v>
      </c>
      <c r="H274" s="35">
        <v>65</v>
      </c>
      <c r="I274" s="35" t="s">
        <v>326</v>
      </c>
      <c r="J274" s="36">
        <v>1976</v>
      </c>
      <c r="K274" s="39">
        <v>52.0833333333333</v>
      </c>
      <c r="L274" s="37">
        <v>345000</v>
      </c>
      <c r="M274" s="35" t="s">
        <v>793</v>
      </c>
      <c r="N274" s="27">
        <v>310234</v>
      </c>
      <c r="O274" s="38">
        <v>1.3386014862692599</v>
      </c>
      <c r="P274" s="38">
        <v>103.85791406983699</v>
      </c>
      <c r="Q274" s="38" t="str" cm="1">
        <f t="array" ref="Q274">INDEX('MRT station dataset'!$C$3:$C$179, MATCH(MIN(SQRT(('MRT station dataset'!$E$3:$E$179-'Resale flat dataset (DV)'!O274)^2+('MRT station dataset'!$F$3:$F$179-'Resale flat dataset (DV)'!P274)^2)), SQRT(('MRT station dataset'!$E$3:$E$179-'Resale flat dataset (DV)'!O274)^2+('MRT station dataset'!$F$3:$F$179-'Resale flat dataset (DV)'!P274)^2), 0))</f>
        <v>BRADDELL MRT STATION</v>
      </c>
      <c r="R274" s="38" t="str" cm="1">
        <f t="array" ref="R274">INDEX('Mall Dataset'!$B$3:$B$157, MATCH(MIN(SQRT(('Mall Dataset'!$E$3:$E$157-'Resale flat dataset (DV)'!O274)^2+('Mall Dataset'!$F$3:$F$157-'Resale flat dataset (DV)'!P274)^2)), SQRT(('Mall Dataset'!$E$3:$E$157-'Resale flat dataset (DV)'!O274)^2+('Mall Dataset'!$F$3:$F$157-'Resale flat dataset (DV)'!P274)^2), 0))</f>
        <v>HDB Hub</v>
      </c>
      <c r="S274" s="38" t="str" cm="1">
        <f t="array" ref="S274">INDEX('Schools dataset'!$B$3:$B$187, MATCH(MIN(SQRT(('Schools dataset'!$J$3:$J$187-'Resale flat dataset (DV)'!O274)^2+('Schools dataset'!$K$3:$K$187-'Resale flat dataset (DV)'!P274)^2)), SQRT(('Schools dataset'!$J$3:$J$187-'Resale flat dataset (DV)'!O274)^2+('Schools dataset'!$K$3:$K$187-'Resale flat dataset (DV)'!P274)^2), 0))</f>
        <v>FIRST TOA PAYOH PRIMARY SCHOOL</v>
      </c>
      <c r="T274" s="39">
        <f>ACOS(COS(RADIANS(90-O274))*COS(RADIANS(90-_xlfn.XLOOKUP(Q274,'MRT station dataset'!$C$3:$C$179,'MRT station dataset'!$E$3:$E$179)))+SIN(RADIANS(90-O274))*SIN(RADIANS(90-_xlfn.XLOOKUP(Q274,'MRT station dataset'!$C$3:$C$179,'MRT station dataset'!$E$3:$E$179)))*COS(RADIANS(P274-_xlfn.XLOOKUP('Resale flat dataset (DV)'!Q274,'MRT station dataset'!$C$3:$C$179,'MRT station dataset'!$F$3:$F$179))))*6371*1000</f>
        <v>1253.3961833641233</v>
      </c>
      <c r="U274" s="39">
        <f>ACOS(COS(RADIANS(90-O274))*COS(RADIANS(90-_xlfn.XLOOKUP(R274,'Mall Dataset'!$B$3:$B$157,'Mall Dataset'!$E$3:$E$157,,0)))+SIN(RADIANS(90-O274))*SIN(RADIANS(90-_xlfn.XLOOKUP(R274,'Mall Dataset'!$B$3:$B$157,'Mall Dataset'!$E$3:$E$157,,0)))*COS(RADIANS(P274-_xlfn.XLOOKUP(R274,'Mall Dataset'!$B$3:$B$157,'Mall Dataset'!$F$3:$F$157,,0))))*6371*1000</f>
        <v>1157.70265655359</v>
      </c>
      <c r="V274" s="39">
        <f>ACOS(COS(RADIANS(90-O274))*COS(RADIANS(90-_xlfn.XLOOKUP(S274,'Schools dataset'!$B$3:$B$187,'Schools dataset'!$J$3:$J$187,,0)))+SIN(RADIANS(90-O274))*SIN(RADIANS(90-_xlfn.XLOOKUP(S274,'Schools dataset'!$B$3:$B$187,'Schools dataset'!$J$3:$J$187,,0)))*COS(RADIANS(P274-_xlfn.XLOOKUP(S274,'Schools dataset'!$B$3:$B$187,'Schools dataset'!$K$3:$K$187,,0))))*6371*1000</f>
        <v>316.10541887338849</v>
      </c>
      <c r="W274" s="20">
        <f>_xlfn.XLOOKUP(T274,'HDB Recommender'!$P$10:$P$39,'HDB Recommender'!$Q$10:$Q$39,"&gt;30mins",1)</f>
        <v>17</v>
      </c>
      <c r="X274" s="20">
        <f>_xlfn.XLOOKUP(U274,'HDB Recommender'!$P$10:$P$39,'HDB Recommender'!$Q$10:$Q$39,"&gt;30mins",1)</f>
        <v>16</v>
      </c>
      <c r="Y274" s="20">
        <f>_xlfn.XLOOKUP(V274,'HDB Recommender'!$P$10:$P$39,'HDB Recommender'!$Q$10:$Q$39,"&gt;30mins",1)</f>
        <v>5</v>
      </c>
      <c r="Z274" s="39">
        <f t="shared" si="8"/>
        <v>12.666666666666666</v>
      </c>
      <c r="AA274" s="20" t="str">
        <f t="shared" ref="AA274:AA322" si="10">IF(V274&lt;1000, "Within 1km", IF(V274&lt;=2000, "between 1km and 2km", "more than 2km"))</f>
        <v>Within 1km</v>
      </c>
    </row>
    <row r="275" spans="2:27">
      <c r="B275" s="35" t="s">
        <v>317</v>
      </c>
      <c r="C275" s="35" t="s">
        <v>787</v>
      </c>
      <c r="D275" s="35" t="s">
        <v>20</v>
      </c>
      <c r="E275" s="35"/>
      <c r="F275" s="35" t="s">
        <v>788</v>
      </c>
      <c r="G275" s="35" t="s">
        <v>453</v>
      </c>
      <c r="H275" s="35">
        <v>93</v>
      </c>
      <c r="I275" s="35" t="s">
        <v>335</v>
      </c>
      <c r="J275" s="36">
        <v>2018</v>
      </c>
      <c r="K275" s="39">
        <v>94</v>
      </c>
      <c r="L275" s="37">
        <v>975000</v>
      </c>
      <c r="M275" s="35" t="s">
        <v>794</v>
      </c>
      <c r="N275" s="27">
        <v>311130</v>
      </c>
      <c r="O275" s="38">
        <v>1.33739384161997</v>
      </c>
      <c r="P275" s="38">
        <v>103.843183616479</v>
      </c>
      <c r="Q275" s="38" t="str" cm="1">
        <f t="array" ref="Q275">INDEX('MRT station dataset'!$C$3:$C$179, MATCH(MIN(SQRT(('MRT station dataset'!$E$3:$E$179-'Resale flat dataset (DV)'!O275)^2+('MRT station dataset'!$F$3:$F$179-'Resale flat dataset (DV)'!P275)^2)), SQRT(('MRT station dataset'!$E$3:$E$179-'Resale flat dataset (DV)'!O275)^2+('MRT station dataset'!$F$3:$F$179-'Resale flat dataset (DV)'!P275)^2), 0))</f>
        <v>CALDECOTT MRT STATION</v>
      </c>
      <c r="R275" s="38" t="str" cm="1">
        <f t="array" ref="R275">INDEX('Mall Dataset'!$B$3:$B$157, MATCH(MIN(SQRT(('Mall Dataset'!$E$3:$E$157-'Resale flat dataset (DV)'!O275)^2+('Mall Dataset'!$F$3:$F$157-'Resale flat dataset (DV)'!P275)^2)), SQRT(('Mall Dataset'!$E$3:$E$157-'Resale flat dataset (DV)'!O275)^2+('Mall Dataset'!$F$3:$F$157-'Resale flat dataset (DV)'!P275)^2), 0))</f>
        <v>HDB Hub</v>
      </c>
      <c r="S275" s="38" t="str" cm="1">
        <f t="array" ref="S275">INDEX('Schools dataset'!$B$3:$B$187, MATCH(MIN(SQRT(('Schools dataset'!$J$3:$J$187-'Resale flat dataset (DV)'!O275)^2+('Schools dataset'!$K$3:$K$187-'Resale flat dataset (DV)'!P275)^2)), SQRT(('Schools dataset'!$J$3:$J$187-'Resale flat dataset (DV)'!O275)^2+('Schools dataset'!$K$3:$K$187-'Resale flat dataset (DV)'!P275)^2), 0))</f>
        <v>KHENG CHENG SCHOOL</v>
      </c>
      <c r="T275" s="39">
        <f>ACOS(COS(RADIANS(90-O275))*COS(RADIANS(90-_xlfn.XLOOKUP(Q275,'MRT station dataset'!$C$3:$C$179,'MRT station dataset'!$E$3:$E$179)))+SIN(RADIANS(90-O275))*SIN(RADIANS(90-_xlfn.XLOOKUP(Q275,'MRT station dataset'!$C$3:$C$179,'MRT station dataset'!$E$3:$E$179)))*COS(RADIANS(P275-_xlfn.XLOOKUP('Resale flat dataset (DV)'!Q275,'MRT station dataset'!$C$3:$C$179,'MRT station dataset'!$F$3:$F$179))))*6371*1000</f>
        <v>410.90054431697376</v>
      </c>
      <c r="U275" s="39">
        <f>ACOS(COS(RADIANS(90-O275))*COS(RADIANS(90-_xlfn.XLOOKUP(R275,'Mall Dataset'!$B$3:$B$157,'Mall Dataset'!$E$3:$E$157,,0)))+SIN(RADIANS(90-O275))*SIN(RADIANS(90-_xlfn.XLOOKUP(R275,'Mall Dataset'!$B$3:$B$157,'Mall Dataset'!$E$3:$E$157,,0)))*COS(RADIANS(P275-_xlfn.XLOOKUP(R275,'Mall Dataset'!$B$3:$B$157,'Mall Dataset'!$F$3:$F$157,,0))))*6371*1000</f>
        <v>952.35026929754588</v>
      </c>
      <c r="V275" s="39">
        <f>ACOS(COS(RADIANS(90-O275))*COS(RADIANS(90-_xlfn.XLOOKUP(S275,'Schools dataset'!$B$3:$B$187,'Schools dataset'!$J$3:$J$187,,0)))+SIN(RADIANS(90-O275))*SIN(RADIANS(90-_xlfn.XLOOKUP(S275,'Schools dataset'!$B$3:$B$187,'Schools dataset'!$J$3:$J$187,,0)))*COS(RADIANS(P275-_xlfn.XLOOKUP(S275,'Schools dataset'!$B$3:$B$187,'Schools dataset'!$K$3:$K$187,,0))))*6371*1000</f>
        <v>440.79847182062281</v>
      </c>
      <c r="W275" s="20">
        <f>_xlfn.XLOOKUP(T275,'HDB Recommender'!$P$10:$P$39,'HDB Recommender'!$Q$10:$Q$39,"&gt;30mins",1)</f>
        <v>6</v>
      </c>
      <c r="X275" s="20">
        <f>_xlfn.XLOOKUP(U275,'HDB Recommender'!$P$10:$P$39,'HDB Recommender'!$Q$10:$Q$39,"&gt;30mins",1)</f>
        <v>13</v>
      </c>
      <c r="Y275" s="20">
        <f>_xlfn.XLOOKUP(V275,'HDB Recommender'!$P$10:$P$39,'HDB Recommender'!$Q$10:$Q$39,"&gt;30mins",1)</f>
        <v>6</v>
      </c>
      <c r="Z275" s="39">
        <f t="shared" si="8"/>
        <v>8.3333333333333339</v>
      </c>
      <c r="AA275" s="20" t="str">
        <f t="shared" si="10"/>
        <v>Within 1km</v>
      </c>
    </row>
    <row r="276" spans="2:27">
      <c r="B276" s="35" t="s">
        <v>317</v>
      </c>
      <c r="C276" s="35" t="s">
        <v>787</v>
      </c>
      <c r="D276" s="35" t="s">
        <v>20</v>
      </c>
      <c r="E276" s="35">
        <v>219</v>
      </c>
      <c r="F276" s="35" t="s">
        <v>792</v>
      </c>
      <c r="G276" s="35" t="s">
        <v>346</v>
      </c>
      <c r="H276" s="35">
        <v>82</v>
      </c>
      <c r="I276" s="35" t="s">
        <v>326</v>
      </c>
      <c r="J276" s="36">
        <v>1978</v>
      </c>
      <c r="K276" s="39">
        <v>53.4166666666666</v>
      </c>
      <c r="L276" s="37">
        <v>441800</v>
      </c>
      <c r="M276" s="35" t="s">
        <v>795</v>
      </c>
      <c r="N276" s="27">
        <v>310219</v>
      </c>
      <c r="O276" s="38">
        <v>1.3427643313539299</v>
      </c>
      <c r="P276" s="38">
        <v>103.85587255903501</v>
      </c>
      <c r="Q276" s="38" t="str" cm="1">
        <f t="array" ref="Q276">INDEX('MRT station dataset'!$C$3:$C$179, MATCH(MIN(SQRT(('MRT station dataset'!$E$3:$E$179-'Resale flat dataset (DV)'!O276)^2+('MRT station dataset'!$F$3:$F$179-'Resale flat dataset (DV)'!P276)^2)), SQRT(('MRT station dataset'!$E$3:$E$179-'Resale flat dataset (DV)'!O276)^2+('MRT station dataset'!$F$3:$F$179-'Resale flat dataset (DV)'!P276)^2), 0))</f>
        <v>BRADDELL MRT STATION</v>
      </c>
      <c r="R276" s="38" t="str" cm="1">
        <f t="array" ref="R276">INDEX('Mall Dataset'!$B$3:$B$157, MATCH(MIN(SQRT(('Mall Dataset'!$E$3:$E$157-'Resale flat dataset (DV)'!O276)^2+('Mall Dataset'!$F$3:$F$157-'Resale flat dataset (DV)'!P276)^2)), SQRT(('Mall Dataset'!$E$3:$E$157-'Resale flat dataset (DV)'!O276)^2+('Mall Dataset'!$F$3:$F$157-'Resale flat dataset (DV)'!P276)^2), 0))</f>
        <v>Junction 8</v>
      </c>
      <c r="S276" s="38" t="str" cm="1">
        <f t="array" ref="S276">INDEX('Schools dataset'!$B$3:$B$187, MATCH(MIN(SQRT(('Schools dataset'!$J$3:$J$187-'Resale flat dataset (DV)'!O276)^2+('Schools dataset'!$K$3:$K$187-'Resale flat dataset (DV)'!P276)^2)), SQRT(('Schools dataset'!$J$3:$J$187-'Resale flat dataset (DV)'!O276)^2+('Schools dataset'!$K$3:$K$187-'Resale flat dataset (DV)'!P276)^2), 0))</f>
        <v>FIRST TOA PAYOH PRIMARY SCHOOL</v>
      </c>
      <c r="T276" s="39">
        <f>ACOS(COS(RADIANS(90-O276))*COS(RADIANS(90-_xlfn.XLOOKUP(Q276,'MRT station dataset'!$C$3:$C$179,'MRT station dataset'!$E$3:$E$179)))+SIN(RADIANS(90-O276))*SIN(RADIANS(90-_xlfn.XLOOKUP(Q276,'MRT station dataset'!$C$3:$C$179,'MRT station dataset'!$E$3:$E$179)))*COS(RADIANS(P276-_xlfn.XLOOKUP('Resale flat dataset (DV)'!Q276,'MRT station dataset'!$C$3:$C$179,'MRT station dataset'!$F$3:$F$179))))*6371*1000</f>
        <v>1039.4995160842125</v>
      </c>
      <c r="U276" s="39">
        <f>ACOS(COS(RADIANS(90-O276))*COS(RADIANS(90-_xlfn.XLOOKUP(R276,'Mall Dataset'!$B$3:$B$157,'Mall Dataset'!$E$3:$E$157,,0)))+SIN(RADIANS(90-O276))*SIN(RADIANS(90-_xlfn.XLOOKUP(R276,'Mall Dataset'!$B$3:$B$157,'Mall Dataset'!$E$3:$E$157,,0)))*COS(RADIANS(P276-_xlfn.XLOOKUP(R276,'Mall Dataset'!$B$3:$B$157,'Mall Dataset'!$F$3:$F$157,,0))))*6371*1000</f>
        <v>1157.7951113699228</v>
      </c>
      <c r="V276" s="39">
        <f>ACOS(COS(RADIANS(90-O276))*COS(RADIANS(90-_xlfn.XLOOKUP(S276,'Schools dataset'!$B$3:$B$187,'Schools dataset'!$J$3:$J$187,,0)))+SIN(RADIANS(90-O276))*SIN(RADIANS(90-_xlfn.XLOOKUP(S276,'Schools dataset'!$B$3:$B$187,'Schools dataset'!$J$3:$J$187,,0)))*COS(RADIANS(P276-_xlfn.XLOOKUP(S276,'Schools dataset'!$B$3:$B$187,'Schools dataset'!$K$3:$K$187,,0))))*6371*1000</f>
        <v>272.57861704168238</v>
      </c>
      <c r="W276" s="20">
        <f>_xlfn.XLOOKUP(T276,'HDB Recommender'!$P$10:$P$39,'HDB Recommender'!$Q$10:$Q$39,"&gt;30mins",1)</f>
        <v>14</v>
      </c>
      <c r="X276" s="20">
        <f>_xlfn.XLOOKUP(U276,'HDB Recommender'!$P$10:$P$39,'HDB Recommender'!$Q$10:$Q$39,"&gt;30mins",1)</f>
        <v>16</v>
      </c>
      <c r="Y276" s="20">
        <f>_xlfn.XLOOKUP(V276,'HDB Recommender'!$P$10:$P$39,'HDB Recommender'!$Q$10:$Q$39,"&gt;30mins",1)</f>
        <v>4</v>
      </c>
      <c r="Z276" s="39">
        <f t="shared" si="8"/>
        <v>11.333333333333334</v>
      </c>
      <c r="AA276" s="20" t="str">
        <f t="shared" si="10"/>
        <v>Within 1km</v>
      </c>
    </row>
    <row r="277" spans="2:27">
      <c r="B277" s="35" t="s">
        <v>317</v>
      </c>
      <c r="C277" s="35" t="s">
        <v>787</v>
      </c>
      <c r="D277" s="35" t="s">
        <v>20</v>
      </c>
      <c r="E277" s="35"/>
      <c r="F277" s="35" t="s">
        <v>796</v>
      </c>
      <c r="G277" s="35" t="s">
        <v>189</v>
      </c>
      <c r="H277" s="35">
        <v>76</v>
      </c>
      <c r="I277" s="35" t="s">
        <v>335</v>
      </c>
      <c r="J277" s="36">
        <v>2009</v>
      </c>
      <c r="K277" s="39">
        <v>84.5833333333333</v>
      </c>
      <c r="L277" s="37">
        <v>750000</v>
      </c>
      <c r="M277" s="35" t="s">
        <v>797</v>
      </c>
      <c r="N277" s="27">
        <v>315079</v>
      </c>
      <c r="O277" s="38">
        <v>1.3347271362623501</v>
      </c>
      <c r="P277" s="38">
        <v>103.849822984337</v>
      </c>
      <c r="Q277" s="38" t="str" cm="1">
        <f t="array" ref="Q277">INDEX('MRT station dataset'!$C$3:$C$179, MATCH(MIN(SQRT(('MRT station dataset'!$E$3:$E$179-'Resale flat dataset (DV)'!O277)^2+('MRT station dataset'!$F$3:$F$179-'Resale flat dataset (DV)'!P277)^2)), SQRT(('MRT station dataset'!$E$3:$E$179-'Resale flat dataset (DV)'!O277)^2+('MRT station dataset'!$F$3:$F$179-'Resale flat dataset (DV)'!P277)^2), 0))</f>
        <v>TOA PAYOH MRT STATION</v>
      </c>
      <c r="R277" s="38" t="str" cm="1">
        <f t="array" ref="R277">INDEX('Mall Dataset'!$B$3:$B$157, MATCH(MIN(SQRT(('Mall Dataset'!$E$3:$E$157-'Resale flat dataset (DV)'!O277)^2+('Mall Dataset'!$F$3:$F$157-'Resale flat dataset (DV)'!P277)^2)), SQRT(('Mall Dataset'!$E$3:$E$157-'Resale flat dataset (DV)'!O277)^2+('Mall Dataset'!$F$3:$F$157-'Resale flat dataset (DV)'!P277)^2), 0))</f>
        <v>HDB Hub</v>
      </c>
      <c r="S277" s="38" t="str" cm="1">
        <f t="array" ref="S277">INDEX('Schools dataset'!$B$3:$B$187, MATCH(MIN(SQRT(('Schools dataset'!$J$3:$J$187-'Resale flat dataset (DV)'!O277)^2+('Schools dataset'!$K$3:$K$187-'Resale flat dataset (DV)'!P277)^2)), SQRT(('Schools dataset'!$J$3:$J$187-'Resale flat dataset (DV)'!O277)^2+('Schools dataset'!$K$3:$K$187-'Resale flat dataset (DV)'!P277)^2), 0))</f>
        <v>KHENG CHENG SCHOOL</v>
      </c>
      <c r="T277" s="39">
        <f>ACOS(COS(RADIANS(90-O277))*COS(RADIANS(90-_xlfn.XLOOKUP(Q277,'MRT station dataset'!$C$3:$C$179,'MRT station dataset'!$E$3:$E$179)))+SIN(RADIANS(90-O277))*SIN(RADIANS(90-_xlfn.XLOOKUP(Q277,'MRT station dataset'!$C$3:$C$179,'MRT station dataset'!$E$3:$E$179)))*COS(RADIANS(P277-_xlfn.XLOOKUP('Resale flat dataset (DV)'!Q277,'MRT station dataset'!$C$3:$C$179,'MRT station dataset'!$F$3:$F$179))))*6371*1000</f>
        <v>350.18532829456217</v>
      </c>
      <c r="U277" s="39">
        <f>ACOS(COS(RADIANS(90-O277))*COS(RADIANS(90-_xlfn.XLOOKUP(R277,'Mall Dataset'!$B$3:$B$157,'Mall Dataset'!$E$3:$E$157,,0)))+SIN(RADIANS(90-O277))*SIN(RADIANS(90-_xlfn.XLOOKUP(R277,'Mall Dataset'!$B$3:$B$157,'Mall Dataset'!$E$3:$E$157,,0)))*COS(RADIANS(P277-_xlfn.XLOOKUP(R277,'Mall Dataset'!$B$3:$B$157,'Mall Dataset'!$F$3:$F$157,,0))))*6371*1000</f>
        <v>301.71583290905102</v>
      </c>
      <c r="V277" s="39">
        <f>ACOS(COS(RADIANS(90-O277))*COS(RADIANS(90-_xlfn.XLOOKUP(S277,'Schools dataset'!$B$3:$B$187,'Schools dataset'!$J$3:$J$187,,0)))+SIN(RADIANS(90-O277))*SIN(RADIANS(90-_xlfn.XLOOKUP(S277,'Schools dataset'!$B$3:$B$187,'Schools dataset'!$J$3:$J$187,,0)))*COS(RADIANS(P277-_xlfn.XLOOKUP(S277,'Schools dataset'!$B$3:$B$187,'Schools dataset'!$K$3:$K$187,,0))))*6371*1000</f>
        <v>415.55656803483276</v>
      </c>
      <c r="W277" s="20">
        <f>_xlfn.XLOOKUP(T277,'HDB Recommender'!$P$10:$P$39,'HDB Recommender'!$Q$10:$Q$39,"&gt;30mins",1)</f>
        <v>5</v>
      </c>
      <c r="X277" s="20">
        <f>_xlfn.XLOOKUP(U277,'HDB Recommender'!$P$10:$P$39,'HDB Recommender'!$Q$10:$Q$39,"&gt;30mins",1)</f>
        <v>5</v>
      </c>
      <c r="Y277" s="20">
        <f>_xlfn.XLOOKUP(V277,'HDB Recommender'!$P$10:$P$39,'HDB Recommender'!$Q$10:$Q$39,"&gt;30mins",1)</f>
        <v>6</v>
      </c>
      <c r="Z277" s="39">
        <f t="shared" si="8"/>
        <v>5.333333333333333</v>
      </c>
      <c r="AA277" s="20" t="str">
        <f t="shared" si="10"/>
        <v>Within 1km</v>
      </c>
    </row>
    <row r="278" spans="2:27">
      <c r="B278" s="35" t="s">
        <v>317</v>
      </c>
      <c r="C278" s="35" t="s">
        <v>787</v>
      </c>
      <c r="D278" s="35" t="s">
        <v>341</v>
      </c>
      <c r="E278" s="35">
        <v>255</v>
      </c>
      <c r="F278" s="35" t="s">
        <v>798</v>
      </c>
      <c r="G278" s="35" t="s">
        <v>349</v>
      </c>
      <c r="H278" s="35">
        <v>122</v>
      </c>
      <c r="I278" s="35" t="s">
        <v>326</v>
      </c>
      <c r="J278" s="36">
        <v>1988</v>
      </c>
      <c r="K278" s="39">
        <v>64.1666666666666</v>
      </c>
      <c r="L278" s="37">
        <v>730000</v>
      </c>
      <c r="M278" s="35" t="s">
        <v>799</v>
      </c>
      <c r="N278" s="27">
        <v>310255</v>
      </c>
      <c r="O278" s="38">
        <v>1.3316593734688</v>
      </c>
      <c r="P278" s="38">
        <v>103.857761545923</v>
      </c>
      <c r="Q278" s="38" t="str" cm="1">
        <f t="array" ref="Q278">INDEX('MRT station dataset'!$C$3:$C$179, MATCH(MIN(SQRT(('MRT station dataset'!$E$3:$E$179-'Resale flat dataset (DV)'!O278)^2+('MRT station dataset'!$F$3:$F$179-'Resale flat dataset (DV)'!P278)^2)), SQRT(('MRT station dataset'!$E$3:$E$179-'Resale flat dataset (DV)'!O278)^2+('MRT station dataset'!$F$3:$F$179-'Resale flat dataset (DV)'!P278)^2), 0))</f>
        <v>TOA PAYOH MRT STATION</v>
      </c>
      <c r="R278" s="38" t="str" cm="1">
        <f t="array" ref="R278">INDEX('Mall Dataset'!$B$3:$B$157, MATCH(MIN(SQRT(('Mall Dataset'!$E$3:$E$157-'Resale flat dataset (DV)'!O278)^2+('Mall Dataset'!$F$3:$F$157-'Resale flat dataset (DV)'!P278)^2)), SQRT(('Mall Dataset'!$E$3:$E$157-'Resale flat dataset (DV)'!O278)^2+('Mall Dataset'!$F$3:$F$157-'Resale flat dataset (DV)'!P278)^2), 0))</f>
        <v>HDB Hub</v>
      </c>
      <c r="S278" s="38" t="str" cm="1">
        <f t="array" ref="S278">INDEX('Schools dataset'!$B$3:$B$187, MATCH(MIN(SQRT(('Schools dataset'!$J$3:$J$187-'Resale flat dataset (DV)'!O278)^2+('Schools dataset'!$K$3:$K$187-'Resale flat dataset (DV)'!P278)^2)), SQRT(('Schools dataset'!$J$3:$J$187-'Resale flat dataset (DV)'!O278)^2+('Schools dataset'!$K$3:$K$187-'Resale flat dataset (DV)'!P278)^2), 0))</f>
        <v>PEI CHUN PUBLIC SCHOOL</v>
      </c>
      <c r="T278" s="39">
        <f>ACOS(COS(RADIANS(90-O278))*COS(RADIANS(90-_xlfn.XLOOKUP(Q278,'MRT station dataset'!$C$3:$C$179,'MRT station dataset'!$E$3:$E$179)))+SIN(RADIANS(90-O278))*SIN(RADIANS(90-_xlfn.XLOOKUP(Q278,'MRT station dataset'!$C$3:$C$179,'MRT station dataset'!$E$3:$E$179)))*COS(RADIANS(P278-_xlfn.XLOOKUP('Resale flat dataset (DV)'!Q278,'MRT station dataset'!$C$3:$C$179,'MRT station dataset'!$F$3:$F$179))))*6371*1000</f>
        <v>1145.5084809579118</v>
      </c>
      <c r="U278" s="39">
        <f>ACOS(COS(RADIANS(90-O278))*COS(RADIANS(90-_xlfn.XLOOKUP(R278,'Mall Dataset'!$B$3:$B$157,'Mall Dataset'!$E$3:$E$157,,0)))+SIN(RADIANS(90-O278))*SIN(RADIANS(90-_xlfn.XLOOKUP(R278,'Mall Dataset'!$B$3:$B$157,'Mall Dataset'!$E$3:$E$157,,0)))*COS(RADIANS(P278-_xlfn.XLOOKUP(R278,'Mall Dataset'!$B$3:$B$157,'Mall Dataset'!$F$3:$F$157,,0))))*6371*1000</f>
        <v>880.42492267666137</v>
      </c>
      <c r="V278" s="39">
        <f>ACOS(COS(RADIANS(90-O278))*COS(RADIANS(90-_xlfn.XLOOKUP(S278,'Schools dataset'!$B$3:$B$187,'Schools dataset'!$J$3:$J$187,,0)))+SIN(RADIANS(90-O278))*SIN(RADIANS(90-_xlfn.XLOOKUP(S278,'Schools dataset'!$B$3:$B$187,'Schools dataset'!$J$3:$J$187,,0)))*COS(RADIANS(P278-_xlfn.XLOOKUP(S278,'Schools dataset'!$B$3:$B$187,'Schools dataset'!$K$3:$K$187,,0))))*6371*1000</f>
        <v>629.61562736779865</v>
      </c>
      <c r="W278" s="20">
        <f>_xlfn.XLOOKUP(T278,'HDB Recommender'!$P$10:$P$39,'HDB Recommender'!$Q$10:$Q$39,"&gt;30mins",1)</f>
        <v>16</v>
      </c>
      <c r="X278" s="20">
        <f>_xlfn.XLOOKUP(U278,'HDB Recommender'!$P$10:$P$39,'HDB Recommender'!$Q$10:$Q$39,"&gt;30mins",1)</f>
        <v>12</v>
      </c>
      <c r="Y278" s="20">
        <f>_xlfn.XLOOKUP(V278,'HDB Recommender'!$P$10:$P$39,'HDB Recommender'!$Q$10:$Q$39,"&gt;30mins",1)</f>
        <v>9</v>
      </c>
      <c r="Z278" s="39">
        <f t="shared" si="8"/>
        <v>12.333333333333334</v>
      </c>
      <c r="AA278" s="20" t="str">
        <f t="shared" si="10"/>
        <v>Within 1km</v>
      </c>
    </row>
    <row r="279" spans="2:27">
      <c r="B279" s="35" t="s">
        <v>317</v>
      </c>
      <c r="C279" s="35" t="s">
        <v>787</v>
      </c>
      <c r="D279" s="35" t="s">
        <v>341</v>
      </c>
      <c r="E279" s="35"/>
      <c r="F279" s="35" t="s">
        <v>800</v>
      </c>
      <c r="G279" s="35" t="s">
        <v>453</v>
      </c>
      <c r="H279" s="35">
        <v>117</v>
      </c>
      <c r="I279" s="35" t="s">
        <v>363</v>
      </c>
      <c r="J279" s="36">
        <v>2012</v>
      </c>
      <c r="K279" s="39">
        <v>87.6666666666666</v>
      </c>
      <c r="L279" s="37">
        <v>1330000</v>
      </c>
      <c r="M279" s="35" t="s">
        <v>801</v>
      </c>
      <c r="N279" s="27">
        <v>311139</v>
      </c>
      <c r="O279" s="38">
        <v>1.33627775831234</v>
      </c>
      <c r="P279" s="38">
        <v>103.844044881122</v>
      </c>
      <c r="Q279" s="38" t="str" cm="1">
        <f t="array" ref="Q279">INDEX('MRT station dataset'!$C$3:$C$179, MATCH(MIN(SQRT(('MRT station dataset'!$E$3:$E$179-'Resale flat dataset (DV)'!O279)^2+('MRT station dataset'!$F$3:$F$179-'Resale flat dataset (DV)'!P279)^2)), SQRT(('MRT station dataset'!$E$3:$E$179-'Resale flat dataset (DV)'!O279)^2+('MRT station dataset'!$F$3:$F$179-'Resale flat dataset (DV)'!P279)^2), 0))</f>
        <v>CALDECOTT MRT STATION</v>
      </c>
      <c r="R279" s="38" t="str" cm="1">
        <f t="array" ref="R279">INDEX('Mall Dataset'!$B$3:$B$157, MATCH(MIN(SQRT(('Mall Dataset'!$E$3:$E$157-'Resale flat dataset (DV)'!O279)^2+('Mall Dataset'!$F$3:$F$157-'Resale flat dataset (DV)'!P279)^2)), SQRT(('Mall Dataset'!$E$3:$E$157-'Resale flat dataset (DV)'!O279)^2+('Mall Dataset'!$F$3:$F$157-'Resale flat dataset (DV)'!P279)^2), 0))</f>
        <v>HDB Hub</v>
      </c>
      <c r="S279" s="38" t="str" cm="1">
        <f t="array" ref="S279">INDEX('Schools dataset'!$B$3:$B$187, MATCH(MIN(SQRT(('Schools dataset'!$J$3:$J$187-'Resale flat dataset (DV)'!O279)^2+('Schools dataset'!$K$3:$K$187-'Resale flat dataset (DV)'!P279)^2)), SQRT(('Schools dataset'!$J$3:$J$187-'Resale flat dataset (DV)'!O279)^2+('Schools dataset'!$K$3:$K$187-'Resale flat dataset (DV)'!P279)^2), 0))</f>
        <v>KHENG CHENG SCHOOL</v>
      </c>
      <c r="T279" s="39">
        <f>ACOS(COS(RADIANS(90-O279))*COS(RADIANS(90-_xlfn.XLOOKUP(Q279,'MRT station dataset'!$C$3:$C$179,'MRT station dataset'!$E$3:$E$179)))+SIN(RADIANS(90-O279))*SIN(RADIANS(90-_xlfn.XLOOKUP(Q279,'MRT station dataset'!$C$3:$C$179,'MRT station dataset'!$E$3:$E$179)))*COS(RADIANS(P279-_xlfn.XLOOKUP('Resale flat dataset (DV)'!Q279,'MRT station dataset'!$C$3:$C$179,'MRT station dataset'!$F$3:$F$179))))*6371*1000</f>
        <v>529.4031290668471</v>
      </c>
      <c r="U279" s="39">
        <f>ACOS(COS(RADIANS(90-O279))*COS(RADIANS(90-_xlfn.XLOOKUP(R279,'Mall Dataset'!$B$3:$B$157,'Mall Dataset'!$E$3:$E$157,,0)))+SIN(RADIANS(90-O279))*SIN(RADIANS(90-_xlfn.XLOOKUP(R279,'Mall Dataset'!$B$3:$B$157,'Mall Dataset'!$E$3:$E$157,,0)))*COS(RADIANS(P279-_xlfn.XLOOKUP(R279,'Mall Dataset'!$B$3:$B$157,'Mall Dataset'!$F$3:$F$157,,0))))*6371*1000</f>
        <v>800.72731258677845</v>
      </c>
      <c r="V279" s="39">
        <f>ACOS(COS(RADIANS(90-O279))*COS(RADIANS(90-_xlfn.XLOOKUP(S279,'Schools dataset'!$B$3:$B$187,'Schools dataset'!$J$3:$J$187,,0)))+SIN(RADIANS(90-O279))*SIN(RADIANS(90-_xlfn.XLOOKUP(S279,'Schools dataset'!$B$3:$B$187,'Schools dataset'!$J$3:$J$187,,0)))*COS(RADIANS(P279-_xlfn.XLOOKUP(S279,'Schools dataset'!$B$3:$B$187,'Schools dataset'!$K$3:$K$187,,0))))*6371*1000</f>
        <v>364.60648637473912</v>
      </c>
      <c r="W279" s="20">
        <f>_xlfn.XLOOKUP(T279,'HDB Recommender'!$P$10:$P$39,'HDB Recommender'!$Q$10:$Q$39,"&gt;30mins",1)</f>
        <v>8</v>
      </c>
      <c r="X279" s="20">
        <f>_xlfn.XLOOKUP(U279,'HDB Recommender'!$P$10:$P$39,'HDB Recommender'!$Q$10:$Q$39,"&gt;30mins",1)</f>
        <v>11</v>
      </c>
      <c r="Y279" s="20">
        <f>_xlfn.XLOOKUP(V279,'HDB Recommender'!$P$10:$P$39,'HDB Recommender'!$Q$10:$Q$39,"&gt;30mins",1)</f>
        <v>5</v>
      </c>
      <c r="Z279" s="39">
        <f t="shared" si="8"/>
        <v>8</v>
      </c>
      <c r="AA279" s="20" t="str">
        <f t="shared" si="10"/>
        <v>Within 1km</v>
      </c>
    </row>
    <row r="280" spans="2:27">
      <c r="B280" s="35" t="s">
        <v>317</v>
      </c>
      <c r="C280" s="35" t="s">
        <v>787</v>
      </c>
      <c r="D280" s="35" t="s">
        <v>341</v>
      </c>
      <c r="E280" s="35"/>
      <c r="F280" s="35" t="s">
        <v>800</v>
      </c>
      <c r="G280" s="35" t="s">
        <v>189</v>
      </c>
      <c r="H280" s="35">
        <v>110</v>
      </c>
      <c r="I280" s="35" t="s">
        <v>363</v>
      </c>
      <c r="J280" s="36">
        <v>2012</v>
      </c>
      <c r="K280" s="39">
        <v>87.6666666666666</v>
      </c>
      <c r="L280" s="37">
        <v>975000</v>
      </c>
      <c r="M280" s="35" t="s">
        <v>802</v>
      </c>
      <c r="N280" s="27">
        <v>311138</v>
      </c>
      <c r="O280" s="38">
        <v>1.33671098513786</v>
      </c>
      <c r="P280" s="38">
        <v>103.84547294551101</v>
      </c>
      <c r="Q280" s="38" t="str" cm="1">
        <f t="array" ref="Q280">INDEX('MRT station dataset'!$C$3:$C$179, MATCH(MIN(SQRT(('MRT station dataset'!$E$3:$E$179-'Resale flat dataset (DV)'!O280)^2+('MRT station dataset'!$F$3:$F$179-'Resale flat dataset (DV)'!P280)^2)), SQRT(('MRT station dataset'!$E$3:$E$179-'Resale flat dataset (DV)'!O280)^2+('MRT station dataset'!$F$3:$F$179-'Resale flat dataset (DV)'!P280)^2), 0))</f>
        <v>BRADDELL MRT STATION</v>
      </c>
      <c r="R280" s="38" t="str" cm="1">
        <f t="array" ref="R280">INDEX('Mall Dataset'!$B$3:$B$157, MATCH(MIN(SQRT(('Mall Dataset'!$E$3:$E$157-'Resale flat dataset (DV)'!O280)^2+('Mall Dataset'!$F$3:$F$157-'Resale flat dataset (DV)'!P280)^2)), SQRT(('Mall Dataset'!$E$3:$E$157-'Resale flat dataset (DV)'!O280)^2+('Mall Dataset'!$F$3:$F$157-'Resale flat dataset (DV)'!P280)^2), 0))</f>
        <v>HDB Hub</v>
      </c>
      <c r="S280" s="38" t="str" cm="1">
        <f t="array" ref="S280">INDEX('Schools dataset'!$B$3:$B$187, MATCH(MIN(SQRT(('Schools dataset'!$J$3:$J$187-'Resale flat dataset (DV)'!O280)^2+('Schools dataset'!$K$3:$K$187-'Resale flat dataset (DV)'!P280)^2)), SQRT(('Schools dataset'!$J$3:$J$187-'Resale flat dataset (DV)'!O280)^2+('Schools dataset'!$K$3:$K$187-'Resale flat dataset (DV)'!P280)^2), 0))</f>
        <v>KHENG CHENG SCHOOL</v>
      </c>
      <c r="T280" s="39">
        <f>ACOS(COS(RADIANS(90-O280))*COS(RADIANS(90-_xlfn.XLOOKUP(Q280,'MRT station dataset'!$C$3:$C$179,'MRT station dataset'!$E$3:$E$179)))+SIN(RADIANS(90-O280))*SIN(RADIANS(90-_xlfn.XLOOKUP(Q280,'MRT station dataset'!$C$3:$C$179,'MRT station dataset'!$E$3:$E$179)))*COS(RADIANS(P280-_xlfn.XLOOKUP('Resale flat dataset (DV)'!Q280,'MRT station dataset'!$C$3:$C$179,'MRT station dataset'!$F$3:$F$179))))*6371*1000</f>
        <v>446.39947010900084</v>
      </c>
      <c r="U280" s="39">
        <f>ACOS(COS(RADIANS(90-O280))*COS(RADIANS(90-_xlfn.XLOOKUP(R280,'Mall Dataset'!$B$3:$B$157,'Mall Dataset'!$E$3:$E$157,,0)))+SIN(RADIANS(90-O280))*SIN(RADIANS(90-_xlfn.XLOOKUP(R280,'Mall Dataset'!$B$3:$B$157,'Mall Dataset'!$E$3:$E$157,,0)))*COS(RADIANS(P280-_xlfn.XLOOKUP(R280,'Mall Dataset'!$B$3:$B$157,'Mall Dataset'!$F$3:$F$157,,0))))*6371*1000</f>
        <v>713.78744501191682</v>
      </c>
      <c r="V280" s="39">
        <f>ACOS(COS(RADIANS(90-O280))*COS(RADIANS(90-_xlfn.XLOOKUP(S280,'Schools dataset'!$B$3:$B$187,'Schools dataset'!$J$3:$J$187,,0)))+SIN(RADIANS(90-O280))*SIN(RADIANS(90-_xlfn.XLOOKUP(S280,'Schools dataset'!$B$3:$B$187,'Schools dataset'!$J$3:$J$187,,0)))*COS(RADIANS(P280-_xlfn.XLOOKUP(S280,'Schools dataset'!$B$3:$B$187,'Schools dataset'!$K$3:$K$187,,0))))*6371*1000</f>
        <v>198.89137513242528</v>
      </c>
      <c r="W280" s="20">
        <f>_xlfn.XLOOKUP(T280,'HDB Recommender'!$P$10:$P$39,'HDB Recommender'!$Q$10:$Q$39,"&gt;30mins",1)</f>
        <v>6</v>
      </c>
      <c r="X280" s="20">
        <f>_xlfn.XLOOKUP(U280,'HDB Recommender'!$P$10:$P$39,'HDB Recommender'!$Q$10:$Q$39,"&gt;30mins",1)</f>
        <v>10</v>
      </c>
      <c r="Y280" s="20">
        <f>_xlfn.XLOOKUP(V280,'HDB Recommender'!$P$10:$P$39,'HDB Recommender'!$Q$10:$Q$39,"&gt;30mins",1)</f>
        <v>3</v>
      </c>
      <c r="Z280" s="39">
        <f t="shared" si="8"/>
        <v>6.333333333333333</v>
      </c>
      <c r="AA280" s="20" t="str">
        <f t="shared" si="10"/>
        <v>Within 1km</v>
      </c>
    </row>
    <row r="281" spans="2:27">
      <c r="B281" s="35" t="s">
        <v>317</v>
      </c>
      <c r="C281" s="35" t="s">
        <v>787</v>
      </c>
      <c r="D281" s="35" t="s">
        <v>341</v>
      </c>
      <c r="E281" s="35"/>
      <c r="F281" s="35" t="s">
        <v>803</v>
      </c>
      <c r="G281" s="35" t="s">
        <v>323</v>
      </c>
      <c r="H281" s="35">
        <v>122</v>
      </c>
      <c r="I281" s="35" t="s">
        <v>326</v>
      </c>
      <c r="J281" s="36">
        <v>1996</v>
      </c>
      <c r="K281" s="39">
        <v>72</v>
      </c>
      <c r="L281" s="37">
        <v>1060000</v>
      </c>
      <c r="M281" s="35" t="s">
        <v>804</v>
      </c>
      <c r="N281" s="27">
        <v>312082</v>
      </c>
      <c r="O281" s="38">
        <v>1.3356223926548401</v>
      </c>
      <c r="P281" s="38">
        <v>103.84885147490699</v>
      </c>
      <c r="Q281" s="38" t="str" cm="1">
        <f t="array" ref="Q281">INDEX('MRT station dataset'!$C$3:$C$179, MATCH(MIN(SQRT(('MRT station dataset'!$E$3:$E$179-'Resale flat dataset (DV)'!O281)^2+('MRT station dataset'!$F$3:$F$179-'Resale flat dataset (DV)'!P281)^2)), SQRT(('MRT station dataset'!$E$3:$E$179-'Resale flat dataset (DV)'!O281)^2+('MRT station dataset'!$F$3:$F$179-'Resale flat dataset (DV)'!P281)^2), 0))</f>
        <v>TOA PAYOH MRT STATION</v>
      </c>
      <c r="R281" s="38" t="str" cm="1">
        <f t="array" ref="R281">INDEX('Mall Dataset'!$B$3:$B$157, MATCH(MIN(SQRT(('Mall Dataset'!$E$3:$E$157-'Resale flat dataset (DV)'!O281)^2+('Mall Dataset'!$F$3:$F$157-'Resale flat dataset (DV)'!P281)^2)), SQRT(('Mall Dataset'!$E$3:$E$157-'Resale flat dataset (DV)'!O281)^2+('Mall Dataset'!$F$3:$F$157-'Resale flat dataset (DV)'!P281)^2), 0))</f>
        <v>HDB Hub</v>
      </c>
      <c r="S281" s="38" t="str" cm="1">
        <f t="array" ref="S281">INDEX('Schools dataset'!$B$3:$B$187, MATCH(MIN(SQRT(('Schools dataset'!$J$3:$J$187-'Resale flat dataset (DV)'!O281)^2+('Schools dataset'!$K$3:$K$187-'Resale flat dataset (DV)'!P281)^2)), SQRT(('Schools dataset'!$J$3:$J$187-'Resale flat dataset (DV)'!O281)^2+('Schools dataset'!$K$3:$K$187-'Resale flat dataset (DV)'!P281)^2), 0))</f>
        <v>KHENG CHENG SCHOOL</v>
      </c>
      <c r="T281" s="39">
        <f>ACOS(COS(RADIANS(90-O281))*COS(RADIANS(90-_xlfn.XLOOKUP(Q281,'MRT station dataset'!$C$3:$C$179,'MRT station dataset'!$E$3:$E$179)))+SIN(RADIANS(90-O281))*SIN(RADIANS(90-_xlfn.XLOOKUP(Q281,'MRT station dataset'!$C$3:$C$179,'MRT station dataset'!$E$3:$E$179)))*COS(RADIANS(P281-_xlfn.XLOOKUP('Resale flat dataset (DV)'!Q281,'MRT station dataset'!$C$3:$C$179,'MRT station dataset'!$F$3:$F$179))))*6371*1000</f>
        <v>368.12662301660271</v>
      </c>
      <c r="U281" s="39">
        <f>ACOS(COS(RADIANS(90-O281))*COS(RADIANS(90-_xlfn.XLOOKUP(R281,'Mall Dataset'!$B$3:$B$157,'Mall Dataset'!$E$3:$E$157,,0)))+SIN(RADIANS(90-O281))*SIN(RADIANS(90-_xlfn.XLOOKUP(R281,'Mall Dataset'!$B$3:$B$157,'Mall Dataset'!$E$3:$E$157,,0)))*COS(RADIANS(P281-_xlfn.XLOOKUP(R281,'Mall Dataset'!$B$3:$B$157,'Mall Dataset'!$F$3:$F$157,,0))))*6371*1000</f>
        <v>416.30499671001189</v>
      </c>
      <c r="V281" s="39">
        <f>ACOS(COS(RADIANS(90-O281))*COS(RADIANS(90-_xlfn.XLOOKUP(S281,'Schools dataset'!$B$3:$B$187,'Schools dataset'!$J$3:$J$187,,0)))+SIN(RADIANS(90-O281))*SIN(RADIANS(90-_xlfn.XLOOKUP(S281,'Schools dataset'!$B$3:$B$187,'Schools dataset'!$J$3:$J$187,,0)))*COS(RADIANS(P281-_xlfn.XLOOKUP(S281,'Schools dataset'!$B$3:$B$187,'Schools dataset'!$K$3:$K$187,,0))))*6371*1000</f>
        <v>268.77247545606429</v>
      </c>
      <c r="W281" s="20">
        <f>_xlfn.XLOOKUP(T281,'HDB Recommender'!$P$10:$P$39,'HDB Recommender'!$Q$10:$Q$39,"&gt;30mins",1)</f>
        <v>5</v>
      </c>
      <c r="X281" s="20">
        <f>_xlfn.XLOOKUP(U281,'HDB Recommender'!$P$10:$P$39,'HDB Recommender'!$Q$10:$Q$39,"&gt;30mins",1)</f>
        <v>6</v>
      </c>
      <c r="Y281" s="20">
        <f>_xlfn.XLOOKUP(V281,'HDB Recommender'!$P$10:$P$39,'HDB Recommender'!$Q$10:$Q$39,"&gt;30mins",1)</f>
        <v>4</v>
      </c>
      <c r="Z281" s="39">
        <f t="shared" si="8"/>
        <v>5</v>
      </c>
      <c r="AA281" s="20" t="str">
        <f t="shared" si="10"/>
        <v>Within 1km</v>
      </c>
    </row>
    <row r="282" spans="2:27">
      <c r="B282" s="35" t="s">
        <v>317</v>
      </c>
      <c r="C282" s="35" t="s">
        <v>805</v>
      </c>
      <c r="D282" s="35" t="s">
        <v>318</v>
      </c>
      <c r="E282" s="35">
        <v>202</v>
      </c>
      <c r="F282" s="35" t="s">
        <v>806</v>
      </c>
      <c r="G282" s="35" t="s">
        <v>349</v>
      </c>
      <c r="H282" s="35">
        <v>68</v>
      </c>
      <c r="I282" s="35" t="s">
        <v>320</v>
      </c>
      <c r="J282" s="36">
        <v>1981</v>
      </c>
      <c r="K282" s="39">
        <v>56.75</v>
      </c>
      <c r="L282" s="37">
        <v>303000</v>
      </c>
      <c r="M282" s="35" t="s">
        <v>807</v>
      </c>
      <c r="N282" s="27">
        <v>730202</v>
      </c>
      <c r="O282" s="38">
        <v>1.44315121142693</v>
      </c>
      <c r="P282" s="38">
        <v>103.775164777049</v>
      </c>
      <c r="Q282" s="38" t="str" cm="1">
        <f t="array" ref="Q282">INDEX('MRT station dataset'!$C$3:$C$179, MATCH(MIN(SQRT(('MRT station dataset'!$E$3:$E$179-'Resale flat dataset (DV)'!O282)^2+('MRT station dataset'!$F$3:$F$179-'Resale flat dataset (DV)'!P282)^2)), SQRT(('MRT station dataset'!$E$3:$E$179-'Resale flat dataset (DV)'!O282)^2+('MRT station dataset'!$F$3:$F$179-'Resale flat dataset (DV)'!P282)^2), 0))</f>
        <v>MARSILING MRT STATION</v>
      </c>
      <c r="R282" s="38" t="str" cm="1">
        <f t="array" ref="R282">INDEX('Mall Dataset'!$B$3:$B$157, MATCH(MIN(SQRT(('Mall Dataset'!$E$3:$E$157-'Resale flat dataset (DV)'!O282)^2+('Mall Dataset'!$F$3:$F$157-'Resale flat dataset (DV)'!P282)^2)), SQRT(('Mall Dataset'!$E$3:$E$157-'Resale flat dataset (DV)'!O282)^2+('Mall Dataset'!$F$3:$F$157-'Resale flat dataset (DV)'!P282)^2), 0))</f>
        <v>Marsiling Mall</v>
      </c>
      <c r="S282" s="38" t="str" cm="1">
        <f t="array" ref="S282">INDEX('Schools dataset'!$B$3:$B$187, MATCH(MIN(SQRT(('Schools dataset'!$J$3:$J$187-'Resale flat dataset (DV)'!O282)^2+('Schools dataset'!$K$3:$K$187-'Resale flat dataset (DV)'!P282)^2)), SQRT(('Schools dataset'!$J$3:$J$187-'Resale flat dataset (DV)'!O282)^2+('Schools dataset'!$K$3:$K$187-'Resale flat dataset (DV)'!P282)^2), 0))</f>
        <v>MARSILING PRIMARY SCHOOL</v>
      </c>
      <c r="T282" s="39">
        <f>ACOS(COS(RADIANS(90-O282))*COS(RADIANS(90-_xlfn.XLOOKUP(Q282,'MRT station dataset'!$C$3:$C$179,'MRT station dataset'!$E$3:$E$179)))+SIN(RADIANS(90-O282))*SIN(RADIANS(90-_xlfn.XLOOKUP(Q282,'MRT station dataset'!$C$3:$C$179,'MRT station dataset'!$E$3:$E$179)))*COS(RADIANS(P282-_xlfn.XLOOKUP('Resale flat dataset (DV)'!Q282,'MRT station dataset'!$C$3:$C$179,'MRT station dataset'!$F$3:$F$179))))*6371*1000</f>
        <v>1190.2602265136788</v>
      </c>
      <c r="U282" s="39">
        <f>ACOS(COS(RADIANS(90-O282))*COS(RADIANS(90-_xlfn.XLOOKUP(R282,'Mall Dataset'!$B$3:$B$157,'Mall Dataset'!$E$3:$E$157,,0)))+SIN(RADIANS(90-O282))*SIN(RADIANS(90-_xlfn.XLOOKUP(R282,'Mall Dataset'!$B$3:$B$157,'Mall Dataset'!$E$3:$E$157,,0)))*COS(RADIANS(P282-_xlfn.XLOOKUP(R282,'Mall Dataset'!$B$3:$B$157,'Mall Dataset'!$F$3:$F$157,,0))))*6371*1000</f>
        <v>1190.1046788555188</v>
      </c>
      <c r="V282" s="39">
        <f>ACOS(COS(RADIANS(90-O282))*COS(RADIANS(90-_xlfn.XLOOKUP(S282,'Schools dataset'!$B$3:$B$187,'Schools dataset'!$J$3:$J$187,,0)))+SIN(RADIANS(90-O282))*SIN(RADIANS(90-_xlfn.XLOOKUP(S282,'Schools dataset'!$B$3:$B$187,'Schools dataset'!$J$3:$J$187,,0)))*COS(RADIANS(P282-_xlfn.XLOOKUP(S282,'Schools dataset'!$B$3:$B$187,'Schools dataset'!$K$3:$K$187,,0))))*6371*1000</f>
        <v>1039.4555830461206</v>
      </c>
      <c r="W282" s="20">
        <f>_xlfn.XLOOKUP(T282,'HDB Recommender'!$P$10:$P$39,'HDB Recommender'!$Q$10:$Q$39,"&gt;30mins",1)</f>
        <v>16</v>
      </c>
      <c r="X282" s="20">
        <f>_xlfn.XLOOKUP(U282,'HDB Recommender'!$P$10:$P$39,'HDB Recommender'!$Q$10:$Q$39,"&gt;30mins",1)</f>
        <v>16</v>
      </c>
      <c r="Y282" s="20">
        <f>_xlfn.XLOOKUP(V282,'HDB Recommender'!$P$10:$P$39,'HDB Recommender'!$Q$10:$Q$39,"&gt;30mins",1)</f>
        <v>14</v>
      </c>
      <c r="Z282" s="39">
        <f t="shared" si="8"/>
        <v>15.333333333333334</v>
      </c>
      <c r="AA282" s="20" t="str">
        <f t="shared" si="10"/>
        <v>between 1km and 2km</v>
      </c>
    </row>
    <row r="283" spans="2:27">
      <c r="B283" s="35" t="s">
        <v>317</v>
      </c>
      <c r="C283" s="35" t="s">
        <v>805</v>
      </c>
      <c r="D283" s="35" t="s">
        <v>318</v>
      </c>
      <c r="E283" s="35">
        <v>6</v>
      </c>
      <c r="F283" s="35" t="s">
        <v>806</v>
      </c>
      <c r="G283" s="35" t="s">
        <v>191</v>
      </c>
      <c r="H283" s="35">
        <v>65</v>
      </c>
      <c r="I283" s="35" t="s">
        <v>326</v>
      </c>
      <c r="J283" s="36">
        <v>1976</v>
      </c>
      <c r="K283" s="39">
        <v>51.3333333333333</v>
      </c>
      <c r="L283" s="37">
        <v>330000</v>
      </c>
      <c r="M283" s="35" t="s">
        <v>808</v>
      </c>
      <c r="N283" s="27">
        <v>730006</v>
      </c>
      <c r="O283" s="38">
        <v>1.44207297644105</v>
      </c>
      <c r="P283" s="38">
        <v>103.77635399053101</v>
      </c>
      <c r="Q283" s="38" t="str" cm="1">
        <f t="array" ref="Q283">INDEX('MRT station dataset'!$C$3:$C$179, MATCH(MIN(SQRT(('MRT station dataset'!$E$3:$E$179-'Resale flat dataset (DV)'!O283)^2+('MRT station dataset'!$F$3:$F$179-'Resale flat dataset (DV)'!P283)^2)), SQRT(('MRT station dataset'!$E$3:$E$179-'Resale flat dataset (DV)'!O283)^2+('MRT station dataset'!$F$3:$F$179-'Resale flat dataset (DV)'!P283)^2), 0))</f>
        <v>MARSILING MRT STATION</v>
      </c>
      <c r="R283" s="38" t="str" cm="1">
        <f t="array" ref="R283">INDEX('Mall Dataset'!$B$3:$B$157, MATCH(MIN(SQRT(('Mall Dataset'!$E$3:$E$157-'Resale flat dataset (DV)'!O283)^2+('Mall Dataset'!$F$3:$F$157-'Resale flat dataset (DV)'!P283)^2)), SQRT(('Mall Dataset'!$E$3:$E$157-'Resale flat dataset (DV)'!O283)^2+('Mall Dataset'!$F$3:$F$157-'Resale flat dataset (DV)'!P283)^2), 0))</f>
        <v>Marsiling Mall</v>
      </c>
      <c r="S283" s="38" t="str" cm="1">
        <f t="array" ref="S283">INDEX('Schools dataset'!$B$3:$B$187, MATCH(MIN(SQRT(('Schools dataset'!$J$3:$J$187-'Resale flat dataset (DV)'!O283)^2+('Schools dataset'!$K$3:$K$187-'Resale flat dataset (DV)'!P283)^2)), SQRT(('Schools dataset'!$J$3:$J$187-'Resale flat dataset (DV)'!O283)^2+('Schools dataset'!$K$3:$K$187-'Resale flat dataset (DV)'!P283)^2), 0))</f>
        <v>MARSILING PRIMARY SCHOOL</v>
      </c>
      <c r="T283" s="39">
        <f>ACOS(COS(RADIANS(90-O283))*COS(RADIANS(90-_xlfn.XLOOKUP(Q283,'MRT station dataset'!$C$3:$C$179,'MRT station dataset'!$E$3:$E$179)))+SIN(RADIANS(90-O283))*SIN(RADIANS(90-_xlfn.XLOOKUP(Q283,'MRT station dataset'!$C$3:$C$179,'MRT station dataset'!$E$3:$E$179)))*COS(RADIANS(P283-_xlfn.XLOOKUP('Resale flat dataset (DV)'!Q283,'MRT station dataset'!$C$3:$C$179,'MRT station dataset'!$F$3:$F$179))))*6371*1000</f>
        <v>1093.5564802518129</v>
      </c>
      <c r="U283" s="39">
        <f>ACOS(COS(RADIANS(90-O283))*COS(RADIANS(90-_xlfn.XLOOKUP(R283,'Mall Dataset'!$B$3:$B$157,'Mall Dataset'!$E$3:$E$157,,0)))+SIN(RADIANS(90-O283))*SIN(RADIANS(90-_xlfn.XLOOKUP(R283,'Mall Dataset'!$B$3:$B$157,'Mall Dataset'!$E$3:$E$157,,0)))*COS(RADIANS(P283-_xlfn.XLOOKUP(R283,'Mall Dataset'!$B$3:$B$157,'Mall Dataset'!$F$3:$F$157,,0))))*6371*1000</f>
        <v>1026.3457796427388</v>
      </c>
      <c r="V283" s="39">
        <f>ACOS(COS(RADIANS(90-O283))*COS(RADIANS(90-_xlfn.XLOOKUP(S283,'Schools dataset'!$B$3:$B$187,'Schools dataset'!$J$3:$J$187,,0)))+SIN(RADIANS(90-O283))*SIN(RADIANS(90-_xlfn.XLOOKUP(S283,'Schools dataset'!$B$3:$B$187,'Schools dataset'!$J$3:$J$187,,0)))*COS(RADIANS(P283-_xlfn.XLOOKUP(S283,'Schools dataset'!$B$3:$B$187,'Schools dataset'!$K$3:$K$187,,0))))*6371*1000</f>
        <v>954.62801568394059</v>
      </c>
      <c r="W283" s="20">
        <f>_xlfn.XLOOKUP(T283,'HDB Recommender'!$P$10:$P$39,'HDB Recommender'!$Q$10:$Q$39,"&gt;30mins",1)</f>
        <v>15</v>
      </c>
      <c r="X283" s="20">
        <f>_xlfn.XLOOKUP(U283,'HDB Recommender'!$P$10:$P$39,'HDB Recommender'!$Q$10:$Q$39,"&gt;30mins",1)</f>
        <v>14</v>
      </c>
      <c r="Y283" s="20">
        <f>_xlfn.XLOOKUP(V283,'HDB Recommender'!$P$10:$P$39,'HDB Recommender'!$Q$10:$Q$39,"&gt;30mins",1)</f>
        <v>13</v>
      </c>
      <c r="Z283" s="39">
        <f t="shared" si="8"/>
        <v>14</v>
      </c>
      <c r="AA283" s="20" t="str">
        <f t="shared" si="10"/>
        <v>Within 1km</v>
      </c>
    </row>
    <row r="284" spans="2:27">
      <c r="B284" s="35" t="s">
        <v>317</v>
      </c>
      <c r="C284" s="35" t="s">
        <v>805</v>
      </c>
      <c r="D284" s="35" t="s">
        <v>318</v>
      </c>
      <c r="E284" s="35"/>
      <c r="F284" s="35" t="s">
        <v>809</v>
      </c>
      <c r="G284" s="35" t="s">
        <v>810</v>
      </c>
      <c r="H284" s="35">
        <v>67</v>
      </c>
      <c r="I284" s="35" t="s">
        <v>335</v>
      </c>
      <c r="J284" s="36">
        <v>2016</v>
      </c>
      <c r="K284" s="39">
        <v>92.0833333333333</v>
      </c>
      <c r="L284" s="37">
        <v>505000</v>
      </c>
      <c r="M284" s="35" t="s">
        <v>811</v>
      </c>
      <c r="N284" s="27">
        <v>731302</v>
      </c>
      <c r="O284" s="38">
        <v>1.43185558749484</v>
      </c>
      <c r="P284" s="38">
        <v>103.77529404443899</v>
      </c>
      <c r="Q284" s="38" t="str" cm="1">
        <f t="array" ref="Q284">INDEX('MRT station dataset'!$C$3:$C$179, MATCH(MIN(SQRT(('MRT station dataset'!$E$3:$E$179-'Resale flat dataset (DV)'!O284)^2+('MRT station dataset'!$F$3:$F$179-'Resale flat dataset (DV)'!P284)^2)), SQRT(('MRT station dataset'!$E$3:$E$179-'Resale flat dataset (DV)'!O284)^2+('MRT station dataset'!$F$3:$F$179-'Resale flat dataset (DV)'!P284)^2), 0))</f>
        <v>MARSILING MRT STATION</v>
      </c>
      <c r="R284" s="38" t="str" cm="1">
        <f t="array" ref="R284">INDEX('Mall Dataset'!$B$3:$B$157, MATCH(MIN(SQRT(('Mall Dataset'!$E$3:$E$157-'Resale flat dataset (DV)'!O284)^2+('Mall Dataset'!$F$3:$F$157-'Resale flat dataset (DV)'!P284)^2)), SQRT(('Mall Dataset'!$E$3:$E$157-'Resale flat dataset (DV)'!O284)^2+('Mall Dataset'!$F$3:$F$157-'Resale flat dataset (DV)'!P284)^2), 0))</f>
        <v>Marsiling Mall</v>
      </c>
      <c r="S284" s="38" t="str" cm="1">
        <f t="array" ref="S284">INDEX('Schools dataset'!$B$3:$B$187, MATCH(MIN(SQRT(('Schools dataset'!$J$3:$J$187-'Resale flat dataset (DV)'!O284)^2+('Schools dataset'!$K$3:$K$187-'Resale flat dataset (DV)'!P284)^2)), SQRT(('Schools dataset'!$J$3:$J$187-'Resale flat dataset (DV)'!O284)^2+('Schools dataset'!$K$3:$K$187-'Resale flat dataset (DV)'!P284)^2), 0))</f>
        <v>MARSILING PRIMARY SCHOOL</v>
      </c>
      <c r="T284" s="39">
        <f>ACOS(COS(RADIANS(90-O284))*COS(RADIANS(90-_xlfn.XLOOKUP(Q284,'MRT station dataset'!$C$3:$C$179,'MRT station dataset'!$E$3:$E$179)))+SIN(RADIANS(90-O284))*SIN(RADIANS(90-_xlfn.XLOOKUP(Q284,'MRT station dataset'!$C$3:$C$179,'MRT station dataset'!$E$3:$E$179)))*COS(RADIANS(P284-_xlfn.XLOOKUP('Resale flat dataset (DV)'!Q284,'MRT station dataset'!$C$3:$C$179,'MRT station dataset'!$F$3:$F$179))))*6371*1000</f>
        <v>150.83698252392043</v>
      </c>
      <c r="U284" s="39">
        <f>ACOS(COS(RADIANS(90-O284))*COS(RADIANS(90-_xlfn.XLOOKUP(R284,'Mall Dataset'!$B$3:$B$157,'Mall Dataset'!$E$3:$E$157,,0)))+SIN(RADIANS(90-O284))*SIN(RADIANS(90-_xlfn.XLOOKUP(R284,'Mall Dataset'!$B$3:$B$157,'Mall Dataset'!$E$3:$E$157,,0)))*COS(RADIANS(P284-_xlfn.XLOOKUP(R284,'Mall Dataset'!$B$3:$B$157,'Mall Dataset'!$F$3:$F$157,,0))))*6371*1000</f>
        <v>543.41405744131714</v>
      </c>
      <c r="V284" s="39">
        <f>ACOS(COS(RADIANS(90-O284))*COS(RADIANS(90-_xlfn.XLOOKUP(S284,'Schools dataset'!$B$3:$B$187,'Schools dataset'!$J$3:$J$187,,0)))+SIN(RADIANS(90-O284))*SIN(RADIANS(90-_xlfn.XLOOKUP(S284,'Schools dataset'!$B$3:$B$187,'Schools dataset'!$J$3:$J$187,,0)))*COS(RADIANS(P284-_xlfn.XLOOKUP(S284,'Schools dataset'!$B$3:$B$187,'Schools dataset'!$K$3:$K$187,,0))))*6371*1000</f>
        <v>295.07288032250733</v>
      </c>
      <c r="W284" s="20">
        <f>_xlfn.XLOOKUP(T284,'HDB Recommender'!$P$10:$P$39,'HDB Recommender'!$Q$10:$Q$39,"&gt;30mins",1)</f>
        <v>3</v>
      </c>
      <c r="X284" s="20">
        <f>_xlfn.XLOOKUP(U284,'HDB Recommender'!$P$10:$P$39,'HDB Recommender'!$Q$10:$Q$39,"&gt;30mins",1)</f>
        <v>8</v>
      </c>
      <c r="Y284" s="20">
        <f>_xlfn.XLOOKUP(V284,'HDB Recommender'!$P$10:$P$39,'HDB Recommender'!$Q$10:$Q$39,"&gt;30mins",1)</f>
        <v>4</v>
      </c>
      <c r="Z284" s="39">
        <f t="shared" si="8"/>
        <v>5</v>
      </c>
      <c r="AA284" s="20" t="str">
        <f t="shared" si="10"/>
        <v>Within 1km</v>
      </c>
    </row>
    <row r="285" spans="2:27">
      <c r="B285" s="35" t="s">
        <v>317</v>
      </c>
      <c r="C285" s="35" t="s">
        <v>805</v>
      </c>
      <c r="D285" s="35" t="s">
        <v>20</v>
      </c>
      <c r="E285" s="35"/>
      <c r="F285" s="35" t="s">
        <v>812</v>
      </c>
      <c r="G285" s="35" t="s">
        <v>453</v>
      </c>
      <c r="H285" s="35">
        <v>93</v>
      </c>
      <c r="I285" s="35" t="s">
        <v>335</v>
      </c>
      <c r="J285" s="36">
        <v>2013</v>
      </c>
      <c r="K285" s="39">
        <v>88.75</v>
      </c>
      <c r="L285" s="37">
        <v>612000</v>
      </c>
      <c r="M285" s="35" t="s">
        <v>813</v>
      </c>
      <c r="N285" s="27">
        <v>733012</v>
      </c>
      <c r="O285" s="38">
        <v>1.44108587711762</v>
      </c>
      <c r="P285" s="38">
        <v>103.77778123439801</v>
      </c>
      <c r="Q285" s="38" t="str" cm="1">
        <f t="array" ref="Q285">INDEX('MRT station dataset'!$C$3:$C$179, MATCH(MIN(SQRT(('MRT station dataset'!$E$3:$E$179-'Resale flat dataset (DV)'!O285)^2+('MRT station dataset'!$F$3:$F$179-'Resale flat dataset (DV)'!P285)^2)), SQRT(('MRT station dataset'!$E$3:$E$179-'Resale flat dataset (DV)'!O285)^2+('MRT station dataset'!$F$3:$F$179-'Resale flat dataset (DV)'!P285)^2), 0))</f>
        <v>MARSILING MRT STATION</v>
      </c>
      <c r="R285" s="38" t="str" cm="1">
        <f t="array" ref="R285">INDEX('Mall Dataset'!$B$3:$B$157, MATCH(MIN(SQRT(('Mall Dataset'!$E$3:$E$157-'Resale flat dataset (DV)'!O285)^2+('Mall Dataset'!$F$3:$F$157-'Resale flat dataset (DV)'!P285)^2)), SQRT(('Mall Dataset'!$E$3:$E$157-'Resale flat dataset (DV)'!O285)^2+('Mall Dataset'!$F$3:$F$157-'Resale flat dataset (DV)'!P285)^2), 0))</f>
        <v>Marsiling Mall</v>
      </c>
      <c r="S285" s="38" t="str" cm="1">
        <f t="array" ref="S285">INDEX('Schools dataset'!$B$3:$B$187, MATCH(MIN(SQRT(('Schools dataset'!$J$3:$J$187-'Resale flat dataset (DV)'!O285)^2+('Schools dataset'!$K$3:$K$187-'Resale flat dataset (DV)'!P285)^2)), SQRT(('Schools dataset'!$J$3:$J$187-'Resale flat dataset (DV)'!O285)^2+('Schools dataset'!$K$3:$K$187-'Resale flat dataset (DV)'!P285)^2), 0))</f>
        <v>MARSILING PRIMARY SCHOOL</v>
      </c>
      <c r="T285" s="39">
        <f>ACOS(COS(RADIANS(90-O285))*COS(RADIANS(90-_xlfn.XLOOKUP(Q285,'MRT station dataset'!$C$3:$C$179,'MRT station dataset'!$E$3:$E$179)))+SIN(RADIANS(90-O285))*SIN(RADIANS(90-_xlfn.XLOOKUP(Q285,'MRT station dataset'!$C$3:$C$179,'MRT station dataset'!$E$3:$E$179)))*COS(RADIANS(P285-_xlfn.XLOOKUP('Resale flat dataset (DV)'!Q285,'MRT station dataset'!$C$3:$C$179,'MRT station dataset'!$F$3:$F$179))))*6371*1000</f>
        <v>1038.7073481675654</v>
      </c>
      <c r="U285" s="39">
        <f>ACOS(COS(RADIANS(90-O285))*COS(RADIANS(90-_xlfn.XLOOKUP(R285,'Mall Dataset'!$B$3:$B$157,'Mall Dataset'!$E$3:$E$157,,0)))+SIN(RADIANS(90-O285))*SIN(RADIANS(90-_xlfn.XLOOKUP(R285,'Mall Dataset'!$B$3:$B$157,'Mall Dataset'!$E$3:$E$157,,0)))*COS(RADIANS(P285-_xlfn.XLOOKUP(R285,'Mall Dataset'!$B$3:$B$157,'Mall Dataset'!$F$3:$F$157,,0))))*6371*1000</f>
        <v>870.60902009919141</v>
      </c>
      <c r="V285" s="39">
        <f>ACOS(COS(RADIANS(90-O285))*COS(RADIANS(90-_xlfn.XLOOKUP(S285,'Schools dataset'!$B$3:$B$187,'Schools dataset'!$J$3:$J$187,,0)))+SIN(RADIANS(90-O285))*SIN(RADIANS(90-_xlfn.XLOOKUP(S285,'Schools dataset'!$B$3:$B$187,'Schools dataset'!$J$3:$J$187,,0)))*COS(RADIANS(P285-_xlfn.XLOOKUP(S285,'Schools dataset'!$B$3:$B$187,'Schools dataset'!$K$3:$K$187,,0))))*6371*1000</f>
        <v>919.54629118618243</v>
      </c>
      <c r="W285" s="20">
        <f>_xlfn.XLOOKUP(T285,'HDB Recommender'!$P$10:$P$39,'HDB Recommender'!$Q$10:$Q$39,"&gt;30mins",1)</f>
        <v>14</v>
      </c>
      <c r="X285" s="20">
        <f>_xlfn.XLOOKUP(U285,'HDB Recommender'!$P$10:$P$39,'HDB Recommender'!$Q$10:$Q$39,"&gt;30mins",1)</f>
        <v>12</v>
      </c>
      <c r="Y285" s="20">
        <f>_xlfn.XLOOKUP(V285,'HDB Recommender'!$P$10:$P$39,'HDB Recommender'!$Q$10:$Q$39,"&gt;30mins",1)</f>
        <v>13</v>
      </c>
      <c r="Z285" s="39">
        <f t="shared" si="8"/>
        <v>13</v>
      </c>
      <c r="AA285" s="20" t="str">
        <f t="shared" si="10"/>
        <v>Within 1km</v>
      </c>
    </row>
    <row r="286" spans="2:27">
      <c r="B286" s="35" t="s">
        <v>317</v>
      </c>
      <c r="C286" s="35" t="s">
        <v>805</v>
      </c>
      <c r="D286" s="35" t="s">
        <v>20</v>
      </c>
      <c r="E286" s="35"/>
      <c r="F286" s="35" t="s">
        <v>814</v>
      </c>
      <c r="G286" s="35" t="s">
        <v>184</v>
      </c>
      <c r="H286" s="35">
        <v>92</v>
      </c>
      <c r="I286" s="35" t="s">
        <v>335</v>
      </c>
      <c r="J286" s="36">
        <v>2018</v>
      </c>
      <c r="K286" s="39">
        <v>94</v>
      </c>
      <c r="L286" s="37">
        <v>535000</v>
      </c>
      <c r="M286" s="35" t="s">
        <v>815</v>
      </c>
      <c r="N286" s="27">
        <v>732693</v>
      </c>
      <c r="O286" s="38">
        <v>1.4385060591638501</v>
      </c>
      <c r="P286" s="38">
        <v>103.804250612304</v>
      </c>
      <c r="Q286" s="38" t="str" cm="1">
        <f t="array" ref="Q286">INDEX('MRT station dataset'!$C$3:$C$179, MATCH(MIN(SQRT(('MRT station dataset'!$E$3:$E$179-'Resale flat dataset (DV)'!O286)^2+('MRT station dataset'!$F$3:$F$179-'Resale flat dataset (DV)'!P286)^2)), SQRT(('MRT station dataset'!$E$3:$E$179-'Resale flat dataset (DV)'!O286)^2+('MRT station dataset'!$F$3:$F$179-'Resale flat dataset (DV)'!P286)^2), 0))</f>
        <v>ADMIRALTY MRT STATION</v>
      </c>
      <c r="R286" s="38" t="str" cm="1">
        <f t="array" ref="R286">INDEX('Mall Dataset'!$B$3:$B$157, MATCH(MIN(SQRT(('Mall Dataset'!$E$3:$E$157-'Resale flat dataset (DV)'!O286)^2+('Mall Dataset'!$F$3:$F$157-'Resale flat dataset (DV)'!P286)^2)), SQRT(('Mall Dataset'!$E$3:$E$157-'Resale flat dataset (DV)'!O286)^2+('Mall Dataset'!$F$3:$F$157-'Resale flat dataset (DV)'!P286)^2), 0))</f>
        <v>Admiralty Place</v>
      </c>
      <c r="S286" s="38" t="str" cm="1">
        <f t="array" ref="S286">INDEX('Schools dataset'!$B$3:$B$187, MATCH(MIN(SQRT(('Schools dataset'!$J$3:$J$187-'Resale flat dataset (DV)'!O286)^2+('Schools dataset'!$K$3:$K$187-'Resale flat dataset (DV)'!P286)^2)), SQRT(('Schools dataset'!$J$3:$J$187-'Resale flat dataset (DV)'!O286)^2+('Schools dataset'!$K$3:$K$187-'Resale flat dataset (DV)'!P286)^2), 0))</f>
        <v>GREENWOOD PRIMARY SCHOOL</v>
      </c>
      <c r="T286" s="39">
        <f>ACOS(COS(RADIANS(90-O286))*COS(RADIANS(90-_xlfn.XLOOKUP(Q286,'MRT station dataset'!$C$3:$C$179,'MRT station dataset'!$E$3:$E$179)))+SIN(RADIANS(90-O286))*SIN(RADIANS(90-_xlfn.XLOOKUP(Q286,'MRT station dataset'!$C$3:$C$179,'MRT station dataset'!$E$3:$E$179)))*COS(RADIANS(P286-_xlfn.XLOOKUP('Resale flat dataset (DV)'!Q286,'MRT station dataset'!$C$3:$C$179,'MRT station dataset'!$F$3:$F$179))))*6371*1000</f>
        <v>429.85720645852064</v>
      </c>
      <c r="U286" s="39">
        <f>ACOS(COS(RADIANS(90-O286))*COS(RADIANS(90-_xlfn.XLOOKUP(R286,'Mall Dataset'!$B$3:$B$157,'Mall Dataset'!$E$3:$E$157,,0)))+SIN(RADIANS(90-O286))*SIN(RADIANS(90-_xlfn.XLOOKUP(R286,'Mall Dataset'!$B$3:$B$157,'Mall Dataset'!$E$3:$E$157,,0)))*COS(RADIANS(P286-_xlfn.XLOOKUP(R286,'Mall Dataset'!$B$3:$B$157,'Mall Dataset'!$F$3:$F$157,,0))))*6371*1000</f>
        <v>368.73648225631507</v>
      </c>
      <c r="V286" s="39">
        <f>ACOS(COS(RADIANS(90-O286))*COS(RADIANS(90-_xlfn.XLOOKUP(S286,'Schools dataset'!$B$3:$B$187,'Schools dataset'!$J$3:$J$187,,0)))+SIN(RADIANS(90-O286))*SIN(RADIANS(90-_xlfn.XLOOKUP(S286,'Schools dataset'!$B$3:$B$187,'Schools dataset'!$J$3:$J$187,,0)))*COS(RADIANS(P286-_xlfn.XLOOKUP(S286,'Schools dataset'!$B$3:$B$187,'Schools dataset'!$K$3:$K$187,,0))))*6371*1000</f>
        <v>180.81194516236687</v>
      </c>
      <c r="W286" s="20">
        <f>_xlfn.XLOOKUP(T286,'HDB Recommender'!$P$10:$P$39,'HDB Recommender'!$Q$10:$Q$39,"&gt;30mins",1)</f>
        <v>6</v>
      </c>
      <c r="X286" s="20">
        <f>_xlfn.XLOOKUP(U286,'HDB Recommender'!$P$10:$P$39,'HDB Recommender'!$Q$10:$Q$39,"&gt;30mins",1)</f>
        <v>5</v>
      </c>
      <c r="Y286" s="20">
        <f>_xlfn.XLOOKUP(V286,'HDB Recommender'!$P$10:$P$39,'HDB Recommender'!$Q$10:$Q$39,"&gt;30mins",1)</f>
        <v>3</v>
      </c>
      <c r="Z286" s="39">
        <f t="shared" si="8"/>
        <v>4.666666666666667</v>
      </c>
      <c r="AA286" s="20" t="str">
        <f t="shared" si="10"/>
        <v>Within 1km</v>
      </c>
    </row>
    <row r="287" spans="2:27">
      <c r="B287" s="35" t="s">
        <v>317</v>
      </c>
      <c r="C287" s="35" t="s">
        <v>805</v>
      </c>
      <c r="D287" s="35" t="s">
        <v>20</v>
      </c>
      <c r="E287" s="35">
        <v>793</v>
      </c>
      <c r="F287" s="35" t="s">
        <v>814</v>
      </c>
      <c r="G287" s="35" t="s">
        <v>191</v>
      </c>
      <c r="H287" s="35">
        <v>100</v>
      </c>
      <c r="I287" s="35" t="s">
        <v>335</v>
      </c>
      <c r="J287" s="36">
        <v>1997</v>
      </c>
      <c r="K287" s="39">
        <v>73.1666666666666</v>
      </c>
      <c r="L287" s="37">
        <v>500388</v>
      </c>
      <c r="M287" s="35" t="s">
        <v>816</v>
      </c>
      <c r="N287" s="27">
        <v>730793</v>
      </c>
      <c r="O287" s="38">
        <v>1.4423941127629401</v>
      </c>
      <c r="P287" s="38">
        <v>103.802849502125</v>
      </c>
      <c r="Q287" s="38" t="str" cm="1">
        <f t="array" ref="Q287">INDEX('MRT station dataset'!$C$3:$C$179, MATCH(MIN(SQRT(('MRT station dataset'!$E$3:$E$179-'Resale flat dataset (DV)'!O287)^2+('MRT station dataset'!$F$3:$F$179-'Resale flat dataset (DV)'!P287)^2)), SQRT(('MRT station dataset'!$E$3:$E$179-'Resale flat dataset (DV)'!O287)^2+('MRT station dataset'!$F$3:$F$179-'Resale flat dataset (DV)'!P287)^2), 0))</f>
        <v>ADMIRALTY MRT STATION</v>
      </c>
      <c r="R287" s="38" t="str" cm="1">
        <f t="array" ref="R287">INDEX('Mall Dataset'!$B$3:$B$157, MATCH(MIN(SQRT(('Mall Dataset'!$E$3:$E$157-'Resale flat dataset (DV)'!O287)^2+('Mall Dataset'!$F$3:$F$157-'Resale flat dataset (DV)'!P287)^2)), SQRT(('Mall Dataset'!$E$3:$E$157-'Resale flat dataset (DV)'!O287)^2+('Mall Dataset'!$F$3:$F$157-'Resale flat dataset (DV)'!P287)^2), 0))</f>
        <v>Admiralty Place</v>
      </c>
      <c r="S287" s="38" t="str" cm="1">
        <f t="array" ref="S287">INDEX('Schools dataset'!$B$3:$B$187, MATCH(MIN(SQRT(('Schools dataset'!$J$3:$J$187-'Resale flat dataset (DV)'!O287)^2+('Schools dataset'!$K$3:$K$187-'Resale flat dataset (DV)'!P287)^2)), SQRT(('Schools dataset'!$J$3:$J$187-'Resale flat dataset (DV)'!O287)^2+('Schools dataset'!$K$3:$K$187-'Resale flat dataset (DV)'!P287)^2), 0))</f>
        <v>ADMIRALTY PRIMARY SCHOOL</v>
      </c>
      <c r="T287" s="39">
        <f>ACOS(COS(RADIANS(90-O287))*COS(RADIANS(90-_xlfn.XLOOKUP(Q287,'MRT station dataset'!$C$3:$C$179,'MRT station dataset'!$E$3:$E$179)))+SIN(RADIANS(90-O287))*SIN(RADIANS(90-_xlfn.XLOOKUP(Q287,'MRT station dataset'!$C$3:$C$179,'MRT station dataset'!$E$3:$E$179)))*COS(RADIANS(P287-_xlfn.XLOOKUP('Resale flat dataset (DV)'!Q287,'MRT station dataset'!$C$3:$C$179,'MRT station dataset'!$F$3:$F$179))))*6371*1000</f>
        <v>286.4717566732802</v>
      </c>
      <c r="U287" s="39">
        <f>ACOS(COS(RADIANS(90-O287))*COS(RADIANS(90-_xlfn.XLOOKUP(R287,'Mall Dataset'!$B$3:$B$157,'Mall Dataset'!$E$3:$E$157,,0)))+SIN(RADIANS(90-O287))*SIN(RADIANS(90-_xlfn.XLOOKUP(R287,'Mall Dataset'!$B$3:$B$157,'Mall Dataset'!$E$3:$E$157,,0)))*COS(RADIANS(P287-_xlfn.XLOOKUP(R287,'Mall Dataset'!$B$3:$B$157,'Mall Dataset'!$F$3:$F$157,,0))))*6371*1000</f>
        <v>263.27302373393024</v>
      </c>
      <c r="V287" s="39">
        <f>ACOS(COS(RADIANS(90-O287))*COS(RADIANS(90-_xlfn.XLOOKUP(S287,'Schools dataset'!$B$3:$B$187,'Schools dataset'!$J$3:$J$187,,0)))+SIN(RADIANS(90-O287))*SIN(RADIANS(90-_xlfn.XLOOKUP(S287,'Schools dataset'!$B$3:$B$187,'Schools dataset'!$J$3:$J$187,,0)))*COS(RADIANS(P287-_xlfn.XLOOKUP(S287,'Schools dataset'!$B$3:$B$187,'Schools dataset'!$K$3:$K$187,,0))))*6371*1000</f>
        <v>293.50679501072773</v>
      </c>
      <c r="W287" s="20">
        <f>_xlfn.XLOOKUP(T287,'HDB Recommender'!$P$10:$P$39,'HDB Recommender'!$Q$10:$Q$39,"&gt;30mins",1)</f>
        <v>4</v>
      </c>
      <c r="X287" s="20">
        <f>_xlfn.XLOOKUP(U287,'HDB Recommender'!$P$10:$P$39,'HDB Recommender'!$Q$10:$Q$39,"&gt;30mins",1)</f>
        <v>4</v>
      </c>
      <c r="Y287" s="20">
        <f>_xlfn.XLOOKUP(V287,'HDB Recommender'!$P$10:$P$39,'HDB Recommender'!$Q$10:$Q$39,"&gt;30mins",1)</f>
        <v>4</v>
      </c>
      <c r="Z287" s="39">
        <f t="shared" si="8"/>
        <v>4</v>
      </c>
      <c r="AA287" s="20" t="str">
        <f t="shared" si="10"/>
        <v>Within 1km</v>
      </c>
    </row>
    <row r="288" spans="2:27">
      <c r="B288" s="35" t="s">
        <v>317</v>
      </c>
      <c r="C288" s="35" t="s">
        <v>805</v>
      </c>
      <c r="D288" s="35" t="s">
        <v>20</v>
      </c>
      <c r="E288" s="35">
        <v>736</v>
      </c>
      <c r="F288" s="35" t="s">
        <v>817</v>
      </c>
      <c r="G288" s="35" t="s">
        <v>349</v>
      </c>
      <c r="H288" s="35">
        <v>103</v>
      </c>
      <c r="I288" s="35" t="s">
        <v>335</v>
      </c>
      <c r="J288" s="36">
        <v>1998</v>
      </c>
      <c r="K288" s="39">
        <v>73.5</v>
      </c>
      <c r="L288" s="37">
        <v>470000</v>
      </c>
      <c r="M288" s="35" t="s">
        <v>818</v>
      </c>
      <c r="N288" s="27">
        <v>730736</v>
      </c>
      <c r="O288" s="38">
        <v>1.4428376412703301</v>
      </c>
      <c r="P288" s="38">
        <v>103.79681412544799</v>
      </c>
      <c r="Q288" s="38" t="str" cm="1">
        <f t="array" ref="Q288">INDEX('MRT station dataset'!$C$3:$C$179, MATCH(MIN(SQRT(('MRT station dataset'!$E$3:$E$179-'Resale flat dataset (DV)'!O288)^2+('MRT station dataset'!$F$3:$F$179-'Resale flat dataset (DV)'!P288)^2)), SQRT(('MRT station dataset'!$E$3:$E$179-'Resale flat dataset (DV)'!O288)^2+('MRT station dataset'!$F$3:$F$179-'Resale flat dataset (DV)'!P288)^2), 0))</f>
        <v>ADMIRALTY MRT STATION</v>
      </c>
      <c r="R288" s="38" t="str" cm="1">
        <f t="array" ref="R288">INDEX('Mall Dataset'!$B$3:$B$157, MATCH(MIN(SQRT(('Mall Dataset'!$E$3:$E$157-'Resale flat dataset (DV)'!O288)^2+('Mall Dataset'!$F$3:$F$157-'Resale flat dataset (DV)'!P288)^2)), SQRT(('Mall Dataset'!$E$3:$E$157-'Resale flat dataset (DV)'!O288)^2+('Mall Dataset'!$F$3:$F$157-'Resale flat dataset (DV)'!P288)^2), 0))</f>
        <v>Woodlands Mart</v>
      </c>
      <c r="S288" s="38" t="str" cm="1">
        <f t="array" ref="S288">INDEX('Schools dataset'!$B$3:$B$187, MATCH(MIN(SQRT(('Schools dataset'!$J$3:$J$187-'Resale flat dataset (DV)'!O288)^2+('Schools dataset'!$K$3:$K$187-'Resale flat dataset (DV)'!P288)^2)), SQRT(('Schools dataset'!$J$3:$J$187-'Resale flat dataset (DV)'!O288)^2+('Schools dataset'!$K$3:$K$187-'Resale flat dataset (DV)'!P288)^2), 0))</f>
        <v>EVERGREEN PRIMARY SCHOOL</v>
      </c>
      <c r="T288" s="39">
        <f>ACOS(COS(RADIANS(90-O288))*COS(RADIANS(90-_xlfn.XLOOKUP(Q288,'MRT station dataset'!$C$3:$C$179,'MRT station dataset'!$E$3:$E$179)))+SIN(RADIANS(90-O288))*SIN(RADIANS(90-_xlfn.XLOOKUP(Q288,'MRT station dataset'!$C$3:$C$179,'MRT station dataset'!$E$3:$E$179)))*COS(RADIANS(P288-_xlfn.XLOOKUP('Resale flat dataset (DV)'!Q288,'MRT station dataset'!$C$3:$C$179,'MRT station dataset'!$F$3:$F$179))))*6371*1000</f>
        <v>527.64884896738829</v>
      </c>
      <c r="U288" s="39">
        <f>ACOS(COS(RADIANS(90-O288))*COS(RADIANS(90-_xlfn.XLOOKUP(R288,'Mall Dataset'!$B$3:$B$157,'Mall Dataset'!$E$3:$E$157,,0)))+SIN(RADIANS(90-O288))*SIN(RADIANS(90-_xlfn.XLOOKUP(R288,'Mall Dataset'!$B$3:$B$157,'Mall Dataset'!$E$3:$E$157,,0)))*COS(RADIANS(P288-_xlfn.XLOOKUP(R288,'Mall Dataset'!$B$3:$B$157,'Mall Dataset'!$F$3:$F$157,,0))))*6371*1000</f>
        <v>346.56031378285348</v>
      </c>
      <c r="V288" s="39">
        <f>ACOS(COS(RADIANS(90-O288))*COS(RADIANS(90-_xlfn.XLOOKUP(S288,'Schools dataset'!$B$3:$B$187,'Schools dataset'!$J$3:$J$187,,0)))+SIN(RADIANS(90-O288))*SIN(RADIANS(90-_xlfn.XLOOKUP(S288,'Schools dataset'!$B$3:$B$187,'Schools dataset'!$J$3:$J$187,,0)))*COS(RADIANS(P288-_xlfn.XLOOKUP(S288,'Schools dataset'!$B$3:$B$187,'Schools dataset'!$K$3:$K$187,,0))))*6371*1000</f>
        <v>291.28595415885394</v>
      </c>
      <c r="W288" s="20">
        <f>_xlfn.XLOOKUP(T288,'HDB Recommender'!$P$10:$P$39,'HDB Recommender'!$Q$10:$Q$39,"&gt;30mins",1)</f>
        <v>8</v>
      </c>
      <c r="X288" s="20">
        <f>_xlfn.XLOOKUP(U288,'HDB Recommender'!$P$10:$P$39,'HDB Recommender'!$Q$10:$Q$39,"&gt;30mins",1)</f>
        <v>5</v>
      </c>
      <c r="Y288" s="20">
        <f>_xlfn.XLOOKUP(V288,'HDB Recommender'!$P$10:$P$39,'HDB Recommender'!$Q$10:$Q$39,"&gt;30mins",1)</f>
        <v>4</v>
      </c>
      <c r="Z288" s="39">
        <f t="shared" si="8"/>
        <v>5.666666666666667</v>
      </c>
      <c r="AA288" s="20" t="str">
        <f t="shared" si="10"/>
        <v>Within 1km</v>
      </c>
    </row>
    <row r="289" spans="2:27">
      <c r="B289" s="35" t="s">
        <v>317</v>
      </c>
      <c r="C289" s="35" t="s">
        <v>805</v>
      </c>
      <c r="D289" s="35" t="s">
        <v>20</v>
      </c>
      <c r="E289" s="35">
        <v>520</v>
      </c>
      <c r="F289" s="35" t="s">
        <v>819</v>
      </c>
      <c r="G289" s="35" t="s">
        <v>189</v>
      </c>
      <c r="H289" s="35">
        <v>105</v>
      </c>
      <c r="I289" s="35" t="s">
        <v>389</v>
      </c>
      <c r="J289" s="36">
        <v>2000</v>
      </c>
      <c r="K289" s="39">
        <v>76.0833333333333</v>
      </c>
      <c r="L289" s="37">
        <v>517000</v>
      </c>
      <c r="M289" s="35" t="s">
        <v>820</v>
      </c>
      <c r="N289" s="27">
        <v>730520</v>
      </c>
      <c r="O289" s="38">
        <v>1.43417410308188</v>
      </c>
      <c r="P289" s="38">
        <v>103.79239730506499</v>
      </c>
      <c r="Q289" s="38" t="str" cm="1">
        <f t="array" ref="Q289">INDEX('MRT station dataset'!$C$3:$C$179, MATCH(MIN(SQRT(('MRT station dataset'!$E$3:$E$179-'Resale flat dataset (DV)'!O289)^2+('MRT station dataset'!$F$3:$F$179-'Resale flat dataset (DV)'!P289)^2)), SQRT(('MRT station dataset'!$E$3:$E$179-'Resale flat dataset (DV)'!O289)^2+('MRT station dataset'!$F$3:$F$179-'Resale flat dataset (DV)'!P289)^2), 0))</f>
        <v>WOODLANDS MRT STATION</v>
      </c>
      <c r="R289" s="38" t="str" cm="1">
        <f t="array" ref="R289">INDEX('Mall Dataset'!$B$3:$B$157, MATCH(MIN(SQRT(('Mall Dataset'!$E$3:$E$157-'Resale flat dataset (DV)'!O289)^2+('Mall Dataset'!$F$3:$F$157-'Resale flat dataset (DV)'!P289)^2)), SQRT(('Mall Dataset'!$E$3:$E$157-'Resale flat dataset (DV)'!O289)^2+('Mall Dataset'!$F$3:$F$157-'Resale flat dataset (DV)'!P289)^2), 0))</f>
        <v>Vista Point</v>
      </c>
      <c r="S289" s="38" t="str" cm="1">
        <f t="array" ref="S289">INDEX('Schools dataset'!$B$3:$B$187, MATCH(MIN(SQRT(('Schools dataset'!$J$3:$J$187-'Resale flat dataset (DV)'!O289)^2+('Schools dataset'!$K$3:$K$187-'Resale flat dataset (DV)'!P289)^2)), SQRT(('Schools dataset'!$J$3:$J$187-'Resale flat dataset (DV)'!O289)^2+('Schools dataset'!$K$3:$K$187-'Resale flat dataset (DV)'!P289)^2), 0))</f>
        <v>WOODLANDS PRIMARY SCHOOL</v>
      </c>
      <c r="T289" s="39">
        <f>ACOS(COS(RADIANS(90-O289))*COS(RADIANS(90-_xlfn.XLOOKUP(Q289,'MRT station dataset'!$C$3:$C$179,'MRT station dataset'!$E$3:$E$179)))+SIN(RADIANS(90-O289))*SIN(RADIANS(90-_xlfn.XLOOKUP(Q289,'MRT station dataset'!$C$3:$C$179,'MRT station dataset'!$E$3:$E$179)))*COS(RADIANS(P289-_xlfn.XLOOKUP('Resale flat dataset (DV)'!Q289,'MRT station dataset'!$C$3:$C$179,'MRT station dataset'!$F$3:$F$179))))*6371*1000</f>
        <v>722.22704178164258</v>
      </c>
      <c r="U289" s="39">
        <f>ACOS(COS(RADIANS(90-O289))*COS(RADIANS(90-_xlfn.XLOOKUP(R289,'Mall Dataset'!$B$3:$B$157,'Mall Dataset'!$E$3:$E$157,,0)))+SIN(RADIANS(90-O289))*SIN(RADIANS(90-_xlfn.XLOOKUP(R289,'Mall Dataset'!$B$3:$B$157,'Mall Dataset'!$E$3:$E$157,,0)))*COS(RADIANS(P289-_xlfn.XLOOKUP(R289,'Mall Dataset'!$B$3:$B$157,'Mall Dataset'!$F$3:$F$157,,0))))*6371*1000</f>
        <v>420.34902526057772</v>
      </c>
      <c r="V289" s="39">
        <f>ACOS(COS(RADIANS(90-O289))*COS(RADIANS(90-_xlfn.XLOOKUP(S289,'Schools dataset'!$B$3:$B$187,'Schools dataset'!$J$3:$J$187,,0)))+SIN(RADIANS(90-O289))*SIN(RADIANS(90-_xlfn.XLOOKUP(S289,'Schools dataset'!$B$3:$B$187,'Schools dataset'!$J$3:$J$187,,0)))*COS(RADIANS(P289-_xlfn.XLOOKUP(S289,'Schools dataset'!$B$3:$B$187,'Schools dataset'!$K$3:$K$187,,0))))*6371*1000</f>
        <v>279.83032193984104</v>
      </c>
      <c r="W289" s="20">
        <f>_xlfn.XLOOKUP(T289,'HDB Recommender'!$P$10:$P$39,'HDB Recommender'!$Q$10:$Q$39,"&gt;30mins",1)</f>
        <v>10</v>
      </c>
      <c r="X289" s="20">
        <f>_xlfn.XLOOKUP(U289,'HDB Recommender'!$P$10:$P$39,'HDB Recommender'!$Q$10:$Q$39,"&gt;30mins",1)</f>
        <v>6</v>
      </c>
      <c r="Y289" s="20">
        <f>_xlfn.XLOOKUP(V289,'HDB Recommender'!$P$10:$P$39,'HDB Recommender'!$Q$10:$Q$39,"&gt;30mins",1)</f>
        <v>4</v>
      </c>
      <c r="Z289" s="39">
        <f t="shared" si="8"/>
        <v>6.666666666666667</v>
      </c>
      <c r="AA289" s="20" t="str">
        <f t="shared" si="10"/>
        <v>Within 1km</v>
      </c>
    </row>
    <row r="290" spans="2:27">
      <c r="B290" s="35" t="s">
        <v>317</v>
      </c>
      <c r="C290" s="35" t="s">
        <v>805</v>
      </c>
      <c r="D290" s="35" t="s">
        <v>20</v>
      </c>
      <c r="E290" s="35">
        <v>533</v>
      </c>
      <c r="F290" s="35" t="s">
        <v>819</v>
      </c>
      <c r="G290" s="35" t="s">
        <v>349</v>
      </c>
      <c r="H290" s="35">
        <v>104</v>
      </c>
      <c r="I290" s="35" t="s">
        <v>389</v>
      </c>
      <c r="J290" s="36">
        <v>1999</v>
      </c>
      <c r="K290" s="39">
        <v>74.9166666666666</v>
      </c>
      <c r="L290" s="37">
        <v>515000</v>
      </c>
      <c r="M290" s="35" t="s">
        <v>821</v>
      </c>
      <c r="N290" s="27">
        <v>730533</v>
      </c>
      <c r="O290" s="38">
        <v>1.4305485147127399</v>
      </c>
      <c r="P290" s="38">
        <v>103.79207205122999</v>
      </c>
      <c r="Q290" s="38" t="str" cm="1">
        <f t="array" ref="Q290">INDEX('MRT station dataset'!$C$3:$C$179, MATCH(MIN(SQRT(('MRT station dataset'!$E$3:$E$179-'Resale flat dataset (DV)'!O290)^2+('MRT station dataset'!$F$3:$F$179-'Resale flat dataset (DV)'!P290)^2)), SQRT(('MRT station dataset'!$E$3:$E$179-'Resale flat dataset (DV)'!O290)^2+('MRT station dataset'!$F$3:$F$179-'Resale flat dataset (DV)'!P290)^2), 0))</f>
        <v>WOODLANDS SOUTH MRT STATION</v>
      </c>
      <c r="R290" s="38" t="str" cm="1">
        <f t="array" ref="R290">INDEX('Mall Dataset'!$B$3:$B$157, MATCH(MIN(SQRT(('Mall Dataset'!$E$3:$E$157-'Resale flat dataset (DV)'!O290)^2+('Mall Dataset'!$F$3:$F$157-'Resale flat dataset (DV)'!P290)^2)), SQRT(('Mall Dataset'!$E$3:$E$157-'Resale flat dataset (DV)'!O290)^2+('Mall Dataset'!$F$3:$F$157-'Resale flat dataset (DV)'!P290)^2), 0))</f>
        <v>Vista Point</v>
      </c>
      <c r="S290" s="38" t="str" cm="1">
        <f t="array" ref="S290">INDEX('Schools dataset'!$B$3:$B$187, MATCH(MIN(SQRT(('Schools dataset'!$J$3:$J$187-'Resale flat dataset (DV)'!O290)^2+('Schools dataset'!$K$3:$K$187-'Resale flat dataset (DV)'!P290)^2)), SQRT(('Schools dataset'!$J$3:$J$187-'Resale flat dataset (DV)'!O290)^2+('Schools dataset'!$K$3:$K$187-'Resale flat dataset (DV)'!P290)^2), 0))</f>
        <v>INNOVA PRIMARY SCHOOL</v>
      </c>
      <c r="T290" s="39">
        <f>ACOS(COS(RADIANS(90-O290))*COS(RADIANS(90-_xlfn.XLOOKUP(Q290,'MRT station dataset'!$C$3:$C$179,'MRT station dataset'!$E$3:$E$179)))+SIN(RADIANS(90-O290))*SIN(RADIANS(90-_xlfn.XLOOKUP(Q290,'MRT station dataset'!$C$3:$C$179,'MRT station dataset'!$E$3:$E$179)))*COS(RADIANS(P290-_xlfn.XLOOKUP('Resale flat dataset (DV)'!Q290,'MRT station dataset'!$C$3:$C$179,'MRT station dataset'!$F$3:$F$179))))*6371*1000</f>
        <v>414.44791286239723</v>
      </c>
      <c r="U290" s="39">
        <f>ACOS(COS(RADIANS(90-O290))*COS(RADIANS(90-_xlfn.XLOOKUP(R290,'Mall Dataset'!$B$3:$B$157,'Mall Dataset'!$E$3:$E$157,,0)))+SIN(RADIANS(90-O290))*SIN(RADIANS(90-_xlfn.XLOOKUP(R290,'Mall Dataset'!$B$3:$B$157,'Mall Dataset'!$E$3:$E$157,,0)))*COS(RADIANS(P290-_xlfn.XLOOKUP(R290,'Mall Dataset'!$B$3:$B$157,'Mall Dataset'!$F$3:$F$157,,0))))*6371*1000</f>
        <v>227.69979382116244</v>
      </c>
      <c r="V290" s="39">
        <f>ACOS(COS(RADIANS(90-O290))*COS(RADIANS(90-_xlfn.XLOOKUP(S290,'Schools dataset'!$B$3:$B$187,'Schools dataset'!$J$3:$J$187,,0)))+SIN(RADIANS(90-O290))*SIN(RADIANS(90-_xlfn.XLOOKUP(S290,'Schools dataset'!$B$3:$B$187,'Schools dataset'!$J$3:$J$187,,0)))*COS(RADIANS(P290-_xlfn.XLOOKUP(S290,'Schools dataset'!$B$3:$B$187,'Schools dataset'!$K$3:$K$187,,0))))*6371*1000</f>
        <v>239.64059397045511</v>
      </c>
      <c r="W290" s="20">
        <f>_xlfn.XLOOKUP(T290,'HDB Recommender'!$P$10:$P$39,'HDB Recommender'!$Q$10:$Q$39,"&gt;30mins",1)</f>
        <v>6</v>
      </c>
      <c r="X290" s="20">
        <f>_xlfn.XLOOKUP(U290,'HDB Recommender'!$P$10:$P$39,'HDB Recommender'!$Q$10:$Q$39,"&gt;30mins",1)</f>
        <v>4</v>
      </c>
      <c r="Y290" s="20">
        <f>_xlfn.XLOOKUP(V290,'HDB Recommender'!$P$10:$P$39,'HDB Recommender'!$Q$10:$Q$39,"&gt;30mins",1)</f>
        <v>4</v>
      </c>
      <c r="Z290" s="39">
        <f t="shared" si="8"/>
        <v>4.666666666666667</v>
      </c>
      <c r="AA290" s="20" t="str">
        <f t="shared" si="10"/>
        <v>Within 1km</v>
      </c>
    </row>
    <row r="291" spans="2:27">
      <c r="B291" s="35" t="s">
        <v>317</v>
      </c>
      <c r="C291" s="35" t="s">
        <v>805</v>
      </c>
      <c r="D291" s="35" t="s">
        <v>20</v>
      </c>
      <c r="E291" s="35">
        <v>537</v>
      </c>
      <c r="F291" s="35" t="s">
        <v>822</v>
      </c>
      <c r="G291" s="35" t="s">
        <v>349</v>
      </c>
      <c r="H291" s="35">
        <v>100</v>
      </c>
      <c r="I291" s="35" t="s">
        <v>335</v>
      </c>
      <c r="J291" s="36">
        <v>2000</v>
      </c>
      <c r="K291" s="39">
        <v>75.9166666666666</v>
      </c>
      <c r="L291" s="37">
        <v>473000</v>
      </c>
      <c r="M291" s="35" t="s">
        <v>823</v>
      </c>
      <c r="N291" s="27">
        <v>730537</v>
      </c>
      <c r="O291" s="38">
        <v>1.42965785733974</v>
      </c>
      <c r="P291" s="38">
        <v>103.79258293019301</v>
      </c>
      <c r="Q291" s="38" t="str" cm="1">
        <f t="array" ref="Q291">INDEX('MRT station dataset'!$C$3:$C$179, MATCH(MIN(SQRT(('MRT station dataset'!$E$3:$E$179-'Resale flat dataset (DV)'!O291)^2+('MRT station dataset'!$F$3:$F$179-'Resale flat dataset (DV)'!P291)^2)), SQRT(('MRT station dataset'!$E$3:$E$179-'Resale flat dataset (DV)'!O291)^2+('MRT station dataset'!$F$3:$F$179-'Resale flat dataset (DV)'!P291)^2), 0))</f>
        <v>WOODLANDS SOUTH MRT STATION</v>
      </c>
      <c r="R291" s="38" t="str" cm="1">
        <f t="array" ref="R291">INDEX('Mall Dataset'!$B$3:$B$157, MATCH(MIN(SQRT(('Mall Dataset'!$E$3:$E$157-'Resale flat dataset (DV)'!O291)^2+('Mall Dataset'!$F$3:$F$157-'Resale flat dataset (DV)'!P291)^2)), SQRT(('Mall Dataset'!$E$3:$E$157-'Resale flat dataset (DV)'!O291)^2+('Mall Dataset'!$F$3:$F$157-'Resale flat dataset (DV)'!P291)^2), 0))</f>
        <v>Vista Point</v>
      </c>
      <c r="S291" s="38" t="str" cm="1">
        <f t="array" ref="S291">INDEX('Schools dataset'!$B$3:$B$187, MATCH(MIN(SQRT(('Schools dataset'!$J$3:$J$187-'Resale flat dataset (DV)'!O291)^2+('Schools dataset'!$K$3:$K$187-'Resale flat dataset (DV)'!P291)^2)), SQRT(('Schools dataset'!$J$3:$J$187-'Resale flat dataset (DV)'!O291)^2+('Schools dataset'!$K$3:$K$187-'Resale flat dataset (DV)'!P291)^2), 0))</f>
        <v>INNOVA PRIMARY SCHOOL</v>
      </c>
      <c r="T291" s="39">
        <f>ACOS(COS(RADIANS(90-O291))*COS(RADIANS(90-_xlfn.XLOOKUP(Q291,'MRT station dataset'!$C$3:$C$179,'MRT station dataset'!$E$3:$E$179)))+SIN(RADIANS(90-O291))*SIN(RADIANS(90-_xlfn.XLOOKUP(Q291,'MRT station dataset'!$C$3:$C$179,'MRT station dataset'!$E$3:$E$179)))*COS(RADIANS(P291-_xlfn.XLOOKUP('Resale flat dataset (DV)'!Q291,'MRT station dataset'!$C$3:$C$179,'MRT station dataset'!$F$3:$F$179))))*6371*1000</f>
        <v>300.28983186981708</v>
      </c>
      <c r="U291" s="39">
        <f>ACOS(COS(RADIANS(90-O291))*COS(RADIANS(90-_xlfn.XLOOKUP(R291,'Mall Dataset'!$B$3:$B$157,'Mall Dataset'!$E$3:$E$157,,0)))+SIN(RADIANS(90-O291))*SIN(RADIANS(90-_xlfn.XLOOKUP(R291,'Mall Dataset'!$B$3:$B$157,'Mall Dataset'!$E$3:$E$157,,0)))*COS(RADIANS(P291-_xlfn.XLOOKUP(R291,'Mall Dataset'!$B$3:$B$157,'Mall Dataset'!$F$3:$F$157,,0))))*6371*1000</f>
        <v>211.61320684760088</v>
      </c>
      <c r="V291" s="39">
        <f>ACOS(COS(RADIANS(90-O291))*COS(RADIANS(90-_xlfn.XLOOKUP(S291,'Schools dataset'!$B$3:$B$187,'Schools dataset'!$J$3:$J$187,,0)))+SIN(RADIANS(90-O291))*SIN(RADIANS(90-_xlfn.XLOOKUP(S291,'Schools dataset'!$B$3:$B$187,'Schools dataset'!$J$3:$J$187,,0)))*COS(RADIANS(P291-_xlfn.XLOOKUP(S291,'Schools dataset'!$B$3:$B$187,'Schools dataset'!$K$3:$K$187,,0))))*6371*1000</f>
        <v>232.63446818432487</v>
      </c>
      <c r="W291" s="20">
        <f>_xlfn.XLOOKUP(T291,'HDB Recommender'!$P$10:$P$39,'HDB Recommender'!$Q$10:$Q$39,"&gt;30mins",1)</f>
        <v>5</v>
      </c>
      <c r="X291" s="20">
        <f>_xlfn.XLOOKUP(U291,'HDB Recommender'!$P$10:$P$39,'HDB Recommender'!$Q$10:$Q$39,"&gt;30mins",1)</f>
        <v>3</v>
      </c>
      <c r="Y291" s="20">
        <f>_xlfn.XLOOKUP(V291,'HDB Recommender'!$P$10:$P$39,'HDB Recommender'!$Q$10:$Q$39,"&gt;30mins",1)</f>
        <v>4</v>
      </c>
      <c r="Z291" s="39">
        <f t="shared" si="8"/>
        <v>4</v>
      </c>
      <c r="AA291" s="20" t="str">
        <f t="shared" si="10"/>
        <v>Within 1km</v>
      </c>
    </row>
    <row r="292" spans="2:27">
      <c r="B292" s="35" t="s">
        <v>317</v>
      </c>
      <c r="C292" s="35" t="s">
        <v>805</v>
      </c>
      <c r="D292" s="35" t="s">
        <v>20</v>
      </c>
      <c r="E292" s="35">
        <v>541</v>
      </c>
      <c r="F292" s="35" t="s">
        <v>822</v>
      </c>
      <c r="G292" s="35" t="s">
        <v>189</v>
      </c>
      <c r="H292" s="35">
        <v>101</v>
      </c>
      <c r="I292" s="35" t="s">
        <v>335</v>
      </c>
      <c r="J292" s="36">
        <v>2000</v>
      </c>
      <c r="K292" s="39">
        <v>75.6666666666666</v>
      </c>
      <c r="L292" s="37">
        <v>500000</v>
      </c>
      <c r="M292" s="35" t="s">
        <v>824</v>
      </c>
      <c r="N292" s="27">
        <v>730541</v>
      </c>
      <c r="O292" s="38">
        <v>1.4280190435087201</v>
      </c>
      <c r="P292" s="38">
        <v>103.793053953282</v>
      </c>
      <c r="Q292" s="38" t="str" cm="1">
        <f t="array" ref="Q292">INDEX('MRT station dataset'!$C$3:$C$179, MATCH(MIN(SQRT(('MRT station dataset'!$E$3:$E$179-'Resale flat dataset (DV)'!O292)^2+('MRT station dataset'!$F$3:$F$179-'Resale flat dataset (DV)'!P292)^2)), SQRT(('MRT station dataset'!$E$3:$E$179-'Resale flat dataset (DV)'!O292)^2+('MRT station dataset'!$F$3:$F$179-'Resale flat dataset (DV)'!P292)^2), 0))</f>
        <v>WOODLANDS SOUTH MRT STATION</v>
      </c>
      <c r="R292" s="38" t="str" cm="1">
        <f t="array" ref="R292">INDEX('Mall Dataset'!$B$3:$B$157, MATCH(MIN(SQRT(('Mall Dataset'!$E$3:$E$157-'Resale flat dataset (DV)'!O292)^2+('Mall Dataset'!$F$3:$F$157-'Resale flat dataset (DV)'!P292)^2)), SQRT(('Mall Dataset'!$E$3:$E$157-'Resale flat dataset (DV)'!O292)^2+('Mall Dataset'!$F$3:$F$157-'Resale flat dataset (DV)'!P292)^2), 0))</f>
        <v>Vista Point</v>
      </c>
      <c r="S292" s="38" t="str" cm="1">
        <f t="array" ref="S292">INDEX('Schools dataset'!$B$3:$B$187, MATCH(MIN(SQRT(('Schools dataset'!$J$3:$J$187-'Resale flat dataset (DV)'!O292)^2+('Schools dataset'!$K$3:$K$187-'Resale flat dataset (DV)'!P292)^2)), SQRT(('Schools dataset'!$J$3:$J$187-'Resale flat dataset (DV)'!O292)^2+('Schools dataset'!$K$3:$K$187-'Resale flat dataset (DV)'!P292)^2), 0))</f>
        <v>INNOVA PRIMARY SCHOOL</v>
      </c>
      <c r="T292" s="39">
        <f>ACOS(COS(RADIANS(90-O292))*COS(RADIANS(90-_xlfn.XLOOKUP(Q292,'MRT station dataset'!$C$3:$C$179,'MRT station dataset'!$E$3:$E$179)))+SIN(RADIANS(90-O292))*SIN(RADIANS(90-_xlfn.XLOOKUP(Q292,'MRT station dataset'!$C$3:$C$179,'MRT station dataset'!$E$3:$E$179)))*COS(RADIANS(P292-_xlfn.XLOOKUP('Resale flat dataset (DV)'!Q292,'MRT station dataset'!$C$3:$C$179,'MRT station dataset'!$F$3:$F$179))))*6371*1000</f>
        <v>123.44009348397145</v>
      </c>
      <c r="U292" s="39">
        <f>ACOS(COS(RADIANS(90-O292))*COS(RADIANS(90-_xlfn.XLOOKUP(R292,'Mall Dataset'!$B$3:$B$157,'Mall Dataset'!$E$3:$E$157,,0)))+SIN(RADIANS(90-O292))*SIN(RADIANS(90-_xlfn.XLOOKUP(R292,'Mall Dataset'!$B$3:$B$157,'Mall Dataset'!$E$3:$E$157,,0)))*COS(RADIANS(P292-_xlfn.XLOOKUP(R292,'Mall Dataset'!$B$3:$B$157,'Mall Dataset'!$F$3:$F$157,,0))))*6371*1000</f>
        <v>330.67430666440424</v>
      </c>
      <c r="V292" s="39">
        <f>ACOS(COS(RADIANS(90-O292))*COS(RADIANS(90-_xlfn.XLOOKUP(S292,'Schools dataset'!$B$3:$B$187,'Schools dataset'!$J$3:$J$187,,0)))+SIN(RADIANS(90-O292))*SIN(RADIANS(90-_xlfn.XLOOKUP(S292,'Schools dataset'!$B$3:$B$187,'Schools dataset'!$J$3:$J$187,,0)))*COS(RADIANS(P292-_xlfn.XLOOKUP(S292,'Schools dataset'!$B$3:$B$187,'Schools dataset'!$K$3:$K$187,,0))))*6371*1000</f>
        <v>291.65852532549263</v>
      </c>
      <c r="W292" s="20">
        <f>_xlfn.XLOOKUP(T292,'HDB Recommender'!$P$10:$P$39,'HDB Recommender'!$Q$10:$Q$39,"&gt;30mins",1)</f>
        <v>2</v>
      </c>
      <c r="X292" s="20">
        <f>_xlfn.XLOOKUP(U292,'HDB Recommender'!$P$10:$P$39,'HDB Recommender'!$Q$10:$Q$39,"&gt;30mins",1)</f>
        <v>5</v>
      </c>
      <c r="Y292" s="20">
        <f>_xlfn.XLOOKUP(V292,'HDB Recommender'!$P$10:$P$39,'HDB Recommender'!$Q$10:$Q$39,"&gt;30mins",1)</f>
        <v>4</v>
      </c>
      <c r="Z292" s="39">
        <f t="shared" si="8"/>
        <v>3.6666666666666665</v>
      </c>
      <c r="AA292" s="20" t="str">
        <f t="shared" si="10"/>
        <v>Within 1km</v>
      </c>
    </row>
    <row r="293" spans="2:27">
      <c r="B293" s="35" t="s">
        <v>317</v>
      </c>
      <c r="C293" s="35" t="s">
        <v>805</v>
      </c>
      <c r="D293" s="35" t="s">
        <v>20</v>
      </c>
      <c r="E293" s="35"/>
      <c r="F293" s="35" t="s">
        <v>825</v>
      </c>
      <c r="G293" s="35" t="s">
        <v>191</v>
      </c>
      <c r="H293" s="35">
        <v>92</v>
      </c>
      <c r="I293" s="35" t="s">
        <v>389</v>
      </c>
      <c r="J293" s="36">
        <v>2015</v>
      </c>
      <c r="K293" s="39">
        <v>90.5</v>
      </c>
      <c r="L293" s="37">
        <v>548000</v>
      </c>
      <c r="M293" s="35" t="s">
        <v>826</v>
      </c>
      <c r="N293" s="27">
        <v>732886</v>
      </c>
      <c r="O293" s="38">
        <v>1.4382580996932299</v>
      </c>
      <c r="P293" s="38">
        <v>103.79411548724801</v>
      </c>
      <c r="Q293" s="38" t="str" cm="1">
        <f t="array" ref="Q293">INDEX('MRT station dataset'!$C$3:$C$179, MATCH(MIN(SQRT(('MRT station dataset'!$E$3:$E$179-'Resale flat dataset (DV)'!O293)^2+('MRT station dataset'!$F$3:$F$179-'Resale flat dataset (DV)'!P293)^2)), SQRT(('MRT station dataset'!$E$3:$E$179-'Resale flat dataset (DV)'!O293)^2+('MRT station dataset'!$F$3:$F$179-'Resale flat dataset (DV)'!P293)^2), 0))</f>
        <v>ADMIRALTY MRT STATION</v>
      </c>
      <c r="R293" s="38" t="str" cm="1">
        <f t="array" ref="R293">INDEX('Mall Dataset'!$B$3:$B$157, MATCH(MIN(SQRT(('Mall Dataset'!$E$3:$E$157-'Resale flat dataset (DV)'!O293)^2+('Mall Dataset'!$F$3:$F$157-'Resale flat dataset (DV)'!P293)^2)), SQRT(('Mall Dataset'!$E$3:$E$157-'Resale flat dataset (DV)'!O293)^2+('Mall Dataset'!$F$3:$F$157-'Resale flat dataset (DV)'!P293)^2), 0))</f>
        <v>888 Plaza</v>
      </c>
      <c r="S293" s="38" t="str" cm="1">
        <f t="array" ref="S293">INDEX('Schools dataset'!$B$3:$B$187, MATCH(MIN(SQRT(('Schools dataset'!$J$3:$J$187-'Resale flat dataset (DV)'!O293)^2+('Schools dataset'!$K$3:$K$187-'Resale flat dataset (DV)'!P293)^2)), SQRT(('Schools dataset'!$J$3:$J$187-'Resale flat dataset (DV)'!O293)^2+('Schools dataset'!$K$3:$K$187-'Resale flat dataset (DV)'!P293)^2), 0))</f>
        <v>WOODLANDS PRIMARY SCHOOL</v>
      </c>
      <c r="T293" s="39">
        <f>ACOS(COS(RADIANS(90-O293))*COS(RADIANS(90-_xlfn.XLOOKUP(Q293,'MRT station dataset'!$C$3:$C$179,'MRT station dataset'!$E$3:$E$179)))+SIN(RADIANS(90-O293))*SIN(RADIANS(90-_xlfn.XLOOKUP(Q293,'MRT station dataset'!$C$3:$C$179,'MRT station dataset'!$E$3:$E$179)))*COS(RADIANS(P293-_xlfn.XLOOKUP('Resale flat dataset (DV)'!Q293,'MRT station dataset'!$C$3:$C$179,'MRT station dataset'!$F$3:$F$179))))*6371*1000</f>
        <v>808.3733881963966</v>
      </c>
      <c r="U293" s="39">
        <f>ACOS(COS(RADIANS(90-O293))*COS(RADIANS(90-_xlfn.XLOOKUP(R293,'Mall Dataset'!$B$3:$B$157,'Mall Dataset'!$E$3:$E$157,,0)))+SIN(RADIANS(90-O293))*SIN(RADIANS(90-_xlfn.XLOOKUP(R293,'Mall Dataset'!$B$3:$B$157,'Mall Dataset'!$E$3:$E$157,,0)))*COS(RADIANS(P293-_xlfn.XLOOKUP(R293,'Mall Dataset'!$B$3:$B$157,'Mall Dataset'!$F$3:$F$157,,0))))*6371*1000</f>
        <v>184.02768580235173</v>
      </c>
      <c r="V293" s="39">
        <f>ACOS(COS(RADIANS(90-O293))*COS(RADIANS(90-_xlfn.XLOOKUP(S293,'Schools dataset'!$B$3:$B$187,'Schools dataset'!$J$3:$J$187,,0)))+SIN(RADIANS(90-O293))*SIN(RADIANS(90-_xlfn.XLOOKUP(S293,'Schools dataset'!$B$3:$B$187,'Schools dataset'!$J$3:$J$187,,0)))*COS(RADIANS(P293-_xlfn.XLOOKUP(S293,'Schools dataset'!$B$3:$B$187,'Schools dataset'!$K$3:$K$187,,0))))*6371*1000</f>
        <v>340.67309122114818</v>
      </c>
      <c r="W293" s="20">
        <f>_xlfn.XLOOKUP(T293,'HDB Recommender'!$P$10:$P$39,'HDB Recommender'!$Q$10:$Q$39,"&gt;30mins",1)</f>
        <v>11</v>
      </c>
      <c r="X293" s="20">
        <f>_xlfn.XLOOKUP(U293,'HDB Recommender'!$P$10:$P$39,'HDB Recommender'!$Q$10:$Q$39,"&gt;30mins",1)</f>
        <v>3</v>
      </c>
      <c r="Y293" s="20">
        <f>_xlfn.XLOOKUP(V293,'HDB Recommender'!$P$10:$P$39,'HDB Recommender'!$Q$10:$Q$39,"&gt;30mins",1)</f>
        <v>5</v>
      </c>
      <c r="Z293" s="39">
        <f t="shared" si="8"/>
        <v>6.333333333333333</v>
      </c>
      <c r="AA293" s="20" t="str">
        <f t="shared" si="10"/>
        <v>Within 1km</v>
      </c>
    </row>
    <row r="294" spans="2:27">
      <c r="B294" s="35" t="s">
        <v>317</v>
      </c>
      <c r="C294" s="35" t="s">
        <v>805</v>
      </c>
      <c r="D294" s="35" t="s">
        <v>20</v>
      </c>
      <c r="E294" s="35"/>
      <c r="F294" s="35" t="s">
        <v>825</v>
      </c>
      <c r="G294" s="35" t="s">
        <v>189</v>
      </c>
      <c r="H294" s="35">
        <v>100</v>
      </c>
      <c r="I294" s="35" t="s">
        <v>335</v>
      </c>
      <c r="J294" s="36">
        <v>1997</v>
      </c>
      <c r="K294" s="39">
        <v>72.8333333333333</v>
      </c>
      <c r="L294" s="37">
        <v>474000</v>
      </c>
      <c r="M294" s="35" t="s">
        <v>827</v>
      </c>
      <c r="N294" s="27">
        <v>732897</v>
      </c>
      <c r="O294" s="38">
        <v>1.4357439573906301</v>
      </c>
      <c r="P294" s="38">
        <v>103.794134055957</v>
      </c>
      <c r="Q294" s="38" t="str" cm="1">
        <f t="array" ref="Q294">INDEX('MRT station dataset'!$C$3:$C$179, MATCH(MIN(SQRT(('MRT station dataset'!$E$3:$E$179-'Resale flat dataset (DV)'!O294)^2+('MRT station dataset'!$F$3:$F$179-'Resale flat dataset (DV)'!P294)^2)), SQRT(('MRT station dataset'!$E$3:$E$179-'Resale flat dataset (DV)'!O294)^2+('MRT station dataset'!$F$3:$F$179-'Resale flat dataset (DV)'!P294)^2), 0))</f>
        <v>WOODLANDS MRT STATION</v>
      </c>
      <c r="R294" s="38" t="str" cm="1">
        <f t="array" ref="R294">INDEX('Mall Dataset'!$B$3:$B$157, MATCH(MIN(SQRT(('Mall Dataset'!$E$3:$E$157-'Resale flat dataset (DV)'!O294)^2+('Mall Dataset'!$F$3:$F$157-'Resale flat dataset (DV)'!P294)^2)), SQRT(('Mall Dataset'!$E$3:$E$157-'Resale flat dataset (DV)'!O294)^2+('Mall Dataset'!$F$3:$F$157-'Resale flat dataset (DV)'!P294)^2), 0))</f>
        <v>888 Plaza</v>
      </c>
      <c r="S294" s="38" t="str" cm="1">
        <f t="array" ref="S294">INDEX('Schools dataset'!$B$3:$B$187, MATCH(MIN(SQRT(('Schools dataset'!$J$3:$J$187-'Resale flat dataset (DV)'!O294)^2+('Schools dataset'!$K$3:$K$187-'Resale flat dataset (DV)'!P294)^2)), SQRT(('Schools dataset'!$J$3:$J$187-'Resale flat dataset (DV)'!O294)^2+('Schools dataset'!$K$3:$K$187-'Resale flat dataset (DV)'!P294)^2), 0))</f>
        <v>WOODLANDS PRIMARY SCHOOL</v>
      </c>
      <c r="T294" s="39">
        <f>ACOS(COS(RADIANS(90-O294))*COS(RADIANS(90-_xlfn.XLOOKUP(Q294,'MRT station dataset'!$C$3:$C$179,'MRT station dataset'!$E$3:$E$179)))+SIN(RADIANS(90-O294))*SIN(RADIANS(90-_xlfn.XLOOKUP(Q294,'MRT station dataset'!$C$3:$C$179,'MRT station dataset'!$E$3:$E$179)))*COS(RADIANS(P294-_xlfn.XLOOKUP('Resale flat dataset (DV)'!Q294,'MRT station dataset'!$C$3:$C$179,'MRT station dataset'!$F$3:$F$179))))*6371*1000</f>
        <v>858.28243372169459</v>
      </c>
      <c r="U294" s="39">
        <f>ACOS(COS(RADIANS(90-O294))*COS(RADIANS(90-_xlfn.XLOOKUP(R294,'Mall Dataset'!$B$3:$B$157,'Mall Dataset'!$E$3:$E$157,,0)))+SIN(RADIANS(90-O294))*SIN(RADIANS(90-_xlfn.XLOOKUP(R294,'Mall Dataset'!$B$3:$B$157,'Mall Dataset'!$E$3:$E$157,,0)))*COS(RADIANS(P294-_xlfn.XLOOKUP(R294,'Mall Dataset'!$B$3:$B$157,'Mall Dataset'!$F$3:$F$157,,0))))*6371*1000</f>
        <v>201.56060525431107</v>
      </c>
      <c r="V294" s="39">
        <f>ACOS(COS(RADIANS(90-O294))*COS(RADIANS(90-_xlfn.XLOOKUP(S294,'Schools dataset'!$B$3:$B$187,'Schools dataset'!$J$3:$J$187,,0)))+SIN(RADIANS(90-O294))*SIN(RADIANS(90-_xlfn.XLOOKUP(S294,'Schools dataset'!$B$3:$B$187,'Schools dataset'!$J$3:$J$187,,0)))*COS(RADIANS(P294-_xlfn.XLOOKUP(S294,'Schools dataset'!$B$3:$B$187,'Schools dataset'!$K$3:$K$187,,0))))*6371*1000</f>
        <v>298.75884869424141</v>
      </c>
      <c r="W294" s="20">
        <f>_xlfn.XLOOKUP(T294,'HDB Recommender'!$P$10:$P$39,'HDB Recommender'!$Q$10:$Q$39,"&gt;30mins",1)</f>
        <v>12</v>
      </c>
      <c r="X294" s="20">
        <f>_xlfn.XLOOKUP(U294,'HDB Recommender'!$P$10:$P$39,'HDB Recommender'!$Q$10:$Q$39,"&gt;30mins",1)</f>
        <v>3</v>
      </c>
      <c r="Y294" s="20">
        <f>_xlfn.XLOOKUP(V294,'HDB Recommender'!$P$10:$P$39,'HDB Recommender'!$Q$10:$Q$39,"&gt;30mins",1)</f>
        <v>4</v>
      </c>
      <c r="Z294" s="39">
        <f t="shared" si="8"/>
        <v>6.333333333333333</v>
      </c>
      <c r="AA294" s="20" t="str">
        <f t="shared" si="10"/>
        <v>Within 1km</v>
      </c>
    </row>
    <row r="295" spans="2:27">
      <c r="B295" s="35" t="s">
        <v>317</v>
      </c>
      <c r="C295" s="35" t="s">
        <v>805</v>
      </c>
      <c r="D295" s="35" t="s">
        <v>20</v>
      </c>
      <c r="E295" s="35"/>
      <c r="F295" s="35" t="s">
        <v>825</v>
      </c>
      <c r="G295" s="35" t="s">
        <v>184</v>
      </c>
      <c r="H295" s="35">
        <v>100</v>
      </c>
      <c r="I295" s="35" t="s">
        <v>335</v>
      </c>
      <c r="J295" s="36">
        <v>1997</v>
      </c>
      <c r="K295" s="39">
        <v>72.8333333333333</v>
      </c>
      <c r="L295" s="37">
        <v>495000</v>
      </c>
      <c r="M295" s="35" t="s">
        <v>827</v>
      </c>
      <c r="N295" s="27">
        <v>732897</v>
      </c>
      <c r="O295" s="38">
        <v>1.4357439573906301</v>
      </c>
      <c r="P295" s="38">
        <v>103.794134055957</v>
      </c>
      <c r="Q295" s="38" t="str" cm="1">
        <f t="array" ref="Q295">INDEX('MRT station dataset'!$C$3:$C$179, MATCH(MIN(SQRT(('MRT station dataset'!$E$3:$E$179-'Resale flat dataset (DV)'!O295)^2+('MRT station dataset'!$F$3:$F$179-'Resale flat dataset (DV)'!P295)^2)), SQRT(('MRT station dataset'!$E$3:$E$179-'Resale flat dataset (DV)'!O295)^2+('MRT station dataset'!$F$3:$F$179-'Resale flat dataset (DV)'!P295)^2), 0))</f>
        <v>WOODLANDS MRT STATION</v>
      </c>
      <c r="R295" s="38" t="str" cm="1">
        <f t="array" ref="R295">INDEX('Mall Dataset'!$B$3:$B$157, MATCH(MIN(SQRT(('Mall Dataset'!$E$3:$E$157-'Resale flat dataset (DV)'!O295)^2+('Mall Dataset'!$F$3:$F$157-'Resale flat dataset (DV)'!P295)^2)), SQRT(('Mall Dataset'!$E$3:$E$157-'Resale flat dataset (DV)'!O295)^2+('Mall Dataset'!$F$3:$F$157-'Resale flat dataset (DV)'!P295)^2), 0))</f>
        <v>888 Plaza</v>
      </c>
      <c r="S295" s="38" t="str" cm="1">
        <f t="array" ref="S295">INDEX('Schools dataset'!$B$3:$B$187, MATCH(MIN(SQRT(('Schools dataset'!$J$3:$J$187-'Resale flat dataset (DV)'!O295)^2+('Schools dataset'!$K$3:$K$187-'Resale flat dataset (DV)'!P295)^2)), SQRT(('Schools dataset'!$J$3:$J$187-'Resale flat dataset (DV)'!O295)^2+('Schools dataset'!$K$3:$K$187-'Resale flat dataset (DV)'!P295)^2), 0))</f>
        <v>WOODLANDS PRIMARY SCHOOL</v>
      </c>
      <c r="T295" s="39">
        <f>ACOS(COS(RADIANS(90-O295))*COS(RADIANS(90-_xlfn.XLOOKUP(Q295,'MRT station dataset'!$C$3:$C$179,'MRT station dataset'!$E$3:$E$179)))+SIN(RADIANS(90-O295))*SIN(RADIANS(90-_xlfn.XLOOKUP(Q295,'MRT station dataset'!$C$3:$C$179,'MRT station dataset'!$E$3:$E$179)))*COS(RADIANS(P295-_xlfn.XLOOKUP('Resale flat dataset (DV)'!Q295,'MRT station dataset'!$C$3:$C$179,'MRT station dataset'!$F$3:$F$179))))*6371*1000</f>
        <v>858.28243372169459</v>
      </c>
      <c r="U295" s="39">
        <f>ACOS(COS(RADIANS(90-O295))*COS(RADIANS(90-_xlfn.XLOOKUP(R295,'Mall Dataset'!$B$3:$B$157,'Mall Dataset'!$E$3:$E$157,,0)))+SIN(RADIANS(90-O295))*SIN(RADIANS(90-_xlfn.XLOOKUP(R295,'Mall Dataset'!$B$3:$B$157,'Mall Dataset'!$E$3:$E$157,,0)))*COS(RADIANS(P295-_xlfn.XLOOKUP(R295,'Mall Dataset'!$B$3:$B$157,'Mall Dataset'!$F$3:$F$157,,0))))*6371*1000</f>
        <v>201.56060525431107</v>
      </c>
      <c r="V295" s="39">
        <f>ACOS(COS(RADIANS(90-O295))*COS(RADIANS(90-_xlfn.XLOOKUP(S295,'Schools dataset'!$B$3:$B$187,'Schools dataset'!$J$3:$J$187,,0)))+SIN(RADIANS(90-O295))*SIN(RADIANS(90-_xlfn.XLOOKUP(S295,'Schools dataset'!$B$3:$B$187,'Schools dataset'!$J$3:$J$187,,0)))*COS(RADIANS(P295-_xlfn.XLOOKUP(S295,'Schools dataset'!$B$3:$B$187,'Schools dataset'!$K$3:$K$187,,0))))*6371*1000</f>
        <v>298.75884869424141</v>
      </c>
      <c r="W295" s="20">
        <f>_xlfn.XLOOKUP(T295,'HDB Recommender'!$P$10:$P$39,'HDB Recommender'!$Q$10:$Q$39,"&gt;30mins",1)</f>
        <v>12</v>
      </c>
      <c r="X295" s="20">
        <f>_xlfn.XLOOKUP(U295,'HDB Recommender'!$P$10:$P$39,'HDB Recommender'!$Q$10:$Q$39,"&gt;30mins",1)</f>
        <v>3</v>
      </c>
      <c r="Y295" s="20">
        <f>_xlfn.XLOOKUP(V295,'HDB Recommender'!$P$10:$P$39,'HDB Recommender'!$Q$10:$Q$39,"&gt;30mins",1)</f>
        <v>4</v>
      </c>
      <c r="Z295" s="39">
        <f t="shared" si="8"/>
        <v>6.333333333333333</v>
      </c>
      <c r="AA295" s="20" t="str">
        <f t="shared" si="10"/>
        <v>Within 1km</v>
      </c>
    </row>
    <row r="296" spans="2:27">
      <c r="B296" s="35" t="s">
        <v>317</v>
      </c>
      <c r="C296" s="35" t="s">
        <v>805</v>
      </c>
      <c r="D296" s="35" t="s">
        <v>20</v>
      </c>
      <c r="E296" s="35"/>
      <c r="F296" s="35" t="s">
        <v>825</v>
      </c>
      <c r="G296" s="35" t="s">
        <v>349</v>
      </c>
      <c r="H296" s="35">
        <v>99</v>
      </c>
      <c r="I296" s="35" t="s">
        <v>335</v>
      </c>
      <c r="J296" s="36">
        <v>1997</v>
      </c>
      <c r="K296" s="39">
        <v>73</v>
      </c>
      <c r="L296" s="37">
        <v>475000</v>
      </c>
      <c r="M296" s="35" t="s">
        <v>828</v>
      </c>
      <c r="N296" s="27">
        <v>730899</v>
      </c>
      <c r="O296" s="38">
        <v>1.43580504809942</v>
      </c>
      <c r="P296" s="38">
        <v>103.795253987843</v>
      </c>
      <c r="Q296" s="38" t="str" cm="1">
        <f t="array" ref="Q296">INDEX('MRT station dataset'!$C$3:$C$179, MATCH(MIN(SQRT(('MRT station dataset'!$E$3:$E$179-'Resale flat dataset (DV)'!O296)^2+('MRT station dataset'!$F$3:$F$179-'Resale flat dataset (DV)'!P296)^2)), SQRT(('MRT station dataset'!$E$3:$E$179-'Resale flat dataset (DV)'!O296)^2+('MRT station dataset'!$F$3:$F$179-'Resale flat dataset (DV)'!P296)^2), 0))</f>
        <v>ADMIRALTY MRT STATION</v>
      </c>
      <c r="R296" s="38" t="str" cm="1">
        <f t="array" ref="R296">INDEX('Mall Dataset'!$B$3:$B$157, MATCH(MIN(SQRT(('Mall Dataset'!$E$3:$E$157-'Resale flat dataset (DV)'!O296)^2+('Mall Dataset'!$F$3:$F$157-'Resale flat dataset (DV)'!P296)^2)), SQRT(('Mall Dataset'!$E$3:$E$157-'Resale flat dataset (DV)'!O296)^2+('Mall Dataset'!$F$3:$F$157-'Resale flat dataset (DV)'!P296)^2), 0))</f>
        <v>888 Plaza</v>
      </c>
      <c r="S296" s="38" t="str" cm="1">
        <f t="array" ref="S296">INDEX('Schools dataset'!$B$3:$B$187, MATCH(MIN(SQRT(('Schools dataset'!$J$3:$J$187-'Resale flat dataset (DV)'!O296)^2+('Schools dataset'!$K$3:$K$187-'Resale flat dataset (DV)'!P296)^2)), SQRT(('Schools dataset'!$J$3:$J$187-'Resale flat dataset (DV)'!O296)^2+('Schools dataset'!$K$3:$K$187-'Resale flat dataset (DV)'!P296)^2), 0))</f>
        <v>WOODLANDS RING PRIMARY SCHOOL</v>
      </c>
      <c r="T296" s="39">
        <f>ACOS(COS(RADIANS(90-O296))*COS(RADIANS(90-_xlfn.XLOOKUP(Q296,'MRT station dataset'!$C$3:$C$179,'MRT station dataset'!$E$3:$E$179)))+SIN(RADIANS(90-O296))*SIN(RADIANS(90-_xlfn.XLOOKUP(Q296,'MRT station dataset'!$C$3:$C$179,'MRT station dataset'!$E$3:$E$179)))*COS(RADIANS(P296-_xlfn.XLOOKUP('Resale flat dataset (DV)'!Q296,'MRT station dataset'!$C$3:$C$179,'MRT station dataset'!$F$3:$F$179))))*6371*1000</f>
        <v>832.01317402945983</v>
      </c>
      <c r="U296" s="39">
        <f>ACOS(COS(RADIANS(90-O296))*COS(RADIANS(90-_xlfn.XLOOKUP(R296,'Mall Dataset'!$B$3:$B$157,'Mall Dataset'!$E$3:$E$157,,0)))+SIN(RADIANS(90-O296))*SIN(RADIANS(90-_xlfn.XLOOKUP(R296,'Mall Dataset'!$B$3:$B$157,'Mall Dataset'!$E$3:$E$157,,0)))*COS(RADIANS(P296-_xlfn.XLOOKUP(R296,'Mall Dataset'!$B$3:$B$157,'Mall Dataset'!$F$3:$F$157,,0))))*6371*1000</f>
        <v>146.21888240879866</v>
      </c>
      <c r="V296" s="39">
        <f>ACOS(COS(RADIANS(90-O296))*COS(RADIANS(90-_xlfn.XLOOKUP(S296,'Schools dataset'!$B$3:$B$187,'Schools dataset'!$J$3:$J$187,,0)))+SIN(RADIANS(90-O296))*SIN(RADIANS(90-_xlfn.XLOOKUP(S296,'Schools dataset'!$B$3:$B$187,'Schools dataset'!$J$3:$J$187,,0)))*COS(RADIANS(P296-_xlfn.XLOOKUP(S296,'Schools dataset'!$B$3:$B$187,'Schools dataset'!$K$3:$K$187,,0))))*6371*1000</f>
        <v>262.49781562128339</v>
      </c>
      <c r="W296" s="20">
        <f>_xlfn.XLOOKUP(T296,'HDB Recommender'!$P$10:$P$39,'HDB Recommender'!$Q$10:$Q$39,"&gt;30mins",1)</f>
        <v>12</v>
      </c>
      <c r="X296" s="20">
        <f>_xlfn.XLOOKUP(U296,'HDB Recommender'!$P$10:$P$39,'HDB Recommender'!$Q$10:$Q$39,"&gt;30mins",1)</f>
        <v>2</v>
      </c>
      <c r="Y296" s="20">
        <f>_xlfn.XLOOKUP(V296,'HDB Recommender'!$P$10:$P$39,'HDB Recommender'!$Q$10:$Q$39,"&gt;30mins",1)</f>
        <v>4</v>
      </c>
      <c r="Z296" s="39">
        <f t="shared" si="8"/>
        <v>6</v>
      </c>
      <c r="AA296" s="20" t="str">
        <f t="shared" si="10"/>
        <v>Within 1km</v>
      </c>
    </row>
    <row r="297" spans="2:27">
      <c r="B297" s="35" t="s">
        <v>317</v>
      </c>
      <c r="C297" s="35" t="s">
        <v>805</v>
      </c>
      <c r="D297" s="35" t="s">
        <v>20</v>
      </c>
      <c r="E297" s="35"/>
      <c r="F297" s="35" t="s">
        <v>829</v>
      </c>
      <c r="G297" s="35" t="s">
        <v>323</v>
      </c>
      <c r="H297" s="35">
        <v>91</v>
      </c>
      <c r="I297" s="35" t="s">
        <v>713</v>
      </c>
      <c r="J297" s="36">
        <v>1997</v>
      </c>
      <c r="K297" s="39">
        <v>72.9166666666666</v>
      </c>
      <c r="L297" s="37">
        <v>487000</v>
      </c>
      <c r="M297" s="35" t="s">
        <v>830</v>
      </c>
      <c r="N297" s="27">
        <v>732786</v>
      </c>
      <c r="O297" s="38">
        <v>1.4456879899150099</v>
      </c>
      <c r="P297" s="38">
        <v>103.80069395076001</v>
      </c>
      <c r="Q297" s="38" t="str" cm="1">
        <f t="array" ref="Q297">INDEX('MRT station dataset'!$C$3:$C$179, MATCH(MIN(SQRT(('MRT station dataset'!$E$3:$E$179-'Resale flat dataset (DV)'!O297)^2+('MRT station dataset'!$F$3:$F$179-'Resale flat dataset (DV)'!P297)^2)), SQRT(('MRT station dataset'!$E$3:$E$179-'Resale flat dataset (DV)'!O297)^2+('MRT station dataset'!$F$3:$F$179-'Resale flat dataset (DV)'!P297)^2), 0))</f>
        <v>ADMIRALTY MRT STATION</v>
      </c>
      <c r="R297" s="38" t="str" cm="1">
        <f t="array" ref="R297">INDEX('Mall Dataset'!$B$3:$B$157, MATCH(MIN(SQRT(('Mall Dataset'!$E$3:$E$157-'Resale flat dataset (DV)'!O297)^2+('Mall Dataset'!$F$3:$F$157-'Resale flat dataset (DV)'!P297)^2)), SQRT(('Mall Dataset'!$E$3:$E$157-'Resale flat dataset (DV)'!O297)^2+('Mall Dataset'!$F$3:$F$157-'Resale flat dataset (DV)'!P297)^2), 0))</f>
        <v>Woodlands Mart</v>
      </c>
      <c r="S297" s="38" t="str" cm="1">
        <f t="array" ref="S297">INDEX('Schools dataset'!$B$3:$B$187, MATCH(MIN(SQRT(('Schools dataset'!$J$3:$J$187-'Resale flat dataset (DV)'!O297)^2+('Schools dataset'!$K$3:$K$187-'Resale flat dataset (DV)'!P297)^2)), SQRT(('Schools dataset'!$J$3:$J$187-'Resale flat dataset (DV)'!O297)^2+('Schools dataset'!$K$3:$K$187-'Resale flat dataset (DV)'!P297)^2), 0))</f>
        <v>RIVERSIDE PRIMARY SCHOOL</v>
      </c>
      <c r="T297" s="39">
        <f>ACOS(COS(RADIANS(90-O297))*COS(RADIANS(90-_xlfn.XLOOKUP(Q297,'MRT station dataset'!$C$3:$C$179,'MRT station dataset'!$E$3:$E$179)))+SIN(RADIANS(90-O297))*SIN(RADIANS(90-_xlfn.XLOOKUP(Q297,'MRT station dataset'!$C$3:$C$179,'MRT station dataset'!$E$3:$E$179)))*COS(RADIANS(P297-_xlfn.XLOOKUP('Resale flat dataset (DV)'!Q297,'MRT station dataset'!$C$3:$C$179,'MRT station dataset'!$F$3:$F$179))))*6371*1000</f>
        <v>566.78059292768967</v>
      </c>
      <c r="U297" s="39">
        <f>ACOS(COS(RADIANS(90-O297))*COS(RADIANS(90-_xlfn.XLOOKUP(R297,'Mall Dataset'!$B$3:$B$157,'Mall Dataset'!$E$3:$E$157,,0)))+SIN(RADIANS(90-O297))*SIN(RADIANS(90-_xlfn.XLOOKUP(R297,'Mall Dataset'!$B$3:$B$157,'Mall Dataset'!$E$3:$E$157,,0)))*COS(RADIANS(P297-_xlfn.XLOOKUP(R297,'Mall Dataset'!$B$3:$B$157,'Mall Dataset'!$F$3:$F$157,,0))))*6371*1000</f>
        <v>281.45403602258546</v>
      </c>
      <c r="V297" s="39">
        <f>ACOS(COS(RADIANS(90-O297))*COS(RADIANS(90-_xlfn.XLOOKUP(S297,'Schools dataset'!$B$3:$B$187,'Schools dataset'!$J$3:$J$187,,0)))+SIN(RADIANS(90-O297))*SIN(RADIANS(90-_xlfn.XLOOKUP(S297,'Schools dataset'!$B$3:$B$187,'Schools dataset'!$J$3:$J$187,,0)))*COS(RADIANS(P297-_xlfn.XLOOKUP(S297,'Schools dataset'!$B$3:$B$187,'Schools dataset'!$K$3:$K$187,,0))))*6371*1000</f>
        <v>277.92429684027132</v>
      </c>
      <c r="W297" s="20">
        <f>_xlfn.XLOOKUP(T297,'HDB Recommender'!$P$10:$P$39,'HDB Recommender'!$Q$10:$Q$39,"&gt;30mins",1)</f>
        <v>8</v>
      </c>
      <c r="X297" s="20">
        <f>_xlfn.XLOOKUP(U297,'HDB Recommender'!$P$10:$P$39,'HDB Recommender'!$Q$10:$Q$39,"&gt;30mins",1)</f>
        <v>4</v>
      </c>
      <c r="Y297" s="20">
        <f>_xlfn.XLOOKUP(V297,'HDB Recommender'!$P$10:$P$39,'HDB Recommender'!$Q$10:$Q$39,"&gt;30mins",1)</f>
        <v>4</v>
      </c>
      <c r="Z297" s="39">
        <f t="shared" si="8"/>
        <v>5.333333333333333</v>
      </c>
      <c r="AA297" s="20" t="str">
        <f t="shared" si="10"/>
        <v>Within 1km</v>
      </c>
    </row>
    <row r="298" spans="2:27">
      <c r="B298" s="35" t="s">
        <v>317</v>
      </c>
      <c r="C298" s="35" t="s">
        <v>805</v>
      </c>
      <c r="D298" s="35" t="s">
        <v>20</v>
      </c>
      <c r="E298" s="35">
        <v>769</v>
      </c>
      <c r="F298" s="35" t="s">
        <v>829</v>
      </c>
      <c r="G298" s="35" t="s">
        <v>323</v>
      </c>
      <c r="H298" s="35">
        <v>101</v>
      </c>
      <c r="I298" s="35" t="s">
        <v>335</v>
      </c>
      <c r="J298" s="36">
        <v>1997</v>
      </c>
      <c r="K298" s="39">
        <v>73.25</v>
      </c>
      <c r="L298" s="37">
        <v>495000</v>
      </c>
      <c r="M298" s="35" t="s">
        <v>831</v>
      </c>
      <c r="N298" s="27">
        <v>730769</v>
      </c>
      <c r="O298" s="38">
        <v>1.4472907067512399</v>
      </c>
      <c r="P298" s="38">
        <v>103.798950715823</v>
      </c>
      <c r="Q298" s="38" t="str" cm="1">
        <f t="array" ref="Q298">INDEX('MRT station dataset'!$C$3:$C$179, MATCH(MIN(SQRT(('MRT station dataset'!$E$3:$E$179-'Resale flat dataset (DV)'!O298)^2+('MRT station dataset'!$F$3:$F$179-'Resale flat dataset (DV)'!P298)^2)), SQRT(('MRT station dataset'!$E$3:$E$179-'Resale flat dataset (DV)'!O298)^2+('MRT station dataset'!$F$3:$F$179-'Resale flat dataset (DV)'!P298)^2), 0))</f>
        <v>ADMIRALTY MRT STATION</v>
      </c>
      <c r="R298" s="38" t="str" cm="1">
        <f t="array" ref="R298">INDEX('Mall Dataset'!$B$3:$B$157, MATCH(MIN(SQRT(('Mall Dataset'!$E$3:$E$157-'Resale flat dataset (DV)'!O298)^2+('Mall Dataset'!$F$3:$F$157-'Resale flat dataset (DV)'!P298)^2)), SQRT(('Mall Dataset'!$E$3:$E$157-'Resale flat dataset (DV)'!O298)^2+('Mall Dataset'!$F$3:$F$157-'Resale flat dataset (DV)'!P298)^2), 0))</f>
        <v>Woodlands Mart</v>
      </c>
      <c r="S298" s="38" t="str" cm="1">
        <f t="array" ref="S298">INDEX('Schools dataset'!$B$3:$B$187, MATCH(MIN(SQRT(('Schools dataset'!$J$3:$J$187-'Resale flat dataset (DV)'!O298)^2+('Schools dataset'!$K$3:$K$187-'Resale flat dataset (DV)'!P298)^2)), SQRT(('Schools dataset'!$J$3:$J$187-'Resale flat dataset (DV)'!O298)^2+('Schools dataset'!$K$3:$K$187-'Resale flat dataset (DV)'!P298)^2), 0))</f>
        <v>RIVERSIDE PRIMARY SCHOOL</v>
      </c>
      <c r="T298" s="39">
        <f>ACOS(COS(RADIANS(90-O298))*COS(RADIANS(90-_xlfn.XLOOKUP(Q298,'MRT station dataset'!$C$3:$C$179,'MRT station dataset'!$E$3:$E$179)))+SIN(RADIANS(90-O298))*SIN(RADIANS(90-_xlfn.XLOOKUP(Q298,'MRT station dataset'!$C$3:$C$179,'MRT station dataset'!$E$3:$E$179)))*COS(RADIANS(P298-_xlfn.XLOOKUP('Resale flat dataset (DV)'!Q298,'MRT station dataset'!$C$3:$C$179,'MRT station dataset'!$F$3:$F$179))))*6371*1000</f>
        <v>778.0662406384082</v>
      </c>
      <c r="U298" s="39">
        <f>ACOS(COS(RADIANS(90-O298))*COS(RADIANS(90-_xlfn.XLOOKUP(R298,'Mall Dataset'!$B$3:$B$157,'Mall Dataset'!$E$3:$E$157,,0)))+SIN(RADIANS(90-O298))*SIN(RADIANS(90-_xlfn.XLOOKUP(R298,'Mall Dataset'!$B$3:$B$157,'Mall Dataset'!$E$3:$E$157,,0)))*COS(RADIANS(P298-_xlfn.XLOOKUP(R298,'Mall Dataset'!$B$3:$B$157,'Mall Dataset'!$F$3:$F$157,,0))))*6371*1000</f>
        <v>202.61103214146337</v>
      </c>
      <c r="V298" s="39">
        <f>ACOS(COS(RADIANS(90-O298))*COS(RADIANS(90-_xlfn.XLOOKUP(S298,'Schools dataset'!$B$3:$B$187,'Schools dataset'!$J$3:$J$187,,0)))+SIN(RADIANS(90-O298))*SIN(RADIANS(90-_xlfn.XLOOKUP(S298,'Schools dataset'!$B$3:$B$187,'Schools dataset'!$J$3:$J$187,,0)))*COS(RADIANS(P298-_xlfn.XLOOKUP(S298,'Schools dataset'!$B$3:$B$187,'Schools dataset'!$K$3:$K$187,,0))))*6371*1000</f>
        <v>341.68731776246352</v>
      </c>
      <c r="W298" s="20">
        <f>_xlfn.XLOOKUP(T298,'HDB Recommender'!$P$10:$P$39,'HDB Recommender'!$Q$10:$Q$39,"&gt;30mins",1)</f>
        <v>11</v>
      </c>
      <c r="X298" s="20">
        <f>_xlfn.XLOOKUP(U298,'HDB Recommender'!$P$10:$P$39,'HDB Recommender'!$Q$10:$Q$39,"&gt;30mins",1)</f>
        <v>3</v>
      </c>
      <c r="Y298" s="20">
        <f>_xlfn.XLOOKUP(V298,'HDB Recommender'!$P$10:$P$39,'HDB Recommender'!$Q$10:$Q$39,"&gt;30mins",1)</f>
        <v>5</v>
      </c>
      <c r="Z298" s="39">
        <f t="shared" si="8"/>
        <v>6.333333333333333</v>
      </c>
      <c r="AA298" s="20" t="str">
        <f t="shared" si="10"/>
        <v>Within 1km</v>
      </c>
    </row>
    <row r="299" spans="2:27">
      <c r="B299" s="35" t="s">
        <v>317</v>
      </c>
      <c r="C299" s="35" t="s">
        <v>805</v>
      </c>
      <c r="D299" s="35" t="s">
        <v>20</v>
      </c>
      <c r="E299" s="35"/>
      <c r="F299" s="35" t="s">
        <v>832</v>
      </c>
      <c r="G299" s="35" t="s">
        <v>189</v>
      </c>
      <c r="H299" s="35">
        <v>93</v>
      </c>
      <c r="I299" s="35" t="s">
        <v>335</v>
      </c>
      <c r="J299" s="36">
        <v>2018</v>
      </c>
      <c r="K299" s="39">
        <v>93.8333333333333</v>
      </c>
      <c r="L299" s="37">
        <v>538000</v>
      </c>
      <c r="M299" s="35" t="s">
        <v>833</v>
      </c>
      <c r="N299" s="27">
        <v>733783</v>
      </c>
      <c r="O299" s="38">
        <v>1.4466076324122199</v>
      </c>
      <c r="P299" s="38">
        <v>103.80360504629699</v>
      </c>
      <c r="Q299" s="38" t="str" cm="1">
        <f t="array" ref="Q299">INDEX('MRT station dataset'!$C$3:$C$179, MATCH(MIN(SQRT(('MRT station dataset'!$E$3:$E$179-'Resale flat dataset (DV)'!O299)^2+('MRT station dataset'!$F$3:$F$179-'Resale flat dataset (DV)'!P299)^2)), SQRT(('MRT station dataset'!$E$3:$E$179-'Resale flat dataset (DV)'!O299)^2+('MRT station dataset'!$F$3:$F$179-'Resale flat dataset (DV)'!P299)^2), 0))</f>
        <v>ADMIRALTY MRT STATION</v>
      </c>
      <c r="R299" s="38" t="str" cm="1">
        <f t="array" ref="R299">INDEX('Mall Dataset'!$B$3:$B$157, MATCH(MIN(SQRT(('Mall Dataset'!$E$3:$E$157-'Resale flat dataset (DV)'!O299)^2+('Mall Dataset'!$F$3:$F$157-'Resale flat dataset (DV)'!P299)^2)), SQRT(('Mall Dataset'!$E$3:$E$157-'Resale flat dataset (DV)'!O299)^2+('Mall Dataset'!$F$3:$F$157-'Resale flat dataset (DV)'!P299)^2), 0))</f>
        <v>Woodlands Mart</v>
      </c>
      <c r="S299" s="38" t="str" cm="1">
        <f t="array" ref="S299">INDEX('Schools dataset'!$B$3:$B$187, MATCH(MIN(SQRT(('Schools dataset'!$J$3:$J$187-'Resale flat dataset (DV)'!O299)^2+('Schools dataset'!$K$3:$K$187-'Resale flat dataset (DV)'!P299)^2)), SQRT(('Schools dataset'!$J$3:$J$187-'Resale flat dataset (DV)'!O299)^2+('Schools dataset'!$K$3:$K$187-'Resale flat dataset (DV)'!P299)^2), 0))</f>
        <v>RIVERSIDE PRIMARY SCHOOL</v>
      </c>
      <c r="T299" s="39">
        <f>ACOS(COS(RADIANS(90-O299))*COS(RADIANS(90-_xlfn.XLOOKUP(Q299,'MRT station dataset'!$C$3:$C$179,'MRT station dataset'!$E$3:$E$179)))+SIN(RADIANS(90-O299))*SIN(RADIANS(90-_xlfn.XLOOKUP(Q299,'MRT station dataset'!$C$3:$C$179,'MRT station dataset'!$E$3:$E$179)))*COS(RADIANS(P299-_xlfn.XLOOKUP('Resale flat dataset (DV)'!Q299,'MRT station dataset'!$C$3:$C$179,'MRT station dataset'!$F$3:$F$179))))*6371*1000</f>
        <v>728.08147865065018</v>
      </c>
      <c r="U299" s="39">
        <f>ACOS(COS(RADIANS(90-O299))*COS(RADIANS(90-_xlfn.XLOOKUP(R299,'Mall Dataset'!$B$3:$B$157,'Mall Dataset'!$E$3:$E$157,,0)))+SIN(RADIANS(90-O299))*SIN(RADIANS(90-_xlfn.XLOOKUP(R299,'Mall Dataset'!$B$3:$B$157,'Mall Dataset'!$E$3:$E$157,,0)))*COS(RADIANS(P299-_xlfn.XLOOKUP(R299,'Mall Dataset'!$B$3:$B$157,'Mall Dataset'!$F$3:$F$157,,0))))*6371*1000</f>
        <v>614.35492827128371</v>
      </c>
      <c r="V299" s="39">
        <f>ACOS(COS(RADIANS(90-O299))*COS(RADIANS(90-_xlfn.XLOOKUP(S299,'Schools dataset'!$B$3:$B$187,'Schools dataset'!$J$3:$J$187,,0)))+SIN(RADIANS(90-O299))*SIN(RADIANS(90-_xlfn.XLOOKUP(S299,'Schools dataset'!$B$3:$B$187,'Schools dataset'!$J$3:$J$187,,0)))*COS(RADIANS(P299-_xlfn.XLOOKUP(S299,'Schools dataset'!$B$3:$B$187,'Schools dataset'!$K$3:$K$187,,0))))*6371*1000</f>
        <v>226.64970821598595</v>
      </c>
      <c r="W299" s="20">
        <f>_xlfn.XLOOKUP(T299,'HDB Recommender'!$P$10:$P$39,'HDB Recommender'!$Q$10:$Q$39,"&gt;30mins",1)</f>
        <v>10</v>
      </c>
      <c r="X299" s="20">
        <f>_xlfn.XLOOKUP(U299,'HDB Recommender'!$P$10:$P$39,'HDB Recommender'!$Q$10:$Q$39,"&gt;30mins",1)</f>
        <v>9</v>
      </c>
      <c r="Y299" s="20">
        <f>_xlfn.XLOOKUP(V299,'HDB Recommender'!$P$10:$P$39,'HDB Recommender'!$Q$10:$Q$39,"&gt;30mins",1)</f>
        <v>4</v>
      </c>
      <c r="Z299" s="39">
        <f t="shared" si="8"/>
        <v>7.666666666666667</v>
      </c>
      <c r="AA299" s="20" t="str">
        <f t="shared" si="10"/>
        <v>Within 1km</v>
      </c>
    </row>
    <row r="300" spans="2:27">
      <c r="B300" s="35" t="s">
        <v>317</v>
      </c>
      <c r="C300" s="35" t="s">
        <v>805</v>
      </c>
      <c r="D300" s="35" t="s">
        <v>341</v>
      </c>
      <c r="E300" s="35">
        <v>36</v>
      </c>
      <c r="F300" s="35" t="s">
        <v>806</v>
      </c>
      <c r="G300" s="35" t="s">
        <v>189</v>
      </c>
      <c r="H300" s="35">
        <v>124</v>
      </c>
      <c r="I300" s="35" t="s">
        <v>342</v>
      </c>
      <c r="J300" s="36">
        <v>1978</v>
      </c>
      <c r="K300" s="39">
        <v>53.6666666666666</v>
      </c>
      <c r="L300" s="37">
        <v>460000</v>
      </c>
      <c r="M300" s="35" t="s">
        <v>834</v>
      </c>
      <c r="N300" s="27">
        <v>730036</v>
      </c>
      <c r="O300" s="38">
        <v>1.4453237960488501</v>
      </c>
      <c r="P300" s="38">
        <v>103.77219271243401</v>
      </c>
      <c r="Q300" s="38" t="str" cm="1">
        <f t="array" ref="Q300">INDEX('MRT station dataset'!$C$3:$C$179, MATCH(MIN(SQRT(('MRT station dataset'!$E$3:$E$179-'Resale flat dataset (DV)'!O300)^2+('MRT station dataset'!$F$3:$F$179-'Resale flat dataset (DV)'!P300)^2)), SQRT(('MRT station dataset'!$E$3:$E$179-'Resale flat dataset (DV)'!O300)^2+('MRT station dataset'!$F$3:$F$179-'Resale flat dataset (DV)'!P300)^2), 0))</f>
        <v>MARSILING MRT STATION</v>
      </c>
      <c r="R300" s="38" t="str" cm="1">
        <f t="array" ref="R300">INDEX('Mall Dataset'!$B$3:$B$157, MATCH(MIN(SQRT(('Mall Dataset'!$E$3:$E$157-'Resale flat dataset (DV)'!O300)^2+('Mall Dataset'!$F$3:$F$157-'Resale flat dataset (DV)'!P300)^2)), SQRT(('Mall Dataset'!$E$3:$E$157-'Resale flat dataset (DV)'!O300)^2+('Mall Dataset'!$F$3:$F$157-'Resale flat dataset (DV)'!P300)^2), 0))</f>
        <v>Marsiling Mall</v>
      </c>
      <c r="S300" s="38" t="str" cm="1">
        <f t="array" ref="S300">INDEX('Schools dataset'!$B$3:$B$187, MATCH(MIN(SQRT(('Schools dataset'!$J$3:$J$187-'Resale flat dataset (DV)'!O300)^2+('Schools dataset'!$K$3:$K$187-'Resale flat dataset (DV)'!P300)^2)), SQRT(('Schools dataset'!$J$3:$J$187-'Resale flat dataset (DV)'!O300)^2+('Schools dataset'!$K$3:$K$187-'Resale flat dataset (DV)'!P300)^2), 0))</f>
        <v>MARSILING PRIMARY SCHOOL</v>
      </c>
      <c r="T300" s="39">
        <f>ACOS(COS(RADIANS(90-O300))*COS(RADIANS(90-_xlfn.XLOOKUP(Q300,'MRT station dataset'!$C$3:$C$179,'MRT station dataset'!$E$3:$E$179)))+SIN(RADIANS(90-O300))*SIN(RADIANS(90-_xlfn.XLOOKUP(Q300,'MRT station dataset'!$C$3:$C$179,'MRT station dataset'!$E$3:$E$179)))*COS(RADIANS(P300-_xlfn.XLOOKUP('Resale flat dataset (DV)'!Q300,'MRT station dataset'!$C$3:$C$179,'MRT station dataset'!$F$3:$F$179))))*6371*1000</f>
        <v>1441.6163691693102</v>
      </c>
      <c r="U300" s="39">
        <f>ACOS(COS(RADIANS(90-O300))*COS(RADIANS(90-_xlfn.XLOOKUP(R300,'Mall Dataset'!$B$3:$B$157,'Mall Dataset'!$E$3:$E$157,,0)))+SIN(RADIANS(90-O300))*SIN(RADIANS(90-_xlfn.XLOOKUP(R300,'Mall Dataset'!$B$3:$B$157,'Mall Dataset'!$E$3:$E$157,,0)))*COS(RADIANS(P300-_xlfn.XLOOKUP(R300,'Mall Dataset'!$B$3:$B$157,'Mall Dataset'!$F$3:$F$157,,0))))*6371*1000</f>
        <v>1564.1338462954081</v>
      </c>
      <c r="V300" s="39">
        <f>ACOS(COS(RADIANS(90-O300))*COS(RADIANS(90-_xlfn.XLOOKUP(S300,'Schools dataset'!$B$3:$B$187,'Schools dataset'!$J$3:$J$187,,0)))+SIN(RADIANS(90-O300))*SIN(RADIANS(90-_xlfn.XLOOKUP(S300,'Schools dataset'!$B$3:$B$187,'Schools dataset'!$J$3:$J$187,,0)))*COS(RADIANS(P300-_xlfn.XLOOKUP(S300,'Schools dataset'!$B$3:$B$187,'Schools dataset'!$K$3:$K$187,,0))))*6371*1000</f>
        <v>1277.2019168375064</v>
      </c>
      <c r="W300" s="20">
        <f>_xlfn.XLOOKUP(T300,'HDB Recommender'!$P$10:$P$39,'HDB Recommender'!$Q$10:$Q$39,"&gt;30mins",1)</f>
        <v>20</v>
      </c>
      <c r="X300" s="20">
        <f>_xlfn.XLOOKUP(U300,'HDB Recommender'!$P$10:$P$39,'HDB Recommender'!$Q$10:$Q$39,"&gt;30mins",1)</f>
        <v>21</v>
      </c>
      <c r="Y300" s="20">
        <f>_xlfn.XLOOKUP(V300,'HDB Recommender'!$P$10:$P$39,'HDB Recommender'!$Q$10:$Q$39,"&gt;30mins",1)</f>
        <v>18</v>
      </c>
      <c r="Z300" s="39">
        <f t="shared" si="8"/>
        <v>19.666666666666668</v>
      </c>
      <c r="AA300" s="20" t="str">
        <f t="shared" si="10"/>
        <v>between 1km and 2km</v>
      </c>
    </row>
    <row r="301" spans="2:27">
      <c r="B301" s="35" t="s">
        <v>317</v>
      </c>
      <c r="C301" s="35" t="s">
        <v>805</v>
      </c>
      <c r="D301" s="35" t="s">
        <v>341</v>
      </c>
      <c r="E301" s="35">
        <v>750</v>
      </c>
      <c r="F301" s="35" t="s">
        <v>835</v>
      </c>
      <c r="G301" s="35" t="s">
        <v>189</v>
      </c>
      <c r="H301" s="35">
        <v>122</v>
      </c>
      <c r="I301" s="35" t="s">
        <v>326</v>
      </c>
      <c r="J301" s="36">
        <v>1998</v>
      </c>
      <c r="K301" s="39">
        <v>73.3333333333333</v>
      </c>
      <c r="L301" s="37">
        <v>575000</v>
      </c>
      <c r="M301" s="35" t="s">
        <v>836</v>
      </c>
      <c r="N301" s="27">
        <v>730750</v>
      </c>
      <c r="O301" s="38">
        <v>1.4444230260528199</v>
      </c>
      <c r="P301" s="38">
        <v>103.793883697759</v>
      </c>
      <c r="Q301" s="38" t="str" cm="1">
        <f t="array" ref="Q301">INDEX('MRT station dataset'!$C$3:$C$179, MATCH(MIN(SQRT(('MRT station dataset'!$E$3:$E$179-'Resale flat dataset (DV)'!O301)^2+('MRT station dataset'!$F$3:$F$179-'Resale flat dataset (DV)'!P301)^2)), SQRT(('MRT station dataset'!$E$3:$E$179-'Resale flat dataset (DV)'!O301)^2+('MRT station dataset'!$F$3:$F$179-'Resale flat dataset (DV)'!P301)^2), 0))</f>
        <v>ADMIRALTY MRT STATION</v>
      </c>
      <c r="R301" s="38" t="str" cm="1">
        <f t="array" ref="R301">INDEX('Mall Dataset'!$B$3:$B$157, MATCH(MIN(SQRT(('Mall Dataset'!$E$3:$E$157-'Resale flat dataset (DV)'!O301)^2+('Mall Dataset'!$F$3:$F$157-'Resale flat dataset (DV)'!P301)^2)), SQRT(('Mall Dataset'!$E$3:$E$157-'Resale flat dataset (DV)'!O301)^2+('Mall Dataset'!$F$3:$F$157-'Resale flat dataset (DV)'!P301)^2), 0))</f>
        <v>Woodlands North Plaza</v>
      </c>
      <c r="S301" s="38" t="str" cm="1">
        <f t="array" ref="S301">INDEX('Schools dataset'!$B$3:$B$187, MATCH(MIN(SQRT(('Schools dataset'!$J$3:$J$187-'Resale flat dataset (DV)'!O301)^2+('Schools dataset'!$K$3:$K$187-'Resale flat dataset (DV)'!P301)^2)), SQRT(('Schools dataset'!$J$3:$J$187-'Resale flat dataset (DV)'!O301)^2+('Schools dataset'!$K$3:$K$187-'Resale flat dataset (DV)'!P301)^2), 0))</f>
        <v>EVERGREEN PRIMARY SCHOOL</v>
      </c>
      <c r="T301" s="39">
        <f>ACOS(COS(RADIANS(90-O301))*COS(RADIANS(90-_xlfn.XLOOKUP(Q301,'MRT station dataset'!$C$3:$C$179,'MRT station dataset'!$E$3:$E$179)))+SIN(RADIANS(90-O301))*SIN(RADIANS(90-_xlfn.XLOOKUP(Q301,'MRT station dataset'!$C$3:$C$179,'MRT station dataset'!$E$3:$E$179)))*COS(RADIANS(P301-_xlfn.XLOOKUP('Resale flat dataset (DV)'!Q301,'MRT station dataset'!$C$3:$C$179,'MRT station dataset'!$F$3:$F$179))))*6371*1000</f>
        <v>898.03375156013669</v>
      </c>
      <c r="U301" s="39">
        <f>ACOS(COS(RADIANS(90-O301))*COS(RADIANS(90-_xlfn.XLOOKUP(R301,'Mall Dataset'!$B$3:$B$157,'Mall Dataset'!$E$3:$E$157,,0)))+SIN(RADIANS(90-O301))*SIN(RADIANS(90-_xlfn.XLOOKUP(R301,'Mall Dataset'!$B$3:$B$157,'Mall Dataset'!$E$3:$E$157,,0)))*COS(RADIANS(P301-_xlfn.XLOOKUP(R301,'Mall Dataset'!$B$3:$B$157,'Mall Dataset'!$F$3:$F$157,,0))))*6371*1000</f>
        <v>414.67740332227379</v>
      </c>
      <c r="V301" s="39">
        <f>ACOS(COS(RADIANS(90-O301))*COS(RADIANS(90-_xlfn.XLOOKUP(S301,'Schools dataset'!$B$3:$B$187,'Schools dataset'!$J$3:$J$187,,0)))+SIN(RADIANS(90-O301))*SIN(RADIANS(90-_xlfn.XLOOKUP(S301,'Schools dataset'!$B$3:$B$187,'Schools dataset'!$J$3:$J$187,,0)))*COS(RADIANS(P301-_xlfn.XLOOKUP(S301,'Schools dataset'!$B$3:$B$187,'Schools dataset'!$K$3:$K$187,,0))))*6371*1000</f>
        <v>79.632891415008402</v>
      </c>
      <c r="W301" s="20">
        <f>_xlfn.XLOOKUP(T301,'HDB Recommender'!$P$10:$P$39,'HDB Recommender'!$Q$10:$Q$39,"&gt;30mins",1)</f>
        <v>12</v>
      </c>
      <c r="X301" s="20">
        <f>_xlfn.XLOOKUP(U301,'HDB Recommender'!$P$10:$P$39,'HDB Recommender'!$Q$10:$Q$39,"&gt;30mins",1)</f>
        <v>6</v>
      </c>
      <c r="Y301" s="20">
        <f>_xlfn.XLOOKUP(V301,'HDB Recommender'!$P$10:$P$39,'HDB Recommender'!$Q$10:$Q$39,"&gt;30mins",1)</f>
        <v>2</v>
      </c>
      <c r="Z301" s="39">
        <f t="shared" si="8"/>
        <v>6.666666666666667</v>
      </c>
      <c r="AA301" s="20" t="str">
        <f t="shared" si="10"/>
        <v>Within 1km</v>
      </c>
    </row>
    <row r="302" spans="2:27">
      <c r="B302" s="35" t="s">
        <v>317</v>
      </c>
      <c r="C302" s="35" t="s">
        <v>805</v>
      </c>
      <c r="D302" s="35" t="s">
        <v>341</v>
      </c>
      <c r="E302" s="35">
        <v>766</v>
      </c>
      <c r="F302" s="35" t="s">
        <v>817</v>
      </c>
      <c r="G302" s="35" t="s">
        <v>191</v>
      </c>
      <c r="H302" s="35">
        <v>110</v>
      </c>
      <c r="I302" s="35" t="s">
        <v>326</v>
      </c>
      <c r="J302" s="36">
        <v>2003</v>
      </c>
      <c r="K302" s="39">
        <v>78.8333333333333</v>
      </c>
      <c r="L302" s="37">
        <v>520000</v>
      </c>
      <c r="M302" s="35" t="s">
        <v>837</v>
      </c>
      <c r="N302" s="27">
        <v>730766</v>
      </c>
      <c r="O302" s="38">
        <v>1.4461080937995601</v>
      </c>
      <c r="P302" s="38">
        <v>103.797116575205</v>
      </c>
      <c r="Q302" s="38" t="str" cm="1">
        <f t="array" ref="Q302">INDEX('MRT station dataset'!$C$3:$C$179, MATCH(MIN(SQRT(('MRT station dataset'!$E$3:$E$179-'Resale flat dataset (DV)'!O302)^2+('MRT station dataset'!$F$3:$F$179-'Resale flat dataset (DV)'!P302)^2)), SQRT(('MRT station dataset'!$E$3:$E$179-'Resale flat dataset (DV)'!O302)^2+('MRT station dataset'!$F$3:$F$179-'Resale flat dataset (DV)'!P302)^2), 0))</f>
        <v>ADMIRALTY MRT STATION</v>
      </c>
      <c r="R302" s="38" t="str" cm="1">
        <f t="array" ref="R302">INDEX('Mall Dataset'!$B$3:$B$157, MATCH(MIN(SQRT(('Mall Dataset'!$E$3:$E$157-'Resale flat dataset (DV)'!O302)^2+('Mall Dataset'!$F$3:$F$157-'Resale flat dataset (DV)'!P302)^2)), SQRT(('Mall Dataset'!$E$3:$E$157-'Resale flat dataset (DV)'!O302)^2+('Mall Dataset'!$F$3:$F$157-'Resale flat dataset (DV)'!P302)^2), 0))</f>
        <v>Woodlands Mart</v>
      </c>
      <c r="S302" s="38" t="str" cm="1">
        <f t="array" ref="S302">INDEX('Schools dataset'!$B$3:$B$187, MATCH(MIN(SQRT(('Schools dataset'!$J$3:$J$187-'Resale flat dataset (DV)'!O302)^2+('Schools dataset'!$K$3:$K$187-'Resale flat dataset (DV)'!P302)^2)), SQRT(('Schools dataset'!$J$3:$J$187-'Resale flat dataset (DV)'!O302)^2+('Schools dataset'!$K$3:$K$187-'Resale flat dataset (DV)'!P302)^2), 0))</f>
        <v>EVERGREEN PRIMARY SCHOOL</v>
      </c>
      <c r="T302" s="39">
        <f>ACOS(COS(RADIANS(90-O302))*COS(RADIANS(90-_xlfn.XLOOKUP(Q302,'MRT station dataset'!$C$3:$C$179,'MRT station dataset'!$E$3:$E$179)))+SIN(RADIANS(90-O302))*SIN(RADIANS(90-_xlfn.XLOOKUP(Q302,'MRT station dataset'!$C$3:$C$179,'MRT station dataset'!$E$3:$E$179)))*COS(RADIANS(P302-_xlfn.XLOOKUP('Resale flat dataset (DV)'!Q302,'MRT station dataset'!$C$3:$C$179,'MRT station dataset'!$F$3:$F$179))))*6371*1000</f>
        <v>749.31287478150784</v>
      </c>
      <c r="U302" s="39">
        <f>ACOS(COS(RADIANS(90-O302))*COS(RADIANS(90-_xlfn.XLOOKUP(R302,'Mall Dataset'!$B$3:$B$157,'Mall Dataset'!$E$3:$E$157,,0)))+SIN(RADIANS(90-O302))*SIN(RADIANS(90-_xlfn.XLOOKUP(R302,'Mall Dataset'!$B$3:$B$157,'Mall Dataset'!$E$3:$E$157,,0)))*COS(RADIANS(P302-_xlfn.XLOOKUP(R302,'Mall Dataset'!$B$3:$B$157,'Mall Dataset'!$F$3:$F$157,,0))))*6371*1000</f>
        <v>127.00682456041568</v>
      </c>
      <c r="V302" s="39">
        <f>ACOS(COS(RADIANS(90-O302))*COS(RADIANS(90-_xlfn.XLOOKUP(S302,'Schools dataset'!$B$3:$B$187,'Schools dataset'!$J$3:$J$187,,0)))+SIN(RADIANS(90-O302))*SIN(RADIANS(90-_xlfn.XLOOKUP(S302,'Schools dataset'!$B$3:$B$187,'Schools dataset'!$J$3:$J$187,,0)))*COS(RADIANS(P302-_xlfn.XLOOKUP(S302,'Schools dataset'!$B$3:$B$187,'Schools dataset'!$K$3:$K$187,,0))))*6371*1000</f>
        <v>359.41686348712932</v>
      </c>
      <c r="W302" s="20">
        <f>_xlfn.XLOOKUP(T302,'HDB Recommender'!$P$10:$P$39,'HDB Recommender'!$Q$10:$Q$39,"&gt;30mins",1)</f>
        <v>10</v>
      </c>
      <c r="X302" s="20">
        <f>_xlfn.XLOOKUP(U302,'HDB Recommender'!$P$10:$P$39,'HDB Recommender'!$Q$10:$Q$39,"&gt;30mins",1)</f>
        <v>2</v>
      </c>
      <c r="Y302" s="20">
        <f>_xlfn.XLOOKUP(V302,'HDB Recommender'!$P$10:$P$39,'HDB Recommender'!$Q$10:$Q$39,"&gt;30mins",1)</f>
        <v>5</v>
      </c>
      <c r="Z302" s="39">
        <f t="shared" si="8"/>
        <v>5.666666666666667</v>
      </c>
      <c r="AA302" s="20" t="str">
        <f t="shared" si="10"/>
        <v>Within 1km</v>
      </c>
    </row>
    <row r="303" spans="2:27">
      <c r="B303" s="35" t="s">
        <v>317</v>
      </c>
      <c r="C303" s="35" t="s">
        <v>805</v>
      </c>
      <c r="D303" s="35" t="s">
        <v>341</v>
      </c>
      <c r="E303" s="35">
        <v>777</v>
      </c>
      <c r="F303" s="35" t="s">
        <v>838</v>
      </c>
      <c r="G303" s="35" t="s">
        <v>349</v>
      </c>
      <c r="H303" s="35">
        <v>123</v>
      </c>
      <c r="I303" s="35" t="s">
        <v>326</v>
      </c>
      <c r="J303" s="36">
        <v>1998</v>
      </c>
      <c r="K303" s="39">
        <v>73.3333333333333</v>
      </c>
      <c r="L303" s="37">
        <v>550000</v>
      </c>
      <c r="M303" s="35" t="s">
        <v>839</v>
      </c>
      <c r="N303" s="27">
        <v>730777</v>
      </c>
      <c r="O303" s="38">
        <v>1.4478605930962301</v>
      </c>
      <c r="P303" s="38">
        <v>103.799327953961</v>
      </c>
      <c r="Q303" s="38" t="str" cm="1">
        <f t="array" ref="Q303">INDEX('MRT station dataset'!$C$3:$C$179, MATCH(MIN(SQRT(('MRT station dataset'!$E$3:$E$179-'Resale flat dataset (DV)'!O303)^2+('MRT station dataset'!$F$3:$F$179-'Resale flat dataset (DV)'!P303)^2)), SQRT(('MRT station dataset'!$E$3:$E$179-'Resale flat dataset (DV)'!O303)^2+('MRT station dataset'!$F$3:$F$179-'Resale flat dataset (DV)'!P303)^2), 0))</f>
        <v>ADMIRALTY MRT STATION</v>
      </c>
      <c r="R303" s="38" t="str" cm="1">
        <f t="array" ref="R303">INDEX('Mall Dataset'!$B$3:$B$157, MATCH(MIN(SQRT(('Mall Dataset'!$E$3:$E$157-'Resale flat dataset (DV)'!O303)^2+('Mall Dataset'!$F$3:$F$157-'Resale flat dataset (DV)'!P303)^2)), SQRT(('Mall Dataset'!$E$3:$E$157-'Resale flat dataset (DV)'!O303)^2+('Mall Dataset'!$F$3:$F$157-'Resale flat dataset (DV)'!P303)^2), 0))</f>
        <v>Woodlands Mart</v>
      </c>
      <c r="S303" s="38" t="str" cm="1">
        <f t="array" ref="S303">INDEX('Schools dataset'!$B$3:$B$187, MATCH(MIN(SQRT(('Schools dataset'!$J$3:$J$187-'Resale flat dataset (DV)'!O303)^2+('Schools dataset'!$K$3:$K$187-'Resale flat dataset (DV)'!P303)^2)), SQRT(('Schools dataset'!$J$3:$J$187-'Resale flat dataset (DV)'!O303)^2+('Schools dataset'!$K$3:$K$187-'Resale flat dataset (DV)'!P303)^2), 0))</f>
        <v>RIVERSIDE PRIMARY SCHOOL</v>
      </c>
      <c r="T303" s="39">
        <f>ACOS(COS(RADIANS(90-O303))*COS(RADIANS(90-_xlfn.XLOOKUP(Q303,'MRT station dataset'!$C$3:$C$179,'MRT station dataset'!$E$3:$E$179)))+SIN(RADIANS(90-O303))*SIN(RADIANS(90-_xlfn.XLOOKUP(Q303,'MRT station dataset'!$C$3:$C$179,'MRT station dataset'!$E$3:$E$179)))*COS(RADIANS(P303-_xlfn.XLOOKUP('Resale flat dataset (DV)'!Q303,'MRT station dataset'!$C$3:$C$179,'MRT station dataset'!$F$3:$F$179))))*6371*1000</f>
        <v>828.45947499048793</v>
      </c>
      <c r="U303" s="39">
        <f>ACOS(COS(RADIANS(90-O303))*COS(RADIANS(90-_xlfn.XLOOKUP(R303,'Mall Dataset'!$B$3:$B$157,'Mall Dataset'!$E$3:$E$157,,0)))+SIN(RADIANS(90-O303))*SIN(RADIANS(90-_xlfn.XLOOKUP(R303,'Mall Dataset'!$B$3:$B$157,'Mall Dataset'!$E$3:$E$157,,0)))*COS(RADIANS(P303-_xlfn.XLOOKUP(R303,'Mall Dataset'!$B$3:$B$157,'Mall Dataset'!$F$3:$F$157,,0))))*6371*1000</f>
        <v>278.07757724783124</v>
      </c>
      <c r="V303" s="39">
        <f>ACOS(COS(RADIANS(90-O303))*COS(RADIANS(90-_xlfn.XLOOKUP(S303,'Schools dataset'!$B$3:$B$187,'Schools dataset'!$J$3:$J$187,,0)))+SIN(RADIANS(90-O303))*SIN(RADIANS(90-_xlfn.XLOOKUP(S303,'Schools dataset'!$B$3:$B$187,'Schools dataset'!$J$3:$J$187,,0)))*COS(RADIANS(P303-_xlfn.XLOOKUP(S303,'Schools dataset'!$B$3:$B$187,'Schools dataset'!$K$3:$K$187,,0))))*6371*1000</f>
        <v>294.39203231410517</v>
      </c>
      <c r="W303" s="20">
        <f>_xlfn.XLOOKUP(T303,'HDB Recommender'!$P$10:$P$39,'HDB Recommender'!$Q$10:$Q$39,"&gt;30mins",1)</f>
        <v>12</v>
      </c>
      <c r="X303" s="20">
        <f>_xlfn.XLOOKUP(U303,'HDB Recommender'!$P$10:$P$39,'HDB Recommender'!$Q$10:$Q$39,"&gt;30mins",1)</f>
        <v>4</v>
      </c>
      <c r="Y303" s="20">
        <f>_xlfn.XLOOKUP(V303,'HDB Recommender'!$P$10:$P$39,'HDB Recommender'!$Q$10:$Q$39,"&gt;30mins",1)</f>
        <v>4</v>
      </c>
      <c r="Z303" s="39">
        <f t="shared" si="8"/>
        <v>6.666666666666667</v>
      </c>
      <c r="AA303" s="20" t="str">
        <f t="shared" si="10"/>
        <v>Within 1km</v>
      </c>
    </row>
    <row r="304" spans="2:27">
      <c r="B304" s="35" t="s">
        <v>317</v>
      </c>
      <c r="C304" s="35" t="s">
        <v>805</v>
      </c>
      <c r="D304" s="35" t="s">
        <v>341</v>
      </c>
      <c r="E304" s="35">
        <v>518</v>
      </c>
      <c r="F304" s="35" t="s">
        <v>819</v>
      </c>
      <c r="G304" s="35" t="s">
        <v>184</v>
      </c>
      <c r="H304" s="35">
        <v>126</v>
      </c>
      <c r="I304" s="35" t="s">
        <v>389</v>
      </c>
      <c r="J304" s="36">
        <v>2000</v>
      </c>
      <c r="K304" s="39">
        <v>76</v>
      </c>
      <c r="L304" s="37">
        <v>630000</v>
      </c>
      <c r="M304" s="35" t="s">
        <v>840</v>
      </c>
      <c r="N304" s="27">
        <v>730518</v>
      </c>
      <c r="O304" s="38">
        <v>1.43438159664305</v>
      </c>
      <c r="P304" s="38">
        <v>103.791681037687</v>
      </c>
      <c r="Q304" s="38" t="str" cm="1">
        <f t="array" ref="Q304">INDEX('MRT station dataset'!$C$3:$C$179, MATCH(MIN(SQRT(('MRT station dataset'!$E$3:$E$179-'Resale flat dataset (DV)'!O304)^2+('MRT station dataset'!$F$3:$F$179-'Resale flat dataset (DV)'!P304)^2)), SQRT(('MRT station dataset'!$E$3:$E$179-'Resale flat dataset (DV)'!O304)^2+('MRT station dataset'!$F$3:$F$179-'Resale flat dataset (DV)'!P304)^2), 0))</f>
        <v>WOODLANDS MRT STATION</v>
      </c>
      <c r="R304" s="38" t="str" cm="1">
        <f t="array" ref="R304">INDEX('Mall Dataset'!$B$3:$B$157, MATCH(MIN(SQRT(('Mall Dataset'!$E$3:$E$157-'Resale flat dataset (DV)'!O304)^2+('Mall Dataset'!$F$3:$F$157-'Resale flat dataset (DV)'!P304)^2)), SQRT(('Mall Dataset'!$E$3:$E$157-'Resale flat dataset (DV)'!O304)^2+('Mall Dataset'!$F$3:$F$157-'Resale flat dataset (DV)'!P304)^2), 0))</f>
        <v>Vista Point</v>
      </c>
      <c r="S304" s="38" t="str" cm="1">
        <f t="array" ref="S304">INDEX('Schools dataset'!$B$3:$B$187, MATCH(MIN(SQRT(('Schools dataset'!$J$3:$J$187-'Resale flat dataset (DV)'!O304)^2+('Schools dataset'!$K$3:$K$187-'Resale flat dataset (DV)'!P304)^2)), SQRT(('Schools dataset'!$J$3:$J$187-'Resale flat dataset (DV)'!O304)^2+('Schools dataset'!$K$3:$K$187-'Resale flat dataset (DV)'!P304)^2), 0))</f>
        <v>WOODLANDS PRIMARY SCHOOL</v>
      </c>
      <c r="T304" s="39">
        <f>ACOS(COS(RADIANS(90-O304))*COS(RADIANS(90-_xlfn.XLOOKUP(Q304,'MRT station dataset'!$C$3:$C$179,'MRT station dataset'!$E$3:$E$179)))+SIN(RADIANS(90-O304))*SIN(RADIANS(90-_xlfn.XLOOKUP(Q304,'MRT station dataset'!$C$3:$C$179,'MRT station dataset'!$E$3:$E$179)))*COS(RADIANS(P304-_xlfn.XLOOKUP('Resale flat dataset (DV)'!Q304,'MRT station dataset'!$C$3:$C$179,'MRT station dataset'!$F$3:$F$179))))*6371*1000</f>
        <v>640.3964584834971</v>
      </c>
      <c r="U304" s="39">
        <f>ACOS(COS(RADIANS(90-O304))*COS(RADIANS(90-_xlfn.XLOOKUP(R304,'Mall Dataset'!$B$3:$B$157,'Mall Dataset'!$E$3:$E$157,,0)))+SIN(RADIANS(90-O304))*SIN(RADIANS(90-_xlfn.XLOOKUP(R304,'Mall Dataset'!$B$3:$B$157,'Mall Dataset'!$E$3:$E$157,,0)))*COS(RADIANS(P304-_xlfn.XLOOKUP(R304,'Mall Dataset'!$B$3:$B$157,'Mall Dataset'!$F$3:$F$157,,0))))*6371*1000</f>
        <v>480.72499622086394</v>
      </c>
      <c r="V304" s="39">
        <f>ACOS(COS(RADIANS(90-O304))*COS(RADIANS(90-_xlfn.XLOOKUP(S304,'Schools dataset'!$B$3:$B$187,'Schools dataset'!$J$3:$J$187,,0)))+SIN(RADIANS(90-O304))*SIN(RADIANS(90-_xlfn.XLOOKUP(S304,'Schools dataset'!$B$3:$B$187,'Schools dataset'!$J$3:$J$187,,0)))*COS(RADIANS(P304-_xlfn.XLOOKUP(S304,'Schools dataset'!$B$3:$B$187,'Schools dataset'!$K$3:$K$187,,0))))*6371*1000</f>
        <v>241.54866415185739</v>
      </c>
      <c r="W304" s="20">
        <f>_xlfn.XLOOKUP(T304,'HDB Recommender'!$P$10:$P$39,'HDB Recommender'!$Q$10:$Q$39,"&gt;30mins",1)</f>
        <v>9</v>
      </c>
      <c r="X304" s="20">
        <f>_xlfn.XLOOKUP(U304,'HDB Recommender'!$P$10:$P$39,'HDB Recommender'!$Q$10:$Q$39,"&gt;30mins",1)</f>
        <v>7</v>
      </c>
      <c r="Y304" s="20">
        <f>_xlfn.XLOOKUP(V304,'HDB Recommender'!$P$10:$P$39,'HDB Recommender'!$Q$10:$Q$39,"&gt;30mins",1)</f>
        <v>4</v>
      </c>
      <c r="Z304" s="39">
        <f t="shared" si="8"/>
        <v>6.666666666666667</v>
      </c>
      <c r="AA304" s="20" t="str">
        <f t="shared" si="10"/>
        <v>Within 1km</v>
      </c>
    </row>
    <row r="305" spans="2:27">
      <c r="B305" s="35" t="s">
        <v>317</v>
      </c>
      <c r="C305" s="35" t="s">
        <v>805</v>
      </c>
      <c r="D305" s="35" t="s">
        <v>341</v>
      </c>
      <c r="E305" s="35"/>
      <c r="F305" s="35" t="s">
        <v>825</v>
      </c>
      <c r="G305" s="35" t="s">
        <v>191</v>
      </c>
      <c r="H305" s="35">
        <v>118</v>
      </c>
      <c r="I305" s="35" t="s">
        <v>326</v>
      </c>
      <c r="J305" s="36">
        <v>1997</v>
      </c>
      <c r="K305" s="39">
        <v>73</v>
      </c>
      <c r="L305" s="37">
        <v>560000</v>
      </c>
      <c r="M305" s="35" t="s">
        <v>841</v>
      </c>
      <c r="N305" s="27">
        <v>731896</v>
      </c>
      <c r="O305" s="38">
        <v>1.43692442499246</v>
      </c>
      <c r="P305" s="38">
        <v>103.792568796601</v>
      </c>
      <c r="Q305" s="38" t="str" cm="1">
        <f t="array" ref="Q305">INDEX('MRT station dataset'!$C$3:$C$179, MATCH(MIN(SQRT(('MRT station dataset'!$E$3:$E$179-'Resale flat dataset (DV)'!O305)^2+('MRT station dataset'!$F$3:$F$179-'Resale flat dataset (DV)'!P305)^2)), SQRT(('MRT station dataset'!$E$3:$E$179-'Resale flat dataset (DV)'!O305)^2+('MRT station dataset'!$F$3:$F$179-'Resale flat dataset (DV)'!P305)^2), 0))</f>
        <v>WOODLANDS MRT STATION</v>
      </c>
      <c r="R305" s="38" t="str" cm="1">
        <f t="array" ref="R305">INDEX('Mall Dataset'!$B$3:$B$157, MATCH(MIN(SQRT(('Mall Dataset'!$E$3:$E$157-'Resale flat dataset (DV)'!O305)^2+('Mall Dataset'!$F$3:$F$157-'Resale flat dataset (DV)'!P305)^2)), SQRT(('Mall Dataset'!$E$3:$E$157-'Resale flat dataset (DV)'!O305)^2+('Mall Dataset'!$F$3:$F$157-'Resale flat dataset (DV)'!P305)^2), 0))</f>
        <v>888 Plaza</v>
      </c>
      <c r="S305" s="38" t="str" cm="1">
        <f t="array" ref="S305">INDEX('Schools dataset'!$B$3:$B$187, MATCH(MIN(SQRT(('Schools dataset'!$J$3:$J$187-'Resale flat dataset (DV)'!O305)^2+('Schools dataset'!$K$3:$K$187-'Resale flat dataset (DV)'!P305)^2)), SQRT(('Schools dataset'!$J$3:$J$187-'Resale flat dataset (DV)'!O305)^2+('Schools dataset'!$K$3:$K$187-'Resale flat dataset (DV)'!P305)^2), 0))</f>
        <v>WOODLANDS PRIMARY SCHOOL</v>
      </c>
      <c r="T305" s="39">
        <f>ACOS(COS(RADIANS(90-O305))*COS(RADIANS(90-_xlfn.XLOOKUP(Q305,'MRT station dataset'!$C$3:$C$179,'MRT station dataset'!$E$3:$E$179)))+SIN(RADIANS(90-O305))*SIN(RADIANS(90-_xlfn.XLOOKUP(Q305,'MRT station dataset'!$C$3:$C$179,'MRT station dataset'!$E$3:$E$179)))*COS(RADIANS(P305-_xlfn.XLOOKUP('Resale flat dataset (DV)'!Q305,'MRT station dataset'!$C$3:$C$179,'MRT station dataset'!$F$3:$F$179))))*6371*1000</f>
        <v>674.6126591543225</v>
      </c>
      <c r="U305" s="39">
        <f>ACOS(COS(RADIANS(90-O305))*COS(RADIANS(90-_xlfn.XLOOKUP(R305,'Mall Dataset'!$B$3:$B$157,'Mall Dataset'!$E$3:$E$157,,0)))+SIN(RADIANS(90-O305))*SIN(RADIANS(90-_xlfn.XLOOKUP(R305,'Mall Dataset'!$B$3:$B$157,'Mall Dataset'!$E$3:$E$157,,0)))*COS(RADIANS(P305-_xlfn.XLOOKUP(R305,'Mall Dataset'!$B$3:$B$157,'Mall Dataset'!$F$3:$F$157,,0))))*6371*1000</f>
        <v>306.14823149379646</v>
      </c>
      <c r="V305" s="39">
        <f>ACOS(COS(RADIANS(90-O305))*COS(RADIANS(90-_xlfn.XLOOKUP(S305,'Schools dataset'!$B$3:$B$187,'Schools dataset'!$J$3:$J$187,,0)))+SIN(RADIANS(90-O305))*SIN(RADIANS(90-_xlfn.XLOOKUP(S305,'Schools dataset'!$B$3:$B$187,'Schools dataset'!$J$3:$J$187,,0)))*COS(RADIANS(P305-_xlfn.XLOOKUP(S305,'Schools dataset'!$B$3:$B$187,'Schools dataset'!$K$3:$K$187,,0))))*6371*1000</f>
        <v>118.47658938429362</v>
      </c>
      <c r="W305" s="20">
        <f>_xlfn.XLOOKUP(T305,'HDB Recommender'!$P$10:$P$39,'HDB Recommender'!$Q$10:$Q$39,"&gt;30mins",1)</f>
        <v>9</v>
      </c>
      <c r="X305" s="20">
        <f>_xlfn.XLOOKUP(U305,'HDB Recommender'!$P$10:$P$39,'HDB Recommender'!$Q$10:$Q$39,"&gt;30mins",1)</f>
        <v>5</v>
      </c>
      <c r="Y305" s="20">
        <f>_xlfn.XLOOKUP(V305,'HDB Recommender'!$P$10:$P$39,'HDB Recommender'!$Q$10:$Q$39,"&gt;30mins",1)</f>
        <v>2</v>
      </c>
      <c r="Z305" s="39">
        <f t="shared" si="8"/>
        <v>5.333333333333333</v>
      </c>
      <c r="AA305" s="20" t="str">
        <f t="shared" si="10"/>
        <v>Within 1km</v>
      </c>
    </row>
    <row r="306" spans="2:27">
      <c r="B306" s="35" t="s">
        <v>317</v>
      </c>
      <c r="C306" s="35" t="s">
        <v>805</v>
      </c>
      <c r="D306" s="35" t="s">
        <v>341</v>
      </c>
      <c r="E306" s="35">
        <v>712</v>
      </c>
      <c r="F306" s="35" t="s">
        <v>842</v>
      </c>
      <c r="G306" s="35" t="s">
        <v>191</v>
      </c>
      <c r="H306" s="35">
        <v>119</v>
      </c>
      <c r="I306" s="35" t="s">
        <v>326</v>
      </c>
      <c r="J306" s="36">
        <v>1996</v>
      </c>
      <c r="K306" s="39">
        <v>72.25</v>
      </c>
      <c r="L306" s="37">
        <v>585000</v>
      </c>
      <c r="M306" s="35" t="s">
        <v>843</v>
      </c>
      <c r="N306" s="27">
        <v>730712</v>
      </c>
      <c r="O306" s="38">
        <v>1.4419074118124899</v>
      </c>
      <c r="P306" s="38">
        <v>103.797234182141</v>
      </c>
      <c r="Q306" s="38" t="str" cm="1">
        <f t="array" ref="Q306">INDEX('MRT station dataset'!$C$3:$C$179, MATCH(MIN(SQRT(('MRT station dataset'!$E$3:$E$179-'Resale flat dataset (DV)'!O306)^2+('MRT station dataset'!$F$3:$F$179-'Resale flat dataset (DV)'!P306)^2)), SQRT(('MRT station dataset'!$E$3:$E$179-'Resale flat dataset (DV)'!O306)^2+('MRT station dataset'!$F$3:$F$179-'Resale flat dataset (DV)'!P306)^2), 0))</f>
        <v>ADMIRALTY MRT STATION</v>
      </c>
      <c r="R306" s="38" t="str" cm="1">
        <f t="array" ref="R306">INDEX('Mall Dataset'!$B$3:$B$157, MATCH(MIN(SQRT(('Mall Dataset'!$E$3:$E$157-'Resale flat dataset (DV)'!O306)^2+('Mall Dataset'!$F$3:$F$157-'Resale flat dataset (DV)'!P306)^2)), SQRT(('Mall Dataset'!$E$3:$E$157-'Resale flat dataset (DV)'!O306)^2+('Mall Dataset'!$F$3:$F$157-'Resale flat dataset (DV)'!P306)^2), 0))</f>
        <v>Woodlands Mart</v>
      </c>
      <c r="S306" s="38" t="str" cm="1">
        <f t="array" ref="S306">INDEX('Schools dataset'!$B$3:$B$187, MATCH(MIN(SQRT(('Schools dataset'!$J$3:$J$187-'Resale flat dataset (DV)'!O306)^2+('Schools dataset'!$K$3:$K$187-'Resale flat dataset (DV)'!P306)^2)), SQRT(('Schools dataset'!$J$3:$J$187-'Resale flat dataset (DV)'!O306)^2+('Schools dataset'!$K$3:$K$187-'Resale flat dataset (DV)'!P306)^2), 0))</f>
        <v>ADMIRALTY PRIMARY SCHOOL</v>
      </c>
      <c r="T306" s="39">
        <f>ACOS(COS(RADIANS(90-O306))*COS(RADIANS(90-_xlfn.XLOOKUP(Q306,'MRT station dataset'!$C$3:$C$179,'MRT station dataset'!$E$3:$E$179)))+SIN(RADIANS(90-O306))*SIN(RADIANS(90-_xlfn.XLOOKUP(Q306,'MRT station dataset'!$C$3:$C$179,'MRT station dataset'!$E$3:$E$179)))*COS(RADIANS(P306-_xlfn.XLOOKUP('Resale flat dataset (DV)'!Q306,'MRT station dataset'!$C$3:$C$179,'MRT station dataset'!$F$3:$F$179))))*6371*1000</f>
        <v>443.13289418690329</v>
      </c>
      <c r="U306" s="39">
        <f>ACOS(COS(RADIANS(90-O306))*COS(RADIANS(90-_xlfn.XLOOKUP(R306,'Mall Dataset'!$B$3:$B$157,'Mall Dataset'!$E$3:$E$157,,0)))+SIN(RADIANS(90-O306))*SIN(RADIANS(90-_xlfn.XLOOKUP(R306,'Mall Dataset'!$B$3:$B$157,'Mall Dataset'!$E$3:$E$157,,0)))*COS(RADIANS(P306-_xlfn.XLOOKUP(R306,'Mall Dataset'!$B$3:$B$157,'Mall Dataset'!$F$3:$F$157,,0))))*6371*1000</f>
        <v>428.52421195470214</v>
      </c>
      <c r="V306" s="39">
        <f>ACOS(COS(RADIANS(90-O306))*COS(RADIANS(90-_xlfn.XLOOKUP(S306,'Schools dataset'!$B$3:$B$187,'Schools dataset'!$J$3:$J$187,,0)))+SIN(RADIANS(90-O306))*SIN(RADIANS(90-_xlfn.XLOOKUP(S306,'Schools dataset'!$B$3:$B$187,'Schools dataset'!$J$3:$J$187,,0)))*COS(RADIANS(P306-_xlfn.XLOOKUP(S306,'Schools dataset'!$B$3:$B$187,'Schools dataset'!$K$3:$K$187,,0))))*6371*1000</f>
        <v>338.81181567080978</v>
      </c>
      <c r="W306" s="20">
        <f>_xlfn.XLOOKUP(T306,'HDB Recommender'!$P$10:$P$39,'HDB Recommender'!$Q$10:$Q$39,"&gt;30mins",1)</f>
        <v>6</v>
      </c>
      <c r="X306" s="20">
        <f>_xlfn.XLOOKUP(U306,'HDB Recommender'!$P$10:$P$39,'HDB Recommender'!$Q$10:$Q$39,"&gt;30mins",1)</f>
        <v>6</v>
      </c>
      <c r="Y306" s="20">
        <f>_xlfn.XLOOKUP(V306,'HDB Recommender'!$P$10:$P$39,'HDB Recommender'!$Q$10:$Q$39,"&gt;30mins",1)</f>
        <v>5</v>
      </c>
      <c r="Z306" s="39">
        <f t="shared" si="8"/>
        <v>5.666666666666667</v>
      </c>
      <c r="AA306" s="20" t="str">
        <f t="shared" si="10"/>
        <v>Within 1km</v>
      </c>
    </row>
    <row r="307" spans="2:27">
      <c r="B307" s="35" t="s">
        <v>317</v>
      </c>
      <c r="C307" s="35" t="s">
        <v>805</v>
      </c>
      <c r="D307" s="35" t="s">
        <v>341</v>
      </c>
      <c r="E307" s="35">
        <v>607</v>
      </c>
      <c r="F307" s="35" t="s">
        <v>844</v>
      </c>
      <c r="G307" s="35" t="s">
        <v>184</v>
      </c>
      <c r="H307" s="35">
        <v>120</v>
      </c>
      <c r="I307" s="35" t="s">
        <v>326</v>
      </c>
      <c r="J307" s="36">
        <v>1998</v>
      </c>
      <c r="K307" s="39">
        <v>73.5833333333333</v>
      </c>
      <c r="L307" s="37">
        <v>586000</v>
      </c>
      <c r="M307" s="35" t="s">
        <v>845</v>
      </c>
      <c r="N307" s="27">
        <v>730607</v>
      </c>
      <c r="O307" s="38">
        <v>1.43665492960631</v>
      </c>
      <c r="P307" s="38">
        <v>103.79623146737499</v>
      </c>
      <c r="Q307" s="38" t="str" cm="1">
        <f t="array" ref="Q307">INDEX('MRT station dataset'!$C$3:$C$179, MATCH(MIN(SQRT(('MRT station dataset'!$E$3:$E$179-'Resale flat dataset (DV)'!O307)^2+('MRT station dataset'!$F$3:$F$179-'Resale flat dataset (DV)'!P307)^2)), SQRT(('MRT station dataset'!$E$3:$E$179-'Resale flat dataset (DV)'!O307)^2+('MRT station dataset'!$F$3:$F$179-'Resale flat dataset (DV)'!P307)^2), 0))</f>
        <v>ADMIRALTY MRT STATION</v>
      </c>
      <c r="R307" s="38" t="str" cm="1">
        <f t="array" ref="R307">INDEX('Mall Dataset'!$B$3:$B$157, MATCH(MIN(SQRT(('Mall Dataset'!$E$3:$E$157-'Resale flat dataset (DV)'!O307)^2+('Mall Dataset'!$F$3:$F$157-'Resale flat dataset (DV)'!P307)^2)), SQRT(('Mall Dataset'!$E$3:$E$157-'Resale flat dataset (DV)'!O307)^2+('Mall Dataset'!$F$3:$F$157-'Resale flat dataset (DV)'!P307)^2), 0))</f>
        <v>888 Plaza</v>
      </c>
      <c r="S307" s="38" t="str" cm="1">
        <f t="array" ref="S307">INDEX('Schools dataset'!$B$3:$B$187, MATCH(MIN(SQRT(('Schools dataset'!$J$3:$J$187-'Resale flat dataset (DV)'!O307)^2+('Schools dataset'!$K$3:$K$187-'Resale flat dataset (DV)'!P307)^2)), SQRT(('Schools dataset'!$J$3:$J$187-'Resale flat dataset (DV)'!O307)^2+('Schools dataset'!$K$3:$K$187-'Resale flat dataset (DV)'!P307)^2), 0))</f>
        <v>WOODLANDS RING PRIMARY SCHOOL</v>
      </c>
      <c r="T307" s="39">
        <f>ACOS(COS(RADIANS(90-O307))*COS(RADIANS(90-_xlfn.XLOOKUP(Q307,'MRT station dataset'!$C$3:$C$179,'MRT station dataset'!$E$3:$E$179)))+SIN(RADIANS(90-O307))*SIN(RADIANS(90-_xlfn.XLOOKUP(Q307,'MRT station dataset'!$C$3:$C$179,'MRT station dataset'!$E$3:$E$179)))*COS(RADIANS(P307-_xlfn.XLOOKUP('Resale flat dataset (DV)'!Q307,'MRT station dataset'!$C$3:$C$179,'MRT station dataset'!$F$3:$F$179))))*6371*1000</f>
        <v>688.04552245910088</v>
      </c>
      <c r="U307" s="39">
        <f>ACOS(COS(RADIANS(90-O307))*COS(RADIANS(90-_xlfn.XLOOKUP(R307,'Mall Dataset'!$B$3:$B$157,'Mall Dataset'!$E$3:$E$157,,0)))+SIN(RADIANS(90-O307))*SIN(RADIANS(90-_xlfn.XLOOKUP(R307,'Mall Dataset'!$B$3:$B$157,'Mall Dataset'!$E$3:$E$157,,0)))*COS(RADIANS(P307-_xlfn.XLOOKUP(R307,'Mall Dataset'!$B$3:$B$157,'Mall Dataset'!$F$3:$F$157,,0))))*6371*1000</f>
        <v>114.07039999031232</v>
      </c>
      <c r="V307" s="39">
        <f>ACOS(COS(RADIANS(90-O307))*COS(RADIANS(90-_xlfn.XLOOKUP(S307,'Schools dataset'!$B$3:$B$187,'Schools dataset'!$J$3:$J$187,,0)))+SIN(RADIANS(90-O307))*SIN(RADIANS(90-_xlfn.XLOOKUP(S307,'Schools dataset'!$B$3:$B$187,'Schools dataset'!$J$3:$J$187,,0)))*COS(RADIANS(P307-_xlfn.XLOOKUP(S307,'Schools dataset'!$B$3:$B$187,'Schools dataset'!$K$3:$K$187,,0))))*6371*1000</f>
        <v>239.76927718930253</v>
      </c>
      <c r="W307" s="20">
        <f>_xlfn.XLOOKUP(T307,'HDB Recommender'!$P$10:$P$39,'HDB Recommender'!$Q$10:$Q$39,"&gt;30mins",1)</f>
        <v>10</v>
      </c>
      <c r="X307" s="20">
        <f>_xlfn.XLOOKUP(U307,'HDB Recommender'!$P$10:$P$39,'HDB Recommender'!$Q$10:$Q$39,"&gt;30mins",1)</f>
        <v>2</v>
      </c>
      <c r="Y307" s="20">
        <f>_xlfn.XLOOKUP(V307,'HDB Recommender'!$P$10:$P$39,'HDB Recommender'!$Q$10:$Q$39,"&gt;30mins",1)</f>
        <v>4</v>
      </c>
      <c r="Z307" s="39">
        <f t="shared" si="8"/>
        <v>5.333333333333333</v>
      </c>
      <c r="AA307" s="20" t="str">
        <f t="shared" si="10"/>
        <v>Within 1km</v>
      </c>
    </row>
    <row r="308" spans="2:27">
      <c r="B308" s="35" t="s">
        <v>317</v>
      </c>
      <c r="C308" s="35" t="s">
        <v>805</v>
      </c>
      <c r="D308" s="35" t="s">
        <v>383</v>
      </c>
      <c r="E308" s="35">
        <v>142</v>
      </c>
      <c r="F308" s="35" t="s">
        <v>846</v>
      </c>
      <c r="G308" s="35" t="s">
        <v>349</v>
      </c>
      <c r="H308" s="35">
        <v>173</v>
      </c>
      <c r="I308" s="35" t="s">
        <v>384</v>
      </c>
      <c r="J308" s="36">
        <v>1995</v>
      </c>
      <c r="K308" s="39">
        <v>70.5833333333333</v>
      </c>
      <c r="L308" s="37">
        <v>818000</v>
      </c>
      <c r="M308" s="35" t="s">
        <v>847</v>
      </c>
      <c r="N308" s="27">
        <v>730142</v>
      </c>
      <c r="O308" s="38">
        <v>1.43703348852642</v>
      </c>
      <c r="P308" s="38">
        <v>103.777069314339</v>
      </c>
      <c r="Q308" s="38" t="str" cm="1">
        <f t="array" ref="Q308">INDEX('MRT station dataset'!$C$3:$C$179, MATCH(MIN(SQRT(('MRT station dataset'!$E$3:$E$179-'Resale flat dataset (DV)'!O308)^2+('MRT station dataset'!$F$3:$F$179-'Resale flat dataset (DV)'!P308)^2)), SQRT(('MRT station dataset'!$E$3:$E$179-'Resale flat dataset (DV)'!O308)^2+('MRT station dataset'!$F$3:$F$179-'Resale flat dataset (DV)'!P308)^2), 0))</f>
        <v>MARSILING MRT STATION</v>
      </c>
      <c r="R308" s="38" t="str" cm="1">
        <f t="array" ref="R308">INDEX('Mall Dataset'!$B$3:$B$157, MATCH(MIN(SQRT(('Mall Dataset'!$E$3:$E$157-'Resale flat dataset (DV)'!O308)^2+('Mall Dataset'!$F$3:$F$157-'Resale flat dataset (DV)'!P308)^2)), SQRT(('Mall Dataset'!$E$3:$E$157-'Resale flat dataset (DV)'!O308)^2+('Mall Dataset'!$F$3:$F$157-'Resale flat dataset (DV)'!P308)^2), 0))</f>
        <v>Marsiling Mall</v>
      </c>
      <c r="S308" s="38" t="str" cm="1">
        <f t="array" ref="S308">INDEX('Schools dataset'!$B$3:$B$187, MATCH(MIN(SQRT(('Schools dataset'!$J$3:$J$187-'Resale flat dataset (DV)'!O308)^2+('Schools dataset'!$K$3:$K$187-'Resale flat dataset (DV)'!P308)^2)), SQRT(('Schools dataset'!$J$3:$J$187-'Resale flat dataset (DV)'!O308)^2+('Schools dataset'!$K$3:$K$187-'Resale flat dataset (DV)'!P308)^2), 0))</f>
        <v>MARSILING PRIMARY SCHOOL</v>
      </c>
      <c r="T308" s="39">
        <f>ACOS(COS(RADIANS(90-O308))*COS(RADIANS(90-_xlfn.XLOOKUP(Q308,'MRT station dataset'!$C$3:$C$179,'MRT station dataset'!$E$3:$E$179)))+SIN(RADIANS(90-O308))*SIN(RADIANS(90-_xlfn.XLOOKUP(Q308,'MRT station dataset'!$C$3:$C$179,'MRT station dataset'!$E$3:$E$179)))*COS(RADIANS(P308-_xlfn.XLOOKUP('Resale flat dataset (DV)'!Q308,'MRT station dataset'!$C$3:$C$179,'MRT station dataset'!$F$3:$F$179))))*6371*1000</f>
        <v>602.54742600579368</v>
      </c>
      <c r="U308" s="39">
        <f>ACOS(COS(RADIANS(90-O308))*COS(RADIANS(90-_xlfn.XLOOKUP(R308,'Mall Dataset'!$B$3:$B$157,'Mall Dataset'!$E$3:$E$157,,0)))+SIN(RADIANS(90-O308))*SIN(RADIANS(90-_xlfn.XLOOKUP(R308,'Mall Dataset'!$B$3:$B$157,'Mall Dataset'!$E$3:$E$157,,0)))*COS(RADIANS(P308-_xlfn.XLOOKUP(R308,'Mall Dataset'!$B$3:$B$157,'Mall Dataset'!$F$3:$F$157,,0))))*6371*1000</f>
        <v>498.37006929854908</v>
      </c>
      <c r="V308" s="39">
        <f>ACOS(COS(RADIANS(90-O308))*COS(RADIANS(90-_xlfn.XLOOKUP(S308,'Schools dataset'!$B$3:$B$187,'Schools dataset'!$J$3:$J$187,,0)))+SIN(RADIANS(90-O308))*SIN(RADIANS(90-_xlfn.XLOOKUP(S308,'Schools dataset'!$B$3:$B$187,'Schools dataset'!$J$3:$J$187,,0)))*COS(RADIANS(P308-_xlfn.XLOOKUP(S308,'Schools dataset'!$B$3:$B$187,'Schools dataset'!$K$3:$K$187,,0))))*6371*1000</f>
        <v>514.53607304721288</v>
      </c>
      <c r="W308" s="20">
        <f>_xlfn.XLOOKUP(T308,'HDB Recommender'!$P$10:$P$39,'HDB Recommender'!$Q$10:$Q$39,"&gt;30mins",1)</f>
        <v>9</v>
      </c>
      <c r="X308" s="20">
        <f>_xlfn.XLOOKUP(U308,'HDB Recommender'!$P$10:$P$39,'HDB Recommender'!$Q$10:$Q$39,"&gt;30mins",1)</f>
        <v>7</v>
      </c>
      <c r="Y308" s="20">
        <f>_xlfn.XLOOKUP(V308,'HDB Recommender'!$P$10:$P$39,'HDB Recommender'!$Q$10:$Q$39,"&gt;30mins",1)</f>
        <v>7</v>
      </c>
      <c r="Z308" s="39">
        <f t="shared" si="8"/>
        <v>7.666666666666667</v>
      </c>
      <c r="AA308" s="20" t="str">
        <f t="shared" si="10"/>
        <v>Within 1km</v>
      </c>
    </row>
    <row r="309" spans="2:27">
      <c r="B309" s="35" t="s">
        <v>317</v>
      </c>
      <c r="C309" s="35" t="s">
        <v>848</v>
      </c>
      <c r="D309" s="35" t="s">
        <v>395</v>
      </c>
      <c r="E309" s="35">
        <v>459</v>
      </c>
      <c r="F309" s="35" t="s">
        <v>849</v>
      </c>
      <c r="G309" s="35" t="s">
        <v>191</v>
      </c>
      <c r="H309" s="35">
        <v>48</v>
      </c>
      <c r="I309" s="35" t="s">
        <v>335</v>
      </c>
      <c r="J309" s="36">
        <v>2013</v>
      </c>
      <c r="K309" s="39">
        <v>88.9166666666666</v>
      </c>
      <c r="L309" s="37">
        <v>315000</v>
      </c>
      <c r="M309" s="35" t="s">
        <v>850</v>
      </c>
      <c r="N309" s="27">
        <v>760459</v>
      </c>
      <c r="O309" s="38">
        <v>1.42103574926841</v>
      </c>
      <c r="P309" s="38">
        <v>103.846333547036</v>
      </c>
      <c r="Q309" s="38" t="str" cm="1">
        <f t="array" ref="Q309">INDEX('MRT station dataset'!$C$3:$C$179, MATCH(MIN(SQRT(('MRT station dataset'!$E$3:$E$179-'Resale flat dataset (DV)'!O309)^2+('MRT station dataset'!$F$3:$F$179-'Resale flat dataset (DV)'!P309)^2)), SQRT(('MRT station dataset'!$E$3:$E$179-'Resale flat dataset (DV)'!O309)^2+('MRT station dataset'!$F$3:$F$179-'Resale flat dataset (DV)'!P309)^2), 0))</f>
        <v>KHATIB MRT STATION</v>
      </c>
      <c r="R309" s="38" t="str" cm="1">
        <f t="array" ref="R309">INDEX('Mall Dataset'!$B$3:$B$157, MATCH(MIN(SQRT(('Mall Dataset'!$E$3:$E$157-'Resale flat dataset (DV)'!O309)^2+('Mall Dataset'!$F$3:$F$157-'Resale flat dataset (DV)'!P309)^2)), SQRT(('Mall Dataset'!$E$3:$E$157-'Resale flat dataset (DV)'!O309)^2+('Mall Dataset'!$F$3:$F$157-'Resale flat dataset (DV)'!P309)^2), 0))</f>
        <v>Wisteria Mall</v>
      </c>
      <c r="S309" s="38" t="str" cm="1">
        <f t="array" ref="S309">INDEX('Schools dataset'!$B$3:$B$187, MATCH(MIN(SQRT(('Schools dataset'!$J$3:$J$187-'Resale flat dataset (DV)'!O309)^2+('Schools dataset'!$K$3:$K$187-'Resale flat dataset (DV)'!P309)^2)), SQRT(('Schools dataset'!$J$3:$J$187-'Resale flat dataset (DV)'!O309)^2+('Schools dataset'!$K$3:$K$187-'Resale flat dataset (DV)'!P309)^2), 0))</f>
        <v>NORTHLAND PRIMARY SCHOOL</v>
      </c>
      <c r="T309" s="39">
        <f>ACOS(COS(RADIANS(90-O309))*COS(RADIANS(90-_xlfn.XLOOKUP(Q309,'MRT station dataset'!$C$3:$C$179,'MRT station dataset'!$E$3:$E$179)))+SIN(RADIANS(90-O309))*SIN(RADIANS(90-_xlfn.XLOOKUP(Q309,'MRT station dataset'!$C$3:$C$179,'MRT station dataset'!$E$3:$E$179)))*COS(RADIANS(P309-_xlfn.XLOOKUP('Resale flat dataset (DV)'!Q309,'MRT station dataset'!$C$3:$C$179,'MRT station dataset'!$F$3:$F$179))))*6371*1000</f>
        <v>1536.3143242927986</v>
      </c>
      <c r="U309" s="39">
        <f>ACOS(COS(RADIANS(90-O309))*COS(RADIANS(90-_xlfn.XLOOKUP(R309,'Mall Dataset'!$B$3:$B$157,'Mall Dataset'!$E$3:$E$157,,0)))+SIN(RADIANS(90-O309))*SIN(RADIANS(90-_xlfn.XLOOKUP(R309,'Mall Dataset'!$B$3:$B$157,'Mall Dataset'!$E$3:$E$157,,0)))*COS(RADIANS(P309-_xlfn.XLOOKUP(R309,'Mall Dataset'!$B$3:$B$157,'Mall Dataset'!$F$3:$F$157,,0))))*6371*1000</f>
        <v>652.41993015650053</v>
      </c>
      <c r="V309" s="39">
        <f>ACOS(COS(RADIANS(90-O309))*COS(RADIANS(90-_xlfn.XLOOKUP(S309,'Schools dataset'!$B$3:$B$187,'Schools dataset'!$J$3:$J$187,,0)))+SIN(RADIANS(90-O309))*SIN(RADIANS(90-_xlfn.XLOOKUP(S309,'Schools dataset'!$B$3:$B$187,'Schools dataset'!$J$3:$J$187,,0)))*COS(RADIANS(P309-_xlfn.XLOOKUP(S309,'Schools dataset'!$B$3:$B$187,'Schools dataset'!$K$3:$K$187,,0))))*6371*1000</f>
        <v>616.62181795275626</v>
      </c>
      <c r="W309" s="20">
        <f>_xlfn.XLOOKUP(T309,'HDB Recommender'!$P$10:$P$39,'HDB Recommender'!$Q$10:$Q$39,"&gt;30mins",1)</f>
        <v>21</v>
      </c>
      <c r="X309" s="20">
        <f>_xlfn.XLOOKUP(U309,'HDB Recommender'!$P$10:$P$39,'HDB Recommender'!$Q$10:$Q$39,"&gt;30mins",1)</f>
        <v>9</v>
      </c>
      <c r="Y309" s="20">
        <f>_xlfn.XLOOKUP(V309,'HDB Recommender'!$P$10:$P$39,'HDB Recommender'!$Q$10:$Q$39,"&gt;30mins",1)</f>
        <v>9</v>
      </c>
      <c r="Z309" s="39">
        <f t="shared" si="8"/>
        <v>13</v>
      </c>
      <c r="AA309" s="20" t="str">
        <f t="shared" si="10"/>
        <v>Within 1km</v>
      </c>
    </row>
    <row r="310" spans="2:27">
      <c r="B310" s="35" t="s">
        <v>317</v>
      </c>
      <c r="C310" s="35" t="s">
        <v>848</v>
      </c>
      <c r="D310" s="35" t="s">
        <v>318</v>
      </c>
      <c r="E310" s="35"/>
      <c r="F310" s="35" t="s">
        <v>851</v>
      </c>
      <c r="G310" s="35" t="s">
        <v>323</v>
      </c>
      <c r="H310" s="35">
        <v>68</v>
      </c>
      <c r="I310" s="35" t="s">
        <v>335</v>
      </c>
      <c r="J310" s="36">
        <v>2018</v>
      </c>
      <c r="K310" s="39">
        <v>93.3333333333333</v>
      </c>
      <c r="L310" s="37">
        <v>435000</v>
      </c>
      <c r="M310" s="35" t="s">
        <v>852</v>
      </c>
      <c r="N310" s="27">
        <v>763672</v>
      </c>
      <c r="O310" s="38">
        <v>1.41836093867258</v>
      </c>
      <c r="P310" s="38">
        <v>103.842650670571</v>
      </c>
      <c r="Q310" s="38" t="str" cm="1">
        <f t="array" ref="Q310">INDEX('MRT station dataset'!$C$3:$C$179, MATCH(MIN(SQRT(('MRT station dataset'!$E$3:$E$179-'Resale flat dataset (DV)'!O310)^2+('MRT station dataset'!$F$3:$F$179-'Resale flat dataset (DV)'!P310)^2)), SQRT(('MRT station dataset'!$E$3:$E$179-'Resale flat dataset (DV)'!O310)^2+('MRT station dataset'!$F$3:$F$179-'Resale flat dataset (DV)'!P310)^2), 0))</f>
        <v>KHATIB MRT STATION</v>
      </c>
      <c r="R310" s="38" t="str" cm="1">
        <f t="array" ref="R310">INDEX('Mall Dataset'!$B$3:$B$157, MATCH(MIN(SQRT(('Mall Dataset'!$E$3:$E$157-'Resale flat dataset (DV)'!O310)^2+('Mall Dataset'!$F$3:$F$157-'Resale flat dataset (DV)'!P310)^2)), SQRT(('Mall Dataset'!$E$3:$E$157-'Resale flat dataset (DV)'!O310)^2+('Mall Dataset'!$F$3:$F$157-'Resale flat dataset (DV)'!P310)^2), 0))</f>
        <v>Wisteria Mall</v>
      </c>
      <c r="S310" s="38" t="str" cm="1">
        <f t="array" ref="S310">INDEX('Schools dataset'!$B$3:$B$187, MATCH(MIN(SQRT(('Schools dataset'!$J$3:$J$187-'Resale flat dataset (DV)'!O310)^2+('Schools dataset'!$K$3:$K$187-'Resale flat dataset (DV)'!P310)^2)), SQRT(('Schools dataset'!$J$3:$J$187-'Resale flat dataset (DV)'!O310)^2+('Schools dataset'!$K$3:$K$187-'Resale flat dataset (DV)'!P310)^2), 0))</f>
        <v>NORTHLAND PRIMARY SCHOOL</v>
      </c>
      <c r="T310" s="39">
        <f>ACOS(COS(RADIANS(90-O310))*COS(RADIANS(90-_xlfn.XLOOKUP(Q310,'MRT station dataset'!$C$3:$C$179,'MRT station dataset'!$E$3:$E$179)))+SIN(RADIANS(90-O310))*SIN(RADIANS(90-_xlfn.XLOOKUP(Q310,'MRT station dataset'!$C$3:$C$179,'MRT station dataset'!$E$3:$E$179)))*COS(RADIANS(P310-_xlfn.XLOOKUP('Resale flat dataset (DV)'!Q310,'MRT station dataset'!$C$3:$C$179,'MRT station dataset'!$F$3:$F$179))))*6371*1000</f>
        <v>1078.085257527272</v>
      </c>
      <c r="U310" s="39">
        <f>ACOS(COS(RADIANS(90-O310))*COS(RADIANS(90-_xlfn.XLOOKUP(R310,'Mall Dataset'!$B$3:$B$157,'Mall Dataset'!$E$3:$E$157,,0)))+SIN(RADIANS(90-O310))*SIN(RADIANS(90-_xlfn.XLOOKUP(R310,'Mall Dataset'!$B$3:$B$157,'Mall Dataset'!$E$3:$E$157,,0)))*COS(RADIANS(P310-_xlfn.XLOOKUP(R310,'Mall Dataset'!$B$3:$B$157,'Mall Dataset'!$F$3:$F$157,,0))))*6371*1000</f>
        <v>153.8606858350573</v>
      </c>
      <c r="V310" s="39">
        <f>ACOS(COS(RADIANS(90-O310))*COS(RADIANS(90-_xlfn.XLOOKUP(S310,'Schools dataset'!$B$3:$B$187,'Schools dataset'!$J$3:$J$187,,0)))+SIN(RADIANS(90-O310))*SIN(RADIANS(90-_xlfn.XLOOKUP(S310,'Schools dataset'!$B$3:$B$187,'Schools dataset'!$J$3:$J$187,,0)))*COS(RADIANS(P310-_xlfn.XLOOKUP(S310,'Schools dataset'!$B$3:$B$187,'Schools dataset'!$K$3:$K$187,,0))))*6371*1000</f>
        <v>386.96730283781176</v>
      </c>
      <c r="W310" s="20">
        <f>_xlfn.XLOOKUP(T310,'HDB Recommender'!$P$10:$P$39,'HDB Recommender'!$Q$10:$Q$39,"&gt;30mins",1)</f>
        <v>15</v>
      </c>
      <c r="X310" s="20">
        <f>_xlfn.XLOOKUP(U310,'HDB Recommender'!$P$10:$P$39,'HDB Recommender'!$Q$10:$Q$39,"&gt;30mins",1)</f>
        <v>3</v>
      </c>
      <c r="Y310" s="20">
        <f>_xlfn.XLOOKUP(V310,'HDB Recommender'!$P$10:$P$39,'HDB Recommender'!$Q$10:$Q$39,"&gt;30mins",1)</f>
        <v>6</v>
      </c>
      <c r="Z310" s="39">
        <f t="shared" si="8"/>
        <v>8</v>
      </c>
      <c r="AA310" s="20" t="str">
        <f t="shared" si="10"/>
        <v>Within 1km</v>
      </c>
    </row>
    <row r="311" spans="2:27">
      <c r="B311" s="35" t="s">
        <v>317</v>
      </c>
      <c r="C311" s="35" t="s">
        <v>848</v>
      </c>
      <c r="D311" s="35" t="s">
        <v>318</v>
      </c>
      <c r="E311" s="35">
        <v>116</v>
      </c>
      <c r="F311" s="35" t="s">
        <v>853</v>
      </c>
      <c r="G311" s="35" t="s">
        <v>349</v>
      </c>
      <c r="H311" s="35">
        <v>74</v>
      </c>
      <c r="I311" s="35" t="s">
        <v>335</v>
      </c>
      <c r="J311" s="36">
        <v>1983</v>
      </c>
      <c r="K311" s="39">
        <v>58.75</v>
      </c>
      <c r="L311" s="37">
        <v>360000</v>
      </c>
      <c r="M311" s="35" t="s">
        <v>854</v>
      </c>
      <c r="N311" s="27">
        <v>760116</v>
      </c>
      <c r="O311" s="38">
        <v>1.4350275024905199</v>
      </c>
      <c r="P311" s="38">
        <v>103.82813490143</v>
      </c>
      <c r="Q311" s="38" t="str" cm="1">
        <f t="array" ref="Q311">INDEX('MRT station dataset'!$C$3:$C$179, MATCH(MIN(SQRT(('MRT station dataset'!$E$3:$E$179-'Resale flat dataset (DV)'!O311)^2+('MRT station dataset'!$F$3:$F$179-'Resale flat dataset (DV)'!P311)^2)), SQRT(('MRT station dataset'!$E$3:$E$179-'Resale flat dataset (DV)'!O311)^2+('MRT station dataset'!$F$3:$F$179-'Resale flat dataset (DV)'!P311)^2), 0))</f>
        <v>CANBERRA MRT STATION</v>
      </c>
      <c r="R311" s="38" t="str" cm="1">
        <f t="array" ref="R311">INDEX('Mall Dataset'!$B$3:$B$157, MATCH(MIN(SQRT(('Mall Dataset'!$E$3:$E$157-'Resale flat dataset (DV)'!O311)^2+('Mall Dataset'!$F$3:$F$157-'Resale flat dataset (DV)'!P311)^2)), SQRT(('Mall Dataset'!$E$3:$E$157-'Resale flat dataset (DV)'!O311)^2+('Mall Dataset'!$F$3:$F$157-'Resale flat dataset (DV)'!P311)^2), 0))</f>
        <v>Sembawang Shopping Centre</v>
      </c>
      <c r="S311" s="38" t="str" cm="1">
        <f t="array" ref="S311">INDEX('Schools dataset'!$B$3:$B$187, MATCH(MIN(SQRT(('Schools dataset'!$J$3:$J$187-'Resale flat dataset (DV)'!O311)^2+('Schools dataset'!$K$3:$K$187-'Resale flat dataset (DV)'!P311)^2)), SQRT(('Schools dataset'!$J$3:$J$187-'Resale flat dataset (DV)'!O311)^2+('Schools dataset'!$K$3:$K$187-'Resale flat dataset (DV)'!P311)^2), 0))</f>
        <v>AHMAD IBRAHIM PRIMARY SCHOOL</v>
      </c>
      <c r="T311" s="39">
        <f>ACOS(COS(RADIANS(90-O311))*COS(RADIANS(90-_xlfn.XLOOKUP(Q311,'MRT station dataset'!$C$3:$C$179,'MRT station dataset'!$E$3:$E$179)))+SIN(RADIANS(90-O311))*SIN(RADIANS(90-_xlfn.XLOOKUP(Q311,'MRT station dataset'!$C$3:$C$179,'MRT station dataset'!$E$3:$E$179)))*COS(RADIANS(P311-_xlfn.XLOOKUP('Resale flat dataset (DV)'!Q311,'MRT station dataset'!$C$3:$C$179,'MRT station dataset'!$F$3:$F$179))))*6371*1000</f>
        <v>914.32529567330789</v>
      </c>
      <c r="U311" s="39">
        <f>ACOS(COS(RADIANS(90-O311))*COS(RADIANS(90-_xlfn.XLOOKUP(R311,'Mall Dataset'!$B$3:$B$157,'Mall Dataset'!$E$3:$E$157,,0)))+SIN(RADIANS(90-O311))*SIN(RADIANS(90-_xlfn.XLOOKUP(R311,'Mall Dataset'!$B$3:$B$157,'Mall Dataset'!$E$3:$E$157,,0)))*COS(RADIANS(P311-_xlfn.XLOOKUP(R311,'Mall Dataset'!$B$3:$B$157,'Mall Dataset'!$F$3:$F$157,,0))))*6371*1000</f>
        <v>843.1069073664072</v>
      </c>
      <c r="V311" s="39">
        <f>ACOS(COS(RADIANS(90-O311))*COS(RADIANS(90-_xlfn.XLOOKUP(S311,'Schools dataset'!$B$3:$B$187,'Schools dataset'!$J$3:$J$187,,0)))+SIN(RADIANS(90-O311))*SIN(RADIANS(90-_xlfn.XLOOKUP(S311,'Schools dataset'!$B$3:$B$187,'Schools dataset'!$J$3:$J$187,,0)))*COS(RADIANS(P311-_xlfn.XLOOKUP(S311,'Schools dataset'!$B$3:$B$187,'Schools dataset'!$K$3:$K$187,,0))))*6371*1000</f>
        <v>573.62359728900071</v>
      </c>
      <c r="W311" s="20">
        <f>_xlfn.XLOOKUP(T311,'HDB Recommender'!$P$10:$P$39,'HDB Recommender'!$Q$10:$Q$39,"&gt;30mins",1)</f>
        <v>13</v>
      </c>
      <c r="X311" s="20">
        <f>_xlfn.XLOOKUP(U311,'HDB Recommender'!$P$10:$P$39,'HDB Recommender'!$Q$10:$Q$39,"&gt;30mins",1)</f>
        <v>12</v>
      </c>
      <c r="Y311" s="20">
        <f>_xlfn.XLOOKUP(V311,'HDB Recommender'!$P$10:$P$39,'HDB Recommender'!$Q$10:$Q$39,"&gt;30mins",1)</f>
        <v>8</v>
      </c>
      <c r="Z311" s="39">
        <f t="shared" si="8"/>
        <v>11</v>
      </c>
      <c r="AA311" s="20" t="str">
        <f t="shared" si="10"/>
        <v>Within 1km</v>
      </c>
    </row>
    <row r="312" spans="2:27">
      <c r="B312" s="35" t="s">
        <v>317</v>
      </c>
      <c r="C312" s="35" t="s">
        <v>848</v>
      </c>
      <c r="D312" s="35" t="s">
        <v>318</v>
      </c>
      <c r="E312" s="35">
        <v>621</v>
      </c>
      <c r="F312" s="35" t="s">
        <v>853</v>
      </c>
      <c r="G312" s="35" t="s">
        <v>189</v>
      </c>
      <c r="H312" s="35">
        <v>73</v>
      </c>
      <c r="I312" s="35" t="s">
        <v>335</v>
      </c>
      <c r="J312" s="36">
        <v>1988</v>
      </c>
      <c r="K312" s="39">
        <v>63.4166666666666</v>
      </c>
      <c r="L312" s="37">
        <v>373000</v>
      </c>
      <c r="M312" s="35" t="s">
        <v>855</v>
      </c>
      <c r="N312" s="27">
        <v>760621</v>
      </c>
      <c r="O312" s="38">
        <v>1.41866701105824</v>
      </c>
      <c r="P312" s="38">
        <v>103.835186975512</v>
      </c>
      <c r="Q312" s="38" t="str" cm="1">
        <f t="array" ref="Q312">INDEX('MRT station dataset'!$C$3:$C$179, MATCH(MIN(SQRT(('MRT station dataset'!$E$3:$E$179-'Resale flat dataset (DV)'!O312)^2+('MRT station dataset'!$F$3:$F$179-'Resale flat dataset (DV)'!P312)^2)), SQRT(('MRT station dataset'!$E$3:$E$179-'Resale flat dataset (DV)'!O312)^2+('MRT station dataset'!$F$3:$F$179-'Resale flat dataset (DV)'!P312)^2), 0))</f>
        <v>KHATIB MRT STATION</v>
      </c>
      <c r="R312" s="38" t="str" cm="1">
        <f t="array" ref="R312">INDEX('Mall Dataset'!$B$3:$B$157, MATCH(MIN(SQRT(('Mall Dataset'!$E$3:$E$157-'Resale flat dataset (DV)'!O312)^2+('Mall Dataset'!$F$3:$F$157-'Resale flat dataset (DV)'!P312)^2)), SQRT(('Mall Dataset'!$E$3:$E$157-'Resale flat dataset (DV)'!O312)^2+('Mall Dataset'!$F$3:$F$157-'Resale flat dataset (DV)'!P312)^2), 0))</f>
        <v>Wisteria Mall</v>
      </c>
      <c r="S312" s="38" t="str" cm="1">
        <f t="array" ref="S312">INDEX('Schools dataset'!$B$3:$B$187, MATCH(MIN(SQRT(('Schools dataset'!$J$3:$J$187-'Resale flat dataset (DV)'!O312)^2+('Schools dataset'!$K$3:$K$187-'Resale flat dataset (DV)'!P312)^2)), SQRT(('Schools dataset'!$J$3:$J$187-'Resale flat dataset (DV)'!O312)^2+('Schools dataset'!$K$3:$K$187-'Resale flat dataset (DV)'!P312)^2), 0))</f>
        <v>NAVAL BASE PRIMARY SCHOOL</v>
      </c>
      <c r="T312" s="39">
        <f>ACOS(COS(RADIANS(90-O312))*COS(RADIANS(90-_xlfn.XLOOKUP(Q312,'MRT station dataset'!$C$3:$C$179,'MRT station dataset'!$E$3:$E$179)))+SIN(RADIANS(90-O312))*SIN(RADIANS(90-_xlfn.XLOOKUP(Q312,'MRT station dataset'!$C$3:$C$179,'MRT station dataset'!$E$3:$E$179)))*COS(RADIANS(P312-_xlfn.XLOOKUP('Resale flat dataset (DV)'!Q312,'MRT station dataset'!$C$3:$C$179,'MRT station dataset'!$F$3:$F$179))))*6371*1000</f>
        <v>280.97903768801814</v>
      </c>
      <c r="U312" s="39">
        <f>ACOS(COS(RADIANS(90-O312))*COS(RADIANS(90-_xlfn.XLOOKUP(R312,'Mall Dataset'!$B$3:$B$157,'Mall Dataset'!$E$3:$E$157,,0)))+SIN(RADIANS(90-O312))*SIN(RADIANS(90-_xlfn.XLOOKUP(R312,'Mall Dataset'!$B$3:$B$157,'Mall Dataset'!$E$3:$E$157,,0)))*COS(RADIANS(P312-_xlfn.XLOOKUP(R312,'Mall Dataset'!$B$3:$B$157,'Mall Dataset'!$F$3:$F$157,,0))))*6371*1000</f>
        <v>685.60059835792458</v>
      </c>
      <c r="V312" s="39">
        <f>ACOS(COS(RADIANS(90-O312))*COS(RADIANS(90-_xlfn.XLOOKUP(S312,'Schools dataset'!$B$3:$B$187,'Schools dataset'!$J$3:$J$187,,0)))+SIN(RADIANS(90-O312))*SIN(RADIANS(90-_xlfn.XLOOKUP(S312,'Schools dataset'!$B$3:$B$187,'Schools dataset'!$J$3:$J$187,,0)))*COS(RADIANS(P312-_xlfn.XLOOKUP(S312,'Schools dataset'!$B$3:$B$187,'Schools dataset'!$K$3:$K$187,,0))))*6371*1000</f>
        <v>532.72158949007849</v>
      </c>
      <c r="W312" s="20">
        <f>_xlfn.XLOOKUP(T312,'HDB Recommender'!$P$10:$P$39,'HDB Recommender'!$Q$10:$Q$39,"&gt;30mins",1)</f>
        <v>4</v>
      </c>
      <c r="X312" s="20">
        <f>_xlfn.XLOOKUP(U312,'HDB Recommender'!$P$10:$P$39,'HDB Recommender'!$Q$10:$Q$39,"&gt;30mins",1)</f>
        <v>10</v>
      </c>
      <c r="Y312" s="20">
        <f>_xlfn.XLOOKUP(V312,'HDB Recommender'!$P$10:$P$39,'HDB Recommender'!$Q$10:$Q$39,"&gt;30mins",1)</f>
        <v>8</v>
      </c>
      <c r="Z312" s="39">
        <f t="shared" si="8"/>
        <v>7.333333333333333</v>
      </c>
      <c r="AA312" s="20" t="str">
        <f t="shared" si="10"/>
        <v>Within 1km</v>
      </c>
    </row>
    <row r="313" spans="2:27">
      <c r="B313" s="35" t="s">
        <v>317</v>
      </c>
      <c r="C313" s="35" t="s">
        <v>848</v>
      </c>
      <c r="D313" s="35" t="s">
        <v>20</v>
      </c>
      <c r="E313" s="35">
        <v>419</v>
      </c>
      <c r="F313" s="35" t="s">
        <v>849</v>
      </c>
      <c r="G313" s="35" t="s">
        <v>189</v>
      </c>
      <c r="H313" s="35">
        <v>104</v>
      </c>
      <c r="I313" s="35" t="s">
        <v>335</v>
      </c>
      <c r="J313" s="36">
        <v>1993</v>
      </c>
      <c r="K313" s="39">
        <v>68.4166666666666</v>
      </c>
      <c r="L313" s="37">
        <v>450000</v>
      </c>
      <c r="M313" s="35" t="s">
        <v>856</v>
      </c>
      <c r="N313" s="27">
        <v>760419</v>
      </c>
      <c r="O313" s="38">
        <v>1.4237885551274201</v>
      </c>
      <c r="P313" s="38">
        <v>103.84730287354201</v>
      </c>
      <c r="Q313" s="38" t="str" cm="1">
        <f t="array" ref="Q313">INDEX('MRT station dataset'!$C$3:$C$179, MATCH(MIN(SQRT(('MRT station dataset'!$E$3:$E$179-'Resale flat dataset (DV)'!O313)^2+('MRT station dataset'!$F$3:$F$179-'Resale flat dataset (DV)'!P313)^2)), SQRT(('MRT station dataset'!$E$3:$E$179-'Resale flat dataset (DV)'!O313)^2+('MRT station dataset'!$F$3:$F$179-'Resale flat dataset (DV)'!P313)^2), 0))</f>
        <v>YISHUN MRT STATION</v>
      </c>
      <c r="R313" s="38" t="str" cm="1">
        <f t="array" ref="R313">INDEX('Mall Dataset'!$B$3:$B$157, MATCH(MIN(SQRT(('Mall Dataset'!$E$3:$E$157-'Resale flat dataset (DV)'!O313)^2+('Mall Dataset'!$F$3:$F$157-'Resale flat dataset (DV)'!P313)^2)), SQRT(('Mall Dataset'!$E$3:$E$157-'Resale flat dataset (DV)'!O313)^2+('Mall Dataset'!$F$3:$F$157-'Resale flat dataset (DV)'!P313)^2), 0))</f>
        <v>Wisteria Mall</v>
      </c>
      <c r="S313" s="38" t="str" cm="1">
        <f t="array" ref="S313">INDEX('Schools dataset'!$B$3:$B$187, MATCH(MIN(SQRT(('Schools dataset'!$J$3:$J$187-'Resale flat dataset (DV)'!O313)^2+('Schools dataset'!$K$3:$K$187-'Resale flat dataset (DV)'!P313)^2)), SQRT(('Schools dataset'!$J$3:$J$187-'Resale flat dataset (DV)'!O313)^2+('Schools dataset'!$K$3:$K$187-'Resale flat dataset (DV)'!P313)^2), 0))</f>
        <v>NORTH VIEW PRIMARY SCHOOL</v>
      </c>
      <c r="T313" s="39">
        <f>ACOS(COS(RADIANS(90-O313))*COS(RADIANS(90-_xlfn.XLOOKUP(Q313,'MRT station dataset'!$C$3:$C$179,'MRT station dataset'!$E$3:$E$179)))+SIN(RADIANS(90-O313))*SIN(RADIANS(90-_xlfn.XLOOKUP(Q313,'MRT station dataset'!$C$3:$C$179,'MRT station dataset'!$E$3:$E$179)))*COS(RADIANS(P313-_xlfn.XLOOKUP('Resale flat dataset (DV)'!Q313,'MRT station dataset'!$C$3:$C$179,'MRT station dataset'!$F$3:$F$179))))*6371*1000</f>
        <v>1503.2106257704934</v>
      </c>
      <c r="U313" s="39">
        <f>ACOS(COS(RADIANS(90-O313))*COS(RADIANS(90-_xlfn.XLOOKUP(R313,'Mall Dataset'!$B$3:$B$157,'Mall Dataset'!$E$3:$E$157,,0)))+SIN(RADIANS(90-O313))*SIN(RADIANS(90-_xlfn.XLOOKUP(R313,'Mall Dataset'!$B$3:$B$157,'Mall Dataset'!$E$3:$E$157,,0)))*COS(RADIANS(P313-_xlfn.XLOOKUP(R313,'Mall Dataset'!$B$3:$B$157,'Mall Dataset'!$F$3:$F$157,,0))))*6371*1000</f>
        <v>926.54117575524219</v>
      </c>
      <c r="V313" s="39">
        <f>ACOS(COS(RADIANS(90-O313))*COS(RADIANS(90-_xlfn.XLOOKUP(S313,'Schools dataset'!$B$3:$B$187,'Schools dataset'!$J$3:$J$187,,0)))+SIN(RADIANS(90-O313))*SIN(RADIANS(90-_xlfn.XLOOKUP(S313,'Schools dataset'!$B$3:$B$187,'Schools dataset'!$J$3:$J$187,,0)))*COS(RADIANS(P313-_xlfn.XLOOKUP(S313,'Schools dataset'!$B$3:$B$187,'Schools dataset'!$K$3:$K$187,,0))))*6371*1000</f>
        <v>424.49662178794557</v>
      </c>
      <c r="W313" s="20">
        <f>_xlfn.XLOOKUP(T313,'HDB Recommender'!$P$10:$P$39,'HDB Recommender'!$Q$10:$Q$39,"&gt;30mins",1)</f>
        <v>21</v>
      </c>
      <c r="X313" s="20">
        <f>_xlfn.XLOOKUP(U313,'HDB Recommender'!$P$10:$P$39,'HDB Recommender'!$Q$10:$Q$39,"&gt;30mins",1)</f>
        <v>13</v>
      </c>
      <c r="Y313" s="20">
        <f>_xlfn.XLOOKUP(V313,'HDB Recommender'!$P$10:$P$39,'HDB Recommender'!$Q$10:$Q$39,"&gt;30mins",1)</f>
        <v>6</v>
      </c>
      <c r="Z313" s="39">
        <f t="shared" si="8"/>
        <v>13.333333333333334</v>
      </c>
      <c r="AA313" s="20" t="str">
        <f t="shared" si="10"/>
        <v>Within 1km</v>
      </c>
    </row>
    <row r="314" spans="2:27">
      <c r="B314" s="35" t="s">
        <v>317</v>
      </c>
      <c r="C314" s="35" t="s">
        <v>848</v>
      </c>
      <c r="D314" s="35" t="s">
        <v>20</v>
      </c>
      <c r="E314" s="35">
        <v>770</v>
      </c>
      <c r="F314" s="35" t="s">
        <v>857</v>
      </c>
      <c r="G314" s="35" t="s">
        <v>189</v>
      </c>
      <c r="H314" s="35">
        <v>84</v>
      </c>
      <c r="I314" s="35" t="s">
        <v>369</v>
      </c>
      <c r="J314" s="36">
        <v>1986</v>
      </c>
      <c r="K314" s="39">
        <v>62.0833333333333</v>
      </c>
      <c r="L314" s="37">
        <v>420000</v>
      </c>
      <c r="M314" s="35" t="s">
        <v>858</v>
      </c>
      <c r="N314" s="27">
        <v>760770</v>
      </c>
      <c r="O314" s="38">
        <v>1.4244862600116499</v>
      </c>
      <c r="P314" s="38">
        <v>103.83225139177701</v>
      </c>
      <c r="Q314" s="38" t="str" cm="1">
        <f t="array" ref="Q314">INDEX('MRT station dataset'!$C$3:$C$179, MATCH(MIN(SQRT(('MRT station dataset'!$E$3:$E$179-'Resale flat dataset (DV)'!O314)^2+('MRT station dataset'!$F$3:$F$179-'Resale flat dataset (DV)'!P314)^2)), SQRT(('MRT station dataset'!$E$3:$E$179-'Resale flat dataset (DV)'!O314)^2+('MRT station dataset'!$F$3:$F$179-'Resale flat dataset (DV)'!P314)^2), 0))</f>
        <v>YISHUN MRT STATION</v>
      </c>
      <c r="R314" s="38" t="str" cm="1">
        <f t="array" ref="R314">INDEX('Mall Dataset'!$B$3:$B$157, MATCH(MIN(SQRT(('Mall Dataset'!$E$3:$E$157-'Resale flat dataset (DV)'!O314)^2+('Mall Dataset'!$F$3:$F$157-'Resale flat dataset (DV)'!P314)^2)), SQRT(('Mall Dataset'!$E$3:$E$157-'Resale flat dataset (DV)'!O314)^2+('Mall Dataset'!$F$3:$F$157-'Resale flat dataset (DV)'!P314)^2), 0))</f>
        <v>Northpoint City</v>
      </c>
      <c r="S314" s="38" t="str" cm="1">
        <f t="array" ref="S314">INDEX('Schools dataset'!$B$3:$B$187, MATCH(MIN(SQRT(('Schools dataset'!$J$3:$J$187-'Resale flat dataset (DV)'!O314)^2+('Schools dataset'!$K$3:$K$187-'Resale flat dataset (DV)'!P314)^2)), SQRT(('Schools dataset'!$J$3:$J$187-'Resale flat dataset (DV)'!O314)^2+('Schools dataset'!$K$3:$K$187-'Resale flat dataset (DV)'!P314)^2), 0))</f>
        <v>JIEMIN PRIMARY SCHOOL</v>
      </c>
      <c r="T314" s="39">
        <f>ACOS(COS(RADIANS(90-O314))*COS(RADIANS(90-_xlfn.XLOOKUP(Q314,'MRT station dataset'!$C$3:$C$179,'MRT station dataset'!$E$3:$E$179)))+SIN(RADIANS(90-O314))*SIN(RADIANS(90-_xlfn.XLOOKUP(Q314,'MRT station dataset'!$C$3:$C$179,'MRT station dataset'!$E$3:$E$179)))*COS(RADIANS(P314-_xlfn.XLOOKUP('Resale flat dataset (DV)'!Q314,'MRT station dataset'!$C$3:$C$179,'MRT station dataset'!$F$3:$F$179))))*6371*1000</f>
        <v>626.00870358483053</v>
      </c>
      <c r="U314" s="39">
        <f>ACOS(COS(RADIANS(90-O314))*COS(RADIANS(90-_xlfn.XLOOKUP(R314,'Mall Dataset'!$B$3:$B$157,'Mall Dataset'!$E$3:$E$157,,0)))+SIN(RADIANS(90-O314))*SIN(RADIANS(90-_xlfn.XLOOKUP(R314,'Mall Dataset'!$B$3:$B$157,'Mall Dataset'!$E$3:$E$157,,0)))*COS(RADIANS(P314-_xlfn.XLOOKUP(R314,'Mall Dataset'!$B$3:$B$157,'Mall Dataset'!$F$3:$F$157,,0))))*6371*1000</f>
        <v>622.58432353923524</v>
      </c>
      <c r="V314" s="39">
        <f>ACOS(COS(RADIANS(90-O314))*COS(RADIANS(90-_xlfn.XLOOKUP(S314,'Schools dataset'!$B$3:$B$187,'Schools dataset'!$J$3:$J$187,,0)))+SIN(RADIANS(90-O314))*SIN(RADIANS(90-_xlfn.XLOOKUP(S314,'Schools dataset'!$B$3:$B$187,'Schools dataset'!$J$3:$J$187,,0)))*COS(RADIANS(P314-_xlfn.XLOOKUP(S314,'Schools dataset'!$B$3:$B$187,'Schools dataset'!$K$3:$K$187,,0))))*6371*1000</f>
        <v>409.85616552604131</v>
      </c>
      <c r="W314" s="20">
        <f>_xlfn.XLOOKUP(T314,'HDB Recommender'!$P$10:$P$39,'HDB Recommender'!$Q$10:$Q$39,"&gt;30mins",1)</f>
        <v>9</v>
      </c>
      <c r="X314" s="20">
        <f>_xlfn.XLOOKUP(U314,'HDB Recommender'!$P$10:$P$39,'HDB Recommender'!$Q$10:$Q$39,"&gt;30mins",1)</f>
        <v>9</v>
      </c>
      <c r="Y314" s="20">
        <f>_xlfn.XLOOKUP(V314,'HDB Recommender'!$P$10:$P$39,'HDB Recommender'!$Q$10:$Q$39,"&gt;30mins",1)</f>
        <v>6</v>
      </c>
      <c r="Z314" s="39">
        <f t="shared" si="8"/>
        <v>8</v>
      </c>
      <c r="AA314" s="20" t="str">
        <f t="shared" si="10"/>
        <v>Within 1km</v>
      </c>
    </row>
    <row r="315" spans="2:27">
      <c r="B315" s="35" t="s">
        <v>317</v>
      </c>
      <c r="C315" s="35" t="s">
        <v>848</v>
      </c>
      <c r="D315" s="35" t="s">
        <v>20</v>
      </c>
      <c r="E315" s="35"/>
      <c r="F315" s="35" t="s">
        <v>851</v>
      </c>
      <c r="G315" s="35" t="s">
        <v>184</v>
      </c>
      <c r="H315" s="35">
        <v>93</v>
      </c>
      <c r="I315" s="35" t="s">
        <v>335</v>
      </c>
      <c r="J315" s="36">
        <v>2018</v>
      </c>
      <c r="K315" s="39">
        <v>93.5833333333333</v>
      </c>
      <c r="L315" s="37">
        <v>570000</v>
      </c>
      <c r="M315" s="35" t="s">
        <v>859</v>
      </c>
      <c r="N315" s="27">
        <v>761507</v>
      </c>
      <c r="O315" s="38">
        <v>1.4152879234843601</v>
      </c>
      <c r="P315" s="38">
        <v>103.83984650139</v>
      </c>
      <c r="Q315" s="38" t="str" cm="1">
        <f t="array" ref="Q315">INDEX('MRT station dataset'!$C$3:$C$179, MATCH(MIN(SQRT(('MRT station dataset'!$E$3:$E$179-'Resale flat dataset (DV)'!O315)^2+('MRT station dataset'!$F$3:$F$179-'Resale flat dataset (DV)'!P315)^2)), SQRT(('MRT station dataset'!$E$3:$E$179-'Resale flat dataset (DV)'!O315)^2+('MRT station dataset'!$F$3:$F$179-'Resale flat dataset (DV)'!P315)^2), 0))</f>
        <v>KHATIB MRT STATION</v>
      </c>
      <c r="R315" s="38" t="str" cm="1">
        <f t="array" ref="R315">INDEX('Mall Dataset'!$B$3:$B$157, MATCH(MIN(SQRT(('Mall Dataset'!$E$3:$E$157-'Resale flat dataset (DV)'!O315)^2+('Mall Dataset'!$F$3:$F$157-'Resale flat dataset (DV)'!P315)^2)), SQRT(('Mall Dataset'!$E$3:$E$157-'Resale flat dataset (DV)'!O315)^2+('Mall Dataset'!$F$3:$F$157-'Resale flat dataset (DV)'!P315)^2), 0))</f>
        <v>Wisteria Mall</v>
      </c>
      <c r="S315" s="38" t="str" cm="1">
        <f t="array" ref="S315">INDEX('Schools dataset'!$B$3:$B$187, MATCH(MIN(SQRT(('Schools dataset'!$J$3:$J$187-'Resale flat dataset (DV)'!O315)^2+('Schools dataset'!$K$3:$K$187-'Resale flat dataset (DV)'!P315)^2)), SQRT(('Schools dataset'!$J$3:$J$187-'Resale flat dataset (DV)'!O315)^2+('Schools dataset'!$K$3:$K$187-'Resale flat dataset (DV)'!P315)^2), 0))</f>
        <v>NAVAL BASE PRIMARY SCHOOL</v>
      </c>
      <c r="T315" s="39">
        <f>ACOS(COS(RADIANS(90-O315))*COS(RADIANS(90-_xlfn.XLOOKUP(Q315,'MRT station dataset'!$C$3:$C$179,'MRT station dataset'!$E$3:$E$179)))+SIN(RADIANS(90-O315))*SIN(RADIANS(90-_xlfn.XLOOKUP(Q315,'MRT station dataset'!$C$3:$C$179,'MRT station dataset'!$E$3:$E$179)))*COS(RADIANS(P315-_xlfn.XLOOKUP('Resale flat dataset (DV)'!Q315,'MRT station dataset'!$C$3:$C$179,'MRT station dataset'!$F$3:$F$179))))*6371*1000</f>
        <v>796.47560279450749</v>
      </c>
      <c r="U315" s="39">
        <f>ACOS(COS(RADIANS(90-O315))*COS(RADIANS(90-_xlfn.XLOOKUP(R315,'Mall Dataset'!$B$3:$B$157,'Mall Dataset'!$E$3:$E$157,,0)))+SIN(RADIANS(90-O315))*SIN(RADIANS(90-_xlfn.XLOOKUP(R315,'Mall Dataset'!$B$3:$B$157,'Mall Dataset'!$E$3:$E$157,,0)))*COS(RADIANS(P315-_xlfn.XLOOKUP(R315,'Mall Dataset'!$B$3:$B$157,'Mall Dataset'!$F$3:$F$157,,0))))*6371*1000</f>
        <v>342.02975794586109</v>
      </c>
      <c r="V315" s="39">
        <f>ACOS(COS(RADIANS(90-O315))*COS(RADIANS(90-_xlfn.XLOOKUP(S315,'Schools dataset'!$B$3:$B$187,'Schools dataset'!$J$3:$J$187,,0)))+SIN(RADIANS(90-O315))*SIN(RADIANS(90-_xlfn.XLOOKUP(S315,'Schools dataset'!$B$3:$B$187,'Schools dataset'!$J$3:$J$187,,0)))*COS(RADIANS(P315-_xlfn.XLOOKUP(S315,'Schools dataset'!$B$3:$B$187,'Schools dataset'!$K$3:$K$187,,0))))*6371*1000</f>
        <v>107.40996561654859</v>
      </c>
      <c r="W315" s="20">
        <f>_xlfn.XLOOKUP(T315,'HDB Recommender'!$P$10:$P$39,'HDB Recommender'!$Q$10:$Q$39,"&gt;30mins",1)</f>
        <v>11</v>
      </c>
      <c r="X315" s="20">
        <f>_xlfn.XLOOKUP(U315,'HDB Recommender'!$P$10:$P$39,'HDB Recommender'!$Q$10:$Q$39,"&gt;30mins",1)</f>
        <v>5</v>
      </c>
      <c r="Y315" s="20">
        <f>_xlfn.XLOOKUP(V315,'HDB Recommender'!$P$10:$P$39,'HDB Recommender'!$Q$10:$Q$39,"&gt;30mins",1)</f>
        <v>2</v>
      </c>
      <c r="Z315" s="39">
        <f t="shared" si="8"/>
        <v>6</v>
      </c>
      <c r="AA315" s="20" t="str">
        <f t="shared" si="10"/>
        <v>Within 1km</v>
      </c>
    </row>
    <row r="316" spans="2:27">
      <c r="B316" s="35" t="s">
        <v>317</v>
      </c>
      <c r="C316" s="35" t="s">
        <v>848</v>
      </c>
      <c r="D316" s="35" t="s">
        <v>20</v>
      </c>
      <c r="E316" s="35">
        <v>366</v>
      </c>
      <c r="F316" s="35" t="s">
        <v>853</v>
      </c>
      <c r="G316" s="35" t="s">
        <v>184</v>
      </c>
      <c r="H316" s="35">
        <v>104</v>
      </c>
      <c r="I316" s="35" t="s">
        <v>335</v>
      </c>
      <c r="J316" s="36">
        <v>1988</v>
      </c>
      <c r="K316" s="39">
        <v>63.9166666666666</v>
      </c>
      <c r="L316" s="37">
        <v>465000</v>
      </c>
      <c r="M316" s="35" t="s">
        <v>860</v>
      </c>
      <c r="N316" s="27">
        <v>760366</v>
      </c>
      <c r="O316" s="38">
        <v>1.4290809846700201</v>
      </c>
      <c r="P316" s="38">
        <v>103.845879659833</v>
      </c>
      <c r="Q316" s="38" t="str" cm="1">
        <f t="array" ref="Q316">INDEX('MRT station dataset'!$C$3:$C$179, MATCH(MIN(SQRT(('MRT station dataset'!$E$3:$E$179-'Resale flat dataset (DV)'!O316)^2+('MRT station dataset'!$F$3:$F$179-'Resale flat dataset (DV)'!P316)^2)), SQRT(('MRT station dataset'!$E$3:$E$179-'Resale flat dataset (DV)'!O316)^2+('MRT station dataset'!$F$3:$F$179-'Resale flat dataset (DV)'!P316)^2), 0))</f>
        <v>YISHUN MRT STATION</v>
      </c>
      <c r="R316" s="38" t="str" cm="1">
        <f t="array" ref="R316">INDEX('Mall Dataset'!$B$3:$B$157, MATCH(MIN(SQRT(('Mall Dataset'!$E$3:$E$157-'Resale flat dataset (DV)'!O316)^2+('Mall Dataset'!$F$3:$F$157-'Resale flat dataset (DV)'!P316)^2)), SQRT(('Mall Dataset'!$E$3:$E$157-'Resale flat dataset (DV)'!O316)^2+('Mall Dataset'!$F$3:$F$157-'Resale flat dataset (DV)'!P316)^2), 0))</f>
        <v>Junction Nine</v>
      </c>
      <c r="S316" s="38" t="str" cm="1">
        <f t="array" ref="S316">INDEX('Schools dataset'!$B$3:$B$187, MATCH(MIN(SQRT(('Schools dataset'!$J$3:$J$187-'Resale flat dataset (DV)'!O316)^2+('Schools dataset'!$K$3:$K$187-'Resale flat dataset (DV)'!P316)^2)), SQRT(('Schools dataset'!$J$3:$J$187-'Resale flat dataset (DV)'!O316)^2+('Schools dataset'!$K$3:$K$187-'Resale flat dataset (DV)'!P316)^2), 0))</f>
        <v>HUAMIN PRIMARY SCHOOL</v>
      </c>
      <c r="T316" s="39">
        <f>ACOS(COS(RADIANS(90-O316))*COS(RADIANS(90-_xlfn.XLOOKUP(Q316,'MRT station dataset'!$C$3:$C$179,'MRT station dataset'!$E$3:$E$179)))+SIN(RADIANS(90-O316))*SIN(RADIANS(90-_xlfn.XLOOKUP(Q316,'MRT station dataset'!$C$3:$C$179,'MRT station dataset'!$E$3:$E$179)))*COS(RADIANS(P316-_xlfn.XLOOKUP('Resale flat dataset (DV)'!Q316,'MRT station dataset'!$C$3:$C$179,'MRT station dataset'!$F$3:$F$179))))*6371*1000</f>
        <v>1209.9067309302709</v>
      </c>
      <c r="U316" s="39">
        <f>ACOS(COS(RADIANS(90-O316))*COS(RADIANS(90-_xlfn.XLOOKUP(R316,'Mall Dataset'!$B$3:$B$157,'Mall Dataset'!$E$3:$E$157,,0)))+SIN(RADIANS(90-O316))*SIN(RADIANS(90-_xlfn.XLOOKUP(R316,'Mall Dataset'!$B$3:$B$157,'Mall Dataset'!$E$3:$E$157,,0)))*COS(RADIANS(P316-_xlfn.XLOOKUP(R316,'Mall Dataset'!$B$3:$B$157,'Mall Dataset'!$F$3:$F$157,,0))))*6371*1000</f>
        <v>649.5411552073524</v>
      </c>
      <c r="V316" s="39">
        <f>ACOS(COS(RADIANS(90-O316))*COS(RADIANS(90-_xlfn.XLOOKUP(S316,'Schools dataset'!$B$3:$B$187,'Schools dataset'!$J$3:$J$187,,0)))+SIN(RADIANS(90-O316))*SIN(RADIANS(90-_xlfn.XLOOKUP(S316,'Schools dataset'!$B$3:$B$187,'Schools dataset'!$J$3:$J$187,,0)))*COS(RADIANS(P316-_xlfn.XLOOKUP(S316,'Schools dataset'!$B$3:$B$187,'Schools dataset'!$K$3:$K$187,,0))))*6371*1000</f>
        <v>296.92011207476844</v>
      </c>
      <c r="W316" s="20">
        <f>_xlfn.XLOOKUP(T316,'HDB Recommender'!$P$10:$P$39,'HDB Recommender'!$Q$10:$Q$39,"&gt;30mins",1)</f>
        <v>17</v>
      </c>
      <c r="X316" s="20">
        <f>_xlfn.XLOOKUP(U316,'HDB Recommender'!$P$10:$P$39,'HDB Recommender'!$Q$10:$Q$39,"&gt;30mins",1)</f>
        <v>9</v>
      </c>
      <c r="Y316" s="20">
        <f>_xlfn.XLOOKUP(V316,'HDB Recommender'!$P$10:$P$39,'HDB Recommender'!$Q$10:$Q$39,"&gt;30mins",1)</f>
        <v>4</v>
      </c>
      <c r="Z316" s="39">
        <f t="shared" si="8"/>
        <v>10</v>
      </c>
      <c r="AA316" s="20" t="str">
        <f t="shared" si="10"/>
        <v>Within 1km</v>
      </c>
    </row>
    <row r="317" spans="2:27">
      <c r="B317" s="35" t="s">
        <v>317</v>
      </c>
      <c r="C317" s="35" t="s">
        <v>848</v>
      </c>
      <c r="D317" s="35" t="s">
        <v>20</v>
      </c>
      <c r="E317" s="35"/>
      <c r="F317" s="35" t="s">
        <v>861</v>
      </c>
      <c r="G317" s="35" t="s">
        <v>323</v>
      </c>
      <c r="H317" s="35">
        <v>92</v>
      </c>
      <c r="I317" s="35" t="s">
        <v>335</v>
      </c>
      <c r="J317" s="36">
        <v>2018</v>
      </c>
      <c r="K317" s="39">
        <v>93.4166666666666</v>
      </c>
      <c r="L317" s="37">
        <v>600000</v>
      </c>
      <c r="M317" s="35" t="s">
        <v>862</v>
      </c>
      <c r="N317" s="27">
        <v>762501</v>
      </c>
      <c r="O317" s="38">
        <v>1.41704065966643</v>
      </c>
      <c r="P317" s="38">
        <v>103.840552464198</v>
      </c>
      <c r="Q317" s="38" t="str" cm="1">
        <f t="array" ref="Q317">INDEX('MRT station dataset'!$C$3:$C$179, MATCH(MIN(SQRT(('MRT station dataset'!$E$3:$E$179-'Resale flat dataset (DV)'!O317)^2+('MRT station dataset'!$F$3:$F$179-'Resale flat dataset (DV)'!P317)^2)), SQRT(('MRT station dataset'!$E$3:$E$179-'Resale flat dataset (DV)'!O317)^2+('MRT station dataset'!$F$3:$F$179-'Resale flat dataset (DV)'!P317)^2), 0))</f>
        <v>KHATIB MRT STATION</v>
      </c>
      <c r="R317" s="38" t="str" cm="1">
        <f t="array" ref="R317">INDEX('Mall Dataset'!$B$3:$B$157, MATCH(MIN(SQRT(('Mall Dataset'!$E$3:$E$157-'Resale flat dataset (DV)'!O317)^2+('Mall Dataset'!$F$3:$F$157-'Resale flat dataset (DV)'!P317)^2)), SQRT(('Mall Dataset'!$E$3:$E$157-'Resale flat dataset (DV)'!O317)^2+('Mall Dataset'!$F$3:$F$157-'Resale flat dataset (DV)'!P317)^2), 0))</f>
        <v>Wisteria Mall</v>
      </c>
      <c r="S317" s="38" t="str" cm="1">
        <f t="array" ref="S317">INDEX('Schools dataset'!$B$3:$B$187, MATCH(MIN(SQRT(('Schools dataset'!$J$3:$J$187-'Resale flat dataset (DV)'!O317)^2+('Schools dataset'!$K$3:$K$187-'Resale flat dataset (DV)'!P317)^2)), SQRT(('Schools dataset'!$J$3:$J$187-'Resale flat dataset (DV)'!O317)^2+('Schools dataset'!$K$3:$K$187-'Resale flat dataset (DV)'!P317)^2), 0))</f>
        <v>NAVAL BASE PRIMARY SCHOOL</v>
      </c>
      <c r="T317" s="39">
        <f>ACOS(COS(RADIANS(90-O317))*COS(RADIANS(90-_xlfn.XLOOKUP(Q317,'MRT station dataset'!$C$3:$C$179,'MRT station dataset'!$E$3:$E$179)))+SIN(RADIANS(90-O317))*SIN(RADIANS(90-_xlfn.XLOOKUP(Q317,'MRT station dataset'!$C$3:$C$179,'MRT station dataset'!$E$3:$E$179)))*COS(RADIANS(P317-_xlfn.XLOOKUP('Resale flat dataset (DV)'!Q317,'MRT station dataset'!$C$3:$C$179,'MRT station dataset'!$F$3:$F$179))))*6371*1000</f>
        <v>840.48911982292123</v>
      </c>
      <c r="U317" s="39">
        <f>ACOS(COS(RADIANS(90-O317))*COS(RADIANS(90-_xlfn.XLOOKUP(R317,'Mall Dataset'!$B$3:$B$157,'Mall Dataset'!$E$3:$E$157,,0)))+SIN(RADIANS(90-O317))*SIN(RADIANS(90-_xlfn.XLOOKUP(R317,'Mall Dataset'!$B$3:$B$157,'Mall Dataset'!$E$3:$E$157,,0)))*COS(RADIANS(P317-_xlfn.XLOOKUP(R317,'Mall Dataset'!$B$3:$B$157,'Mall Dataset'!$F$3:$F$157,,0))))*6371*1000</f>
        <v>135.51487557064078</v>
      </c>
      <c r="V317" s="39">
        <f>ACOS(COS(RADIANS(90-O317))*COS(RADIANS(90-_xlfn.XLOOKUP(S317,'Schools dataset'!$B$3:$B$187,'Schools dataset'!$J$3:$J$187,,0)))+SIN(RADIANS(90-O317))*SIN(RADIANS(90-_xlfn.XLOOKUP(S317,'Schools dataset'!$B$3:$B$187,'Schools dataset'!$J$3:$J$187,,0)))*COS(RADIANS(P317-_xlfn.XLOOKUP(S317,'Schools dataset'!$B$3:$B$187,'Schools dataset'!$K$3:$K$187,,0))))*6371*1000</f>
        <v>205.13261900719692</v>
      </c>
      <c r="W317" s="20">
        <f>_xlfn.XLOOKUP(T317,'HDB Recommender'!$P$10:$P$39,'HDB Recommender'!$Q$10:$Q$39,"&gt;30mins",1)</f>
        <v>12</v>
      </c>
      <c r="X317" s="20">
        <f>_xlfn.XLOOKUP(U317,'HDB Recommender'!$P$10:$P$39,'HDB Recommender'!$Q$10:$Q$39,"&gt;30mins",1)</f>
        <v>2</v>
      </c>
      <c r="Y317" s="20">
        <f>_xlfn.XLOOKUP(V317,'HDB Recommender'!$P$10:$P$39,'HDB Recommender'!$Q$10:$Q$39,"&gt;30mins",1)</f>
        <v>3</v>
      </c>
      <c r="Z317" s="39">
        <f t="shared" si="8"/>
        <v>5.666666666666667</v>
      </c>
      <c r="AA317" s="20" t="str">
        <f t="shared" si="10"/>
        <v>Within 1km</v>
      </c>
    </row>
    <row r="318" spans="2:27">
      <c r="B318" s="35" t="s">
        <v>317</v>
      </c>
      <c r="C318" s="35" t="s">
        <v>848</v>
      </c>
      <c r="D318" s="35" t="s">
        <v>20</v>
      </c>
      <c r="E318" s="35">
        <v>639</v>
      </c>
      <c r="F318" s="35" t="s">
        <v>863</v>
      </c>
      <c r="G318" s="35" t="s">
        <v>184</v>
      </c>
      <c r="H318" s="35">
        <v>84</v>
      </c>
      <c r="I318" s="35" t="s">
        <v>369</v>
      </c>
      <c r="J318" s="36">
        <v>1987</v>
      </c>
      <c r="K318" s="39">
        <v>62.9166666666666</v>
      </c>
      <c r="L318" s="37">
        <v>410000</v>
      </c>
      <c r="M318" s="35" t="s">
        <v>864</v>
      </c>
      <c r="N318" s="27">
        <v>760639</v>
      </c>
      <c r="O318" s="38">
        <v>1.42056023821885</v>
      </c>
      <c r="P318" s="38">
        <v>103.838449241015</v>
      </c>
      <c r="Q318" s="38" t="str" cm="1">
        <f t="array" ref="Q318">INDEX('MRT station dataset'!$C$3:$C$179, MATCH(MIN(SQRT(('MRT station dataset'!$E$3:$E$179-'Resale flat dataset (DV)'!O318)^2+('MRT station dataset'!$F$3:$F$179-'Resale flat dataset (DV)'!P318)^2)), SQRT(('MRT station dataset'!$E$3:$E$179-'Resale flat dataset (DV)'!O318)^2+('MRT station dataset'!$F$3:$F$179-'Resale flat dataset (DV)'!P318)^2), 0))</f>
        <v>KHATIB MRT STATION</v>
      </c>
      <c r="R318" s="38" t="str" cm="1">
        <f t="array" ref="R318">INDEX('Mall Dataset'!$B$3:$B$157, MATCH(MIN(SQRT(('Mall Dataset'!$E$3:$E$157-'Resale flat dataset (DV)'!O318)^2+('Mall Dataset'!$F$3:$F$157-'Resale flat dataset (DV)'!P318)^2)), SQRT(('Mall Dataset'!$E$3:$E$157-'Resale flat dataset (DV)'!O318)^2+('Mall Dataset'!$F$3:$F$157-'Resale flat dataset (DV)'!P318)^2), 0))</f>
        <v>Wisteria Mall</v>
      </c>
      <c r="S318" s="38" t="str" cm="1">
        <f t="array" ref="S318">INDEX('Schools dataset'!$B$3:$B$187, MATCH(MIN(SQRT(('Schools dataset'!$J$3:$J$187-'Resale flat dataset (DV)'!O318)^2+('Schools dataset'!$K$3:$K$187-'Resale flat dataset (DV)'!P318)^2)), SQRT(('Schools dataset'!$J$3:$J$187-'Resale flat dataset (DV)'!O318)^2+('Schools dataset'!$K$3:$K$187-'Resale flat dataset (DV)'!P318)^2), 0))</f>
        <v>NORTHLAND PRIMARY SCHOOL</v>
      </c>
      <c r="T318" s="39">
        <f>ACOS(COS(RADIANS(90-O318))*COS(RADIANS(90-_xlfn.XLOOKUP(Q318,'MRT station dataset'!$C$3:$C$179,'MRT station dataset'!$E$3:$E$179)))+SIN(RADIANS(90-O318))*SIN(RADIANS(90-_xlfn.XLOOKUP(Q318,'MRT station dataset'!$C$3:$C$179,'MRT station dataset'!$E$3:$E$179)))*COS(RADIANS(P318-_xlfn.XLOOKUP('Resale flat dataset (DV)'!Q318,'MRT station dataset'!$C$3:$C$179,'MRT station dataset'!$F$3:$F$179))))*6371*1000</f>
        <v>700.2908097729013</v>
      </c>
      <c r="U318" s="39">
        <f>ACOS(COS(RADIANS(90-O318))*COS(RADIANS(90-_xlfn.XLOOKUP(R318,'Mall Dataset'!$B$3:$B$157,'Mall Dataset'!$E$3:$E$157,,0)))+SIN(RADIANS(90-O318))*SIN(RADIANS(90-_xlfn.XLOOKUP(R318,'Mall Dataset'!$B$3:$B$157,'Mall Dataset'!$E$3:$E$157,,0)))*COS(RADIANS(P318-_xlfn.XLOOKUP(R318,'Mall Dataset'!$B$3:$B$157,'Mall Dataset'!$F$3:$F$157,,0))))*6371*1000</f>
        <v>428.18545273158691</v>
      </c>
      <c r="V318" s="39">
        <f>ACOS(COS(RADIANS(90-O318))*COS(RADIANS(90-_xlfn.XLOOKUP(S318,'Schools dataset'!$B$3:$B$187,'Schools dataset'!$J$3:$J$187,,0)))+SIN(RADIANS(90-O318))*SIN(RADIANS(90-_xlfn.XLOOKUP(S318,'Schools dataset'!$B$3:$B$187,'Schools dataset'!$J$3:$J$187,,0)))*COS(RADIANS(P318-_xlfn.XLOOKUP(S318,'Schools dataset'!$B$3:$B$187,'Schools dataset'!$K$3:$K$187,,0))))*6371*1000</f>
        <v>273.3385896370919</v>
      </c>
      <c r="W318" s="20">
        <f>_xlfn.XLOOKUP(T318,'HDB Recommender'!$P$10:$P$39,'HDB Recommender'!$Q$10:$Q$39,"&gt;30mins",1)</f>
        <v>10</v>
      </c>
      <c r="X318" s="20">
        <f>_xlfn.XLOOKUP(U318,'HDB Recommender'!$P$10:$P$39,'HDB Recommender'!$Q$10:$Q$39,"&gt;30mins",1)</f>
        <v>6</v>
      </c>
      <c r="Y318" s="20">
        <f>_xlfn.XLOOKUP(V318,'HDB Recommender'!$P$10:$P$39,'HDB Recommender'!$Q$10:$Q$39,"&gt;30mins",1)</f>
        <v>4</v>
      </c>
      <c r="Z318" s="39">
        <f t="shared" si="8"/>
        <v>6.666666666666667</v>
      </c>
      <c r="AA318" s="20" t="str">
        <f t="shared" si="10"/>
        <v>Within 1km</v>
      </c>
    </row>
    <row r="319" spans="2:27">
      <c r="B319" s="35" t="s">
        <v>317</v>
      </c>
      <c r="C319" s="35" t="s">
        <v>848</v>
      </c>
      <c r="D319" s="35" t="s">
        <v>20</v>
      </c>
      <c r="E319" s="35">
        <v>752</v>
      </c>
      <c r="F319" s="35" t="s">
        <v>865</v>
      </c>
      <c r="G319" s="35" t="s">
        <v>191</v>
      </c>
      <c r="H319" s="35">
        <v>91</v>
      </c>
      <c r="I319" s="35" t="s">
        <v>320</v>
      </c>
      <c r="J319" s="36">
        <v>1984</v>
      </c>
      <c r="K319" s="39">
        <v>59.5833333333333</v>
      </c>
      <c r="L319" s="37">
        <v>535000</v>
      </c>
      <c r="M319" s="35" t="s">
        <v>866</v>
      </c>
      <c r="N319" s="27">
        <v>760752</v>
      </c>
      <c r="O319" s="38">
        <v>1.4272376118908101</v>
      </c>
      <c r="P319" s="38">
        <v>103.834050197556</v>
      </c>
      <c r="Q319" s="38" t="str" cm="1">
        <f t="array" ref="Q319">INDEX('MRT station dataset'!$C$3:$C$179, MATCH(MIN(SQRT(('MRT station dataset'!$E$3:$E$179-'Resale flat dataset (DV)'!O319)^2+('MRT station dataset'!$F$3:$F$179-'Resale flat dataset (DV)'!P319)^2)), SQRT(('MRT station dataset'!$E$3:$E$179-'Resale flat dataset (DV)'!O319)^2+('MRT station dataset'!$F$3:$F$179-'Resale flat dataset (DV)'!P319)^2), 0))</f>
        <v>YISHUN MRT STATION</v>
      </c>
      <c r="R319" s="38" t="str" cm="1">
        <f t="array" ref="R319">INDEX('Mall Dataset'!$B$3:$B$157, MATCH(MIN(SQRT(('Mall Dataset'!$E$3:$E$157-'Resale flat dataset (DV)'!O319)^2+('Mall Dataset'!$F$3:$F$157-'Resale flat dataset (DV)'!P319)^2)), SQRT(('Mall Dataset'!$E$3:$E$157-'Resale flat dataset (DV)'!O319)^2+('Mall Dataset'!$F$3:$F$157-'Resale flat dataset (DV)'!P319)^2), 0))</f>
        <v>Northpoint City</v>
      </c>
      <c r="S319" s="38" t="str" cm="1">
        <f t="array" ref="S319">INDEX('Schools dataset'!$B$3:$B$187, MATCH(MIN(SQRT(('Schools dataset'!$J$3:$J$187-'Resale flat dataset (DV)'!O319)^2+('Schools dataset'!$K$3:$K$187-'Resale flat dataset (DV)'!P319)^2)), SQRT(('Schools dataset'!$J$3:$J$187-'Resale flat dataset (DV)'!O319)^2+('Schools dataset'!$K$3:$K$187-'Resale flat dataset (DV)'!P319)^2), 0))</f>
        <v>JIEMIN PRIMARY SCHOOL</v>
      </c>
      <c r="T319" s="39">
        <f>ACOS(COS(RADIANS(90-O319))*COS(RADIANS(90-_xlfn.XLOOKUP(Q319,'MRT station dataset'!$C$3:$C$179,'MRT station dataset'!$E$3:$E$179)))+SIN(RADIANS(90-O319))*SIN(RADIANS(90-_xlfn.XLOOKUP(Q319,'MRT station dataset'!$C$3:$C$179,'MRT station dataset'!$E$3:$E$179)))*COS(RADIANS(P319-_xlfn.XLOOKUP('Resale flat dataset (DV)'!Q319,'MRT station dataset'!$C$3:$C$179,'MRT station dataset'!$F$3:$F$179))))*6371*1000</f>
        <v>262.60575801792419</v>
      </c>
      <c r="U319" s="39">
        <f>ACOS(COS(RADIANS(90-O319))*COS(RADIANS(90-_xlfn.XLOOKUP(R319,'Mall Dataset'!$B$3:$B$157,'Mall Dataset'!$E$3:$E$157,,0)))+SIN(RADIANS(90-O319))*SIN(RADIANS(90-_xlfn.XLOOKUP(R319,'Mall Dataset'!$B$3:$B$157,'Mall Dataset'!$E$3:$E$157,,0)))*COS(RADIANS(P319-_xlfn.XLOOKUP(R319,'Mall Dataset'!$B$3:$B$157,'Mall Dataset'!$F$3:$F$157,,0))))*6371*1000</f>
        <v>285.41769605663745</v>
      </c>
      <c r="V319" s="39">
        <f>ACOS(COS(RADIANS(90-O319))*COS(RADIANS(90-_xlfn.XLOOKUP(S319,'Schools dataset'!$B$3:$B$187,'Schools dataset'!$J$3:$J$187,,0)))+SIN(RADIANS(90-O319))*SIN(RADIANS(90-_xlfn.XLOOKUP(S319,'Schools dataset'!$B$3:$B$187,'Schools dataset'!$J$3:$J$187,,0)))*COS(RADIANS(P319-_xlfn.XLOOKUP(S319,'Schools dataset'!$B$3:$B$187,'Schools dataset'!$K$3:$K$187,,0))))*6371*1000</f>
        <v>406.03098888443157</v>
      </c>
      <c r="W319" s="20">
        <f>_xlfn.XLOOKUP(T319,'HDB Recommender'!$P$10:$P$39,'HDB Recommender'!$Q$10:$Q$39,"&gt;30mins",1)</f>
        <v>4</v>
      </c>
      <c r="X319" s="20">
        <f>_xlfn.XLOOKUP(U319,'HDB Recommender'!$P$10:$P$39,'HDB Recommender'!$Q$10:$Q$39,"&gt;30mins",1)</f>
        <v>4</v>
      </c>
      <c r="Y319" s="20">
        <f>_xlfn.XLOOKUP(V319,'HDB Recommender'!$P$10:$P$39,'HDB Recommender'!$Q$10:$Q$39,"&gt;30mins",1)</f>
        <v>6</v>
      </c>
      <c r="Z319" s="39">
        <f t="shared" si="8"/>
        <v>4.666666666666667</v>
      </c>
      <c r="AA319" s="20" t="str">
        <f t="shared" si="10"/>
        <v>Within 1km</v>
      </c>
    </row>
    <row r="320" spans="2:27">
      <c r="B320" s="35" t="s">
        <v>317</v>
      </c>
      <c r="C320" s="35" t="s">
        <v>848</v>
      </c>
      <c r="D320" s="35" t="s">
        <v>20</v>
      </c>
      <c r="E320" s="35">
        <v>756</v>
      </c>
      <c r="F320" s="35" t="s">
        <v>865</v>
      </c>
      <c r="G320" s="35" t="s">
        <v>349</v>
      </c>
      <c r="H320" s="35">
        <v>84</v>
      </c>
      <c r="I320" s="35" t="s">
        <v>369</v>
      </c>
      <c r="J320" s="36">
        <v>1985</v>
      </c>
      <c r="K320" s="39">
        <v>61.0833333333333</v>
      </c>
      <c r="L320" s="37">
        <v>418000</v>
      </c>
      <c r="M320" s="35" t="s">
        <v>867</v>
      </c>
      <c r="N320" s="27">
        <v>760756</v>
      </c>
      <c r="O320" s="38">
        <v>1.42656876558013</v>
      </c>
      <c r="P320" s="38">
        <v>103.833243240371</v>
      </c>
      <c r="Q320" s="38" t="str" cm="1">
        <f t="array" ref="Q320">INDEX('MRT station dataset'!$C$3:$C$179, MATCH(MIN(SQRT(('MRT station dataset'!$E$3:$E$179-'Resale flat dataset (DV)'!O320)^2+('MRT station dataset'!$F$3:$F$179-'Resale flat dataset (DV)'!P320)^2)), SQRT(('MRT station dataset'!$E$3:$E$179-'Resale flat dataset (DV)'!O320)^2+('MRT station dataset'!$F$3:$F$179-'Resale flat dataset (DV)'!P320)^2), 0))</f>
        <v>YISHUN MRT STATION</v>
      </c>
      <c r="R320" s="38" t="str" cm="1">
        <f t="array" ref="R320">INDEX('Mall Dataset'!$B$3:$B$157, MATCH(MIN(SQRT(('Mall Dataset'!$E$3:$E$157-'Resale flat dataset (DV)'!O320)^2+('Mall Dataset'!$F$3:$F$157-'Resale flat dataset (DV)'!P320)^2)), SQRT(('Mall Dataset'!$E$3:$E$157-'Resale flat dataset (DV)'!O320)^2+('Mall Dataset'!$F$3:$F$157-'Resale flat dataset (DV)'!P320)^2), 0))</f>
        <v>Northpoint City</v>
      </c>
      <c r="S320" s="38" t="str" cm="1">
        <f t="array" ref="S320">INDEX('Schools dataset'!$B$3:$B$187, MATCH(MIN(SQRT(('Schools dataset'!$J$3:$J$187-'Resale flat dataset (DV)'!O320)^2+('Schools dataset'!$K$3:$K$187-'Resale flat dataset (DV)'!P320)^2)), SQRT(('Schools dataset'!$J$3:$J$187-'Resale flat dataset (DV)'!O320)^2+('Schools dataset'!$K$3:$K$187-'Resale flat dataset (DV)'!P320)^2), 0))</f>
        <v>JIEMIN PRIMARY SCHOOL</v>
      </c>
      <c r="T320" s="39">
        <f>ACOS(COS(RADIANS(90-O320))*COS(RADIANS(90-_xlfn.XLOOKUP(Q320,'MRT station dataset'!$C$3:$C$179,'MRT station dataset'!$E$3:$E$179)))+SIN(RADIANS(90-O320))*SIN(RADIANS(90-_xlfn.XLOOKUP(Q320,'MRT station dataset'!$C$3:$C$179,'MRT station dataset'!$E$3:$E$179)))*COS(RADIANS(P320-_xlfn.XLOOKUP('Resale flat dataset (DV)'!Q320,'MRT station dataset'!$C$3:$C$179,'MRT station dataset'!$F$3:$F$179))))*6371*1000</f>
        <v>370.4673234892544</v>
      </c>
      <c r="U320" s="39">
        <f>ACOS(COS(RADIANS(90-O320))*COS(RADIANS(90-_xlfn.XLOOKUP(R320,'Mall Dataset'!$B$3:$B$157,'Mall Dataset'!$E$3:$E$157,,0)))+SIN(RADIANS(90-O320))*SIN(RADIANS(90-_xlfn.XLOOKUP(R320,'Mall Dataset'!$B$3:$B$157,'Mall Dataset'!$E$3:$E$157,,0)))*COS(RADIANS(P320-_xlfn.XLOOKUP(R320,'Mall Dataset'!$B$3:$B$157,'Mall Dataset'!$F$3:$F$157,,0))))*6371*1000</f>
        <v>398.29864128984639</v>
      </c>
      <c r="V320" s="39">
        <f>ACOS(COS(RADIANS(90-O320))*COS(RADIANS(90-_xlfn.XLOOKUP(S320,'Schools dataset'!$B$3:$B$187,'Schools dataset'!$J$3:$J$187,,0)))+SIN(RADIANS(90-O320))*SIN(RADIANS(90-_xlfn.XLOOKUP(S320,'Schools dataset'!$B$3:$B$187,'Schools dataset'!$J$3:$J$187,,0)))*COS(RADIANS(P320-_xlfn.XLOOKUP(S320,'Schools dataset'!$B$3:$B$187,'Schools dataset'!$K$3:$K$187,,0))))*6371*1000</f>
        <v>337.06087350256951</v>
      </c>
      <c r="W320" s="20">
        <f>_xlfn.XLOOKUP(T320,'HDB Recommender'!$P$10:$P$39,'HDB Recommender'!$Q$10:$Q$39,"&gt;30mins",1)</f>
        <v>5</v>
      </c>
      <c r="X320" s="20">
        <f>_xlfn.XLOOKUP(U320,'HDB Recommender'!$P$10:$P$39,'HDB Recommender'!$Q$10:$Q$39,"&gt;30mins",1)</f>
        <v>6</v>
      </c>
      <c r="Y320" s="20">
        <f>_xlfn.XLOOKUP(V320,'HDB Recommender'!$P$10:$P$39,'HDB Recommender'!$Q$10:$Q$39,"&gt;30mins",1)</f>
        <v>5</v>
      </c>
      <c r="Z320" s="39">
        <f t="shared" si="8"/>
        <v>5.333333333333333</v>
      </c>
      <c r="AA320" s="20" t="str">
        <f t="shared" si="10"/>
        <v>Within 1km</v>
      </c>
    </row>
    <row r="321" spans="2:27">
      <c r="B321" s="35" t="s">
        <v>317</v>
      </c>
      <c r="C321" s="35" t="s">
        <v>848</v>
      </c>
      <c r="D321" s="35" t="s">
        <v>20</v>
      </c>
      <c r="E321" s="35">
        <v>876</v>
      </c>
      <c r="F321" s="35" t="s">
        <v>868</v>
      </c>
      <c r="G321" s="35" t="s">
        <v>349</v>
      </c>
      <c r="H321" s="35">
        <v>88</v>
      </c>
      <c r="I321" s="35" t="s">
        <v>369</v>
      </c>
      <c r="J321" s="36">
        <v>1987</v>
      </c>
      <c r="K321" s="39">
        <v>63.25</v>
      </c>
      <c r="L321" s="37">
        <v>453000</v>
      </c>
      <c r="M321" s="35" t="s">
        <v>869</v>
      </c>
      <c r="N321" s="27">
        <v>760876</v>
      </c>
      <c r="O321" s="38">
        <v>1.41474478102802</v>
      </c>
      <c r="P321" s="38">
        <v>103.835531570491</v>
      </c>
      <c r="Q321" s="38" t="str" cm="1">
        <f t="array" ref="Q321">INDEX('MRT station dataset'!$C$3:$C$179, MATCH(MIN(SQRT(('MRT station dataset'!$E$3:$E$179-'Resale flat dataset (DV)'!O321)^2+('MRT station dataset'!$F$3:$F$179-'Resale flat dataset (DV)'!P321)^2)), SQRT(('MRT station dataset'!$E$3:$E$179-'Resale flat dataset (DV)'!O321)^2+('MRT station dataset'!$F$3:$F$179-'Resale flat dataset (DV)'!P321)^2), 0))</f>
        <v>KHATIB MRT STATION</v>
      </c>
      <c r="R321" s="38" t="str" cm="1">
        <f t="array" ref="R321">INDEX('Mall Dataset'!$B$3:$B$157, MATCH(MIN(SQRT(('Mall Dataset'!$E$3:$E$157-'Resale flat dataset (DV)'!O321)^2+('Mall Dataset'!$F$3:$F$157-'Resale flat dataset (DV)'!P321)^2)), SQRT(('Mall Dataset'!$E$3:$E$157-'Resale flat dataset (DV)'!O321)^2+('Mall Dataset'!$F$3:$F$157-'Resale flat dataset (DV)'!P321)^2), 0))</f>
        <v>Wisteria Mall</v>
      </c>
      <c r="S321" s="38" t="str" cm="1">
        <f t="array" ref="S321">INDEX('Schools dataset'!$B$3:$B$187, MATCH(MIN(SQRT(('Schools dataset'!$J$3:$J$187-'Resale flat dataset (DV)'!O321)^2+('Schools dataset'!$K$3:$K$187-'Resale flat dataset (DV)'!P321)^2)), SQRT(('Schools dataset'!$J$3:$J$187-'Resale flat dataset (DV)'!O321)^2+('Schools dataset'!$K$3:$K$187-'Resale flat dataset (DV)'!P321)^2), 0))</f>
        <v>NAVAL BASE PRIMARY SCHOOL</v>
      </c>
      <c r="T321" s="39">
        <f>ACOS(COS(RADIANS(90-O321))*COS(RADIANS(90-_xlfn.XLOOKUP(Q321,'MRT station dataset'!$C$3:$C$179,'MRT station dataset'!$E$3:$E$179)))+SIN(RADIANS(90-O321))*SIN(RADIANS(90-_xlfn.XLOOKUP(Q321,'MRT station dataset'!$C$3:$C$179,'MRT station dataset'!$E$3:$E$179)))*COS(RADIANS(P321-_xlfn.XLOOKUP('Resale flat dataset (DV)'!Q321,'MRT station dataset'!$C$3:$C$179,'MRT station dataset'!$F$3:$F$179))))*6371*1000</f>
        <v>407.8766228688109</v>
      </c>
      <c r="U321" s="39">
        <f>ACOS(COS(RADIANS(90-O321))*COS(RADIANS(90-_xlfn.XLOOKUP(R321,'Mall Dataset'!$B$3:$B$157,'Mall Dataset'!$E$3:$E$157,,0)))+SIN(RADIANS(90-O321))*SIN(RADIANS(90-_xlfn.XLOOKUP(R321,'Mall Dataset'!$B$3:$B$157,'Mall Dataset'!$E$3:$E$157,,0)))*COS(RADIANS(P321-_xlfn.XLOOKUP(R321,'Mall Dataset'!$B$3:$B$157,'Mall Dataset'!$F$3:$F$157,,0))))*6371*1000</f>
        <v>737.44599242157256</v>
      </c>
      <c r="V321" s="39">
        <f>ACOS(COS(RADIANS(90-O321))*COS(RADIANS(90-_xlfn.XLOOKUP(S321,'Schools dataset'!$B$3:$B$187,'Schools dataset'!$J$3:$J$187,,0)))+SIN(RADIANS(90-O321))*SIN(RADIANS(90-_xlfn.XLOOKUP(S321,'Schools dataset'!$B$3:$B$187,'Schools dataset'!$J$3:$J$187,,0)))*COS(RADIANS(P321-_xlfn.XLOOKUP(S321,'Schools dataset'!$B$3:$B$187,'Schools dataset'!$K$3:$K$187,,0))))*6371*1000</f>
        <v>417.08011018000013</v>
      </c>
      <c r="W321" s="20">
        <f>_xlfn.XLOOKUP(T321,'HDB Recommender'!$P$10:$P$39,'HDB Recommender'!$Q$10:$Q$39,"&gt;30mins",1)</f>
        <v>6</v>
      </c>
      <c r="X321" s="20">
        <f>_xlfn.XLOOKUP(U321,'HDB Recommender'!$P$10:$P$39,'HDB Recommender'!$Q$10:$Q$39,"&gt;30mins",1)</f>
        <v>10</v>
      </c>
      <c r="Y321" s="20">
        <f>_xlfn.XLOOKUP(V321,'HDB Recommender'!$P$10:$P$39,'HDB Recommender'!$Q$10:$Q$39,"&gt;30mins",1)</f>
        <v>6</v>
      </c>
      <c r="Z321" s="39">
        <f t="shared" si="8"/>
        <v>7.333333333333333</v>
      </c>
      <c r="AA321" s="20" t="str">
        <f t="shared" si="10"/>
        <v>Within 1km</v>
      </c>
    </row>
    <row r="322" spans="2:27">
      <c r="B322" s="35" t="s">
        <v>317</v>
      </c>
      <c r="C322" s="35" t="s">
        <v>848</v>
      </c>
      <c r="D322" s="35" t="s">
        <v>341</v>
      </c>
      <c r="E322" s="35"/>
      <c r="F322" s="35" t="s">
        <v>851</v>
      </c>
      <c r="G322" s="35" t="s">
        <v>349</v>
      </c>
      <c r="H322" s="35">
        <v>113</v>
      </c>
      <c r="I322" s="35" t="s">
        <v>326</v>
      </c>
      <c r="J322" s="36">
        <v>2018</v>
      </c>
      <c r="K322" s="39">
        <v>93.5833333333333</v>
      </c>
      <c r="L322" s="37">
        <v>635000</v>
      </c>
      <c r="M322" s="35" t="s">
        <v>870</v>
      </c>
      <c r="N322" s="27">
        <v>762508</v>
      </c>
      <c r="O322" s="38">
        <v>1.4142910381770699</v>
      </c>
      <c r="P322" s="38">
        <v>103.839839936719</v>
      </c>
      <c r="Q322" s="38" t="str" cm="1">
        <f t="array" ref="Q322">INDEX('MRT station dataset'!$C$3:$C$179, MATCH(MIN(SQRT(('MRT station dataset'!$E$3:$E$179-'Resale flat dataset (DV)'!O322)^2+('MRT station dataset'!$F$3:$F$179-'Resale flat dataset (DV)'!P322)^2)), SQRT(('MRT station dataset'!$E$3:$E$179-'Resale flat dataset (DV)'!O322)^2+('MRT station dataset'!$F$3:$F$179-'Resale flat dataset (DV)'!P322)^2), 0))</f>
        <v>KHATIB MRT STATION</v>
      </c>
      <c r="R322" s="38" t="str" cm="1">
        <f t="array" ref="R322">INDEX('Mall Dataset'!$B$3:$B$157, MATCH(MIN(SQRT(('Mall Dataset'!$E$3:$E$157-'Resale flat dataset (DV)'!O322)^2+('Mall Dataset'!$F$3:$F$157-'Resale flat dataset (DV)'!P322)^2)), SQRT(('Mall Dataset'!$E$3:$E$157-'Resale flat dataset (DV)'!O322)^2+('Mall Dataset'!$F$3:$F$157-'Resale flat dataset (DV)'!P322)^2), 0))</f>
        <v>Wisteria Mall</v>
      </c>
      <c r="S322" s="38" t="str" cm="1">
        <f t="array" ref="S322">INDEX('Schools dataset'!$B$3:$B$187, MATCH(MIN(SQRT(('Schools dataset'!$J$3:$J$187-'Resale flat dataset (DV)'!O322)^2+('Schools dataset'!$K$3:$K$187-'Resale flat dataset (DV)'!P322)^2)), SQRT(('Schools dataset'!$J$3:$J$187-'Resale flat dataset (DV)'!O322)^2+('Schools dataset'!$K$3:$K$187-'Resale flat dataset (DV)'!P322)^2), 0))</f>
        <v>NAVAL BASE PRIMARY SCHOOL</v>
      </c>
      <c r="T322" s="39">
        <f>ACOS(COS(RADIANS(90-O322))*COS(RADIANS(90-_xlfn.XLOOKUP(Q322,'MRT station dataset'!$C$3:$C$179,'MRT station dataset'!$E$3:$E$179)))+SIN(RADIANS(90-O322))*SIN(RADIANS(90-_xlfn.XLOOKUP(Q322,'MRT station dataset'!$C$3:$C$179,'MRT station dataset'!$E$3:$E$179)))*COS(RADIANS(P322-_xlfn.XLOOKUP('Resale flat dataset (DV)'!Q322,'MRT station dataset'!$C$3:$C$179,'MRT station dataset'!$F$3:$F$179))))*6371*1000</f>
        <v>835.23463923183976</v>
      </c>
      <c r="U322" s="39">
        <f>ACOS(COS(RADIANS(90-O322))*COS(RADIANS(90-_xlfn.XLOOKUP(R322,'Mall Dataset'!$B$3:$B$157,'Mall Dataset'!$E$3:$E$157,,0)))+SIN(RADIANS(90-O322))*SIN(RADIANS(90-_xlfn.XLOOKUP(R322,'Mall Dataset'!$B$3:$B$157,'Mall Dataset'!$E$3:$E$157,,0)))*COS(RADIANS(P322-_xlfn.XLOOKUP(R322,'Mall Dataset'!$B$3:$B$157,'Mall Dataset'!$F$3:$F$157,,0))))*6371*1000</f>
        <v>442.84741073548651</v>
      </c>
      <c r="V322" s="39">
        <f>ACOS(COS(RADIANS(90-O322))*COS(RADIANS(90-_xlfn.XLOOKUP(S322,'Schools dataset'!$B$3:$B$187,'Schools dataset'!$J$3:$J$187,,0)))+SIN(RADIANS(90-O322))*SIN(RADIANS(90-_xlfn.XLOOKUP(S322,'Schools dataset'!$B$3:$B$187,'Schools dataset'!$J$3:$J$187,,0)))*COS(RADIANS(P322-_xlfn.XLOOKUP(S322,'Schools dataset'!$B$3:$B$187,'Schools dataset'!$K$3:$K$187,,0))))*6371*1000</f>
        <v>197.08055676747159</v>
      </c>
      <c r="W322" s="20">
        <f>_xlfn.XLOOKUP(T322,'HDB Recommender'!$P$10:$P$39,'HDB Recommender'!$Q$10:$Q$39,"&gt;30mins",1)</f>
        <v>12</v>
      </c>
      <c r="X322" s="20">
        <f>_xlfn.XLOOKUP(U322,'HDB Recommender'!$P$10:$P$39,'HDB Recommender'!$Q$10:$Q$39,"&gt;30mins",1)</f>
        <v>6</v>
      </c>
      <c r="Y322" s="20">
        <f>_xlfn.XLOOKUP(V322,'HDB Recommender'!$P$10:$P$39,'HDB Recommender'!$Q$10:$Q$39,"&gt;30mins",1)</f>
        <v>3</v>
      </c>
      <c r="Z322" s="39">
        <f t="shared" si="8"/>
        <v>7</v>
      </c>
      <c r="AA322" s="20" t="str">
        <f t="shared" si="10"/>
        <v>Within 1km</v>
      </c>
    </row>
    <row r="325" spans="2:27">
      <c r="L325" s="16"/>
    </row>
    <row r="326" spans="2:27">
      <c r="L326" s="16"/>
      <c r="M326" s="25"/>
    </row>
    <row r="327" spans="2:27">
      <c r="L327" s="16"/>
      <c r="M327" s="25"/>
    </row>
    <row r="328" spans="2:27">
      <c r="L328" s="16"/>
      <c r="M328" s="25"/>
    </row>
    <row r="329" spans="2:27">
      <c r="L329" s="16"/>
      <c r="M329" s="25"/>
    </row>
    <row r="330" spans="2:27">
      <c r="L330" s="16"/>
      <c r="M330" s="25"/>
    </row>
    <row r="331" spans="2:27">
      <c r="L331" s="16"/>
      <c r="M331" s="25"/>
    </row>
    <row r="332" spans="2:27">
      <c r="L332" s="16"/>
      <c r="M332" s="25"/>
    </row>
    <row r="333" spans="2:27">
      <c r="L333" s="16"/>
      <c r="M333" s="25"/>
    </row>
    <row r="334" spans="2:27">
      <c r="L334" s="16"/>
      <c r="M334" s="25"/>
    </row>
    <row r="335" spans="2:27">
      <c r="L335" s="16"/>
      <c r="M335" s="25"/>
    </row>
    <row r="336" spans="2:27">
      <c r="L336" s="16"/>
      <c r="M336" s="25"/>
    </row>
    <row r="337" spans="12:13">
      <c r="L337" s="16"/>
      <c r="M337" s="25"/>
    </row>
    <row r="338" spans="12:13">
      <c r="L338" s="16"/>
      <c r="M338" s="25"/>
    </row>
    <row r="339" spans="12:13">
      <c r="L339" s="16"/>
      <c r="M339" s="25"/>
    </row>
    <row r="340" spans="12:13">
      <c r="L340" s="16"/>
      <c r="M340" s="25"/>
    </row>
    <row r="341" spans="12:13">
      <c r="L341" s="16"/>
      <c r="M341" s="25"/>
    </row>
    <row r="342" spans="12:13">
      <c r="L342" s="16"/>
      <c r="M342" s="25"/>
    </row>
    <row r="343" spans="12:13">
      <c r="L343" s="16"/>
      <c r="M343" s="25"/>
    </row>
    <row r="344" spans="12:13">
      <c r="L344" s="16"/>
      <c r="M344" s="25"/>
    </row>
    <row r="345" spans="12:13">
      <c r="L345" s="16"/>
      <c r="M345" s="25"/>
    </row>
    <row r="346" spans="12:13">
      <c r="L346" s="16"/>
      <c r="M346" s="25"/>
    </row>
    <row r="347" spans="12:13">
      <c r="L347" s="16"/>
      <c r="M347" s="25"/>
    </row>
    <row r="348" spans="12:13">
      <c r="L348" s="16"/>
      <c r="M348" s="25"/>
    </row>
    <row r="349" spans="12:13">
      <c r="L349" s="16"/>
      <c r="M349" s="25"/>
    </row>
    <row r="350" spans="12:13">
      <c r="L350" s="16"/>
      <c r="M350" s="25"/>
    </row>
    <row r="351" spans="12:13">
      <c r="L351" s="16"/>
      <c r="M351" s="25"/>
    </row>
    <row r="352" spans="12:13">
      <c r="L352" s="16"/>
      <c r="M352" s="25"/>
    </row>
    <row r="353" spans="12:13">
      <c r="L353" s="16"/>
      <c r="M353" s="25"/>
    </row>
    <row r="354" spans="12:13">
      <c r="L354" s="16"/>
      <c r="M354" s="25"/>
    </row>
    <row r="355" spans="12:13">
      <c r="L355" s="16"/>
      <c r="M355" s="25"/>
    </row>
    <row r="356" spans="12:13">
      <c r="L356" s="16"/>
      <c r="M356" s="25"/>
    </row>
    <row r="357" spans="12:13">
      <c r="L357" s="16"/>
      <c r="M357" s="25"/>
    </row>
    <row r="358" spans="12:13">
      <c r="L358" s="16"/>
      <c r="M358" s="25"/>
    </row>
    <row r="359" spans="12:13">
      <c r="L359" s="16"/>
      <c r="M359" s="25"/>
    </row>
    <row r="360" spans="12:13">
      <c r="L360" s="16"/>
      <c r="M360" s="25"/>
    </row>
    <row r="361" spans="12:13">
      <c r="L361" s="16"/>
    </row>
    <row r="362" spans="12:13">
      <c r="L362" s="16"/>
    </row>
    <row r="363" spans="12:13">
      <c r="L363" s="16"/>
    </row>
    <row r="364" spans="12:13">
      <c r="L364" s="16"/>
    </row>
    <row r="365" spans="12:13">
      <c r="L365" s="16"/>
    </row>
    <row r="366" spans="12:13">
      <c r="L366" s="16"/>
    </row>
    <row r="367" spans="12:13">
      <c r="L367" s="16"/>
    </row>
    <row r="368" spans="12:13">
      <c r="L368" s="16"/>
    </row>
    <row r="369" spans="12:12">
      <c r="L369" s="16"/>
    </row>
    <row r="370" spans="12:12">
      <c r="L370" s="16"/>
    </row>
    <row r="371" spans="12:12">
      <c r="L371" s="16"/>
    </row>
    <row r="372" spans="12:12">
      <c r="L372" s="16"/>
    </row>
    <row r="373" spans="12:12">
      <c r="L373" s="16"/>
    </row>
    <row r="374" spans="12:12">
      <c r="L374" s="16"/>
    </row>
    <row r="375" spans="12:12">
      <c r="L375" s="16"/>
    </row>
    <row r="376" spans="12:12">
      <c r="L376" s="16"/>
    </row>
    <row r="377" spans="12:12">
      <c r="L377" s="16"/>
    </row>
    <row r="378" spans="12:12">
      <c r="L378" s="16"/>
    </row>
    <row r="379" spans="12:12">
      <c r="L379" s="16"/>
    </row>
    <row r="380" spans="12:12">
      <c r="L380" s="16"/>
    </row>
    <row r="381" spans="12:12">
      <c r="L381" s="16"/>
    </row>
    <row r="382" spans="12:12">
      <c r="L382" s="16"/>
    </row>
    <row r="383" spans="12:12">
      <c r="L383" s="16"/>
    </row>
    <row r="384" spans="12:12">
      <c r="L384" s="16"/>
    </row>
    <row r="385" spans="12:12">
      <c r="L385" s="16"/>
    </row>
    <row r="386" spans="12:12">
      <c r="L386" s="16"/>
    </row>
    <row r="387" spans="12:12">
      <c r="L387" s="16"/>
    </row>
    <row r="388" spans="12:12">
      <c r="L388" s="16"/>
    </row>
    <row r="389" spans="12:12">
      <c r="L389" s="16"/>
    </row>
    <row r="390" spans="12:12">
      <c r="L390" s="16"/>
    </row>
    <row r="391" spans="12:12">
      <c r="L391" s="16"/>
    </row>
    <row r="392" spans="12:12">
      <c r="L392" s="16"/>
    </row>
    <row r="393" spans="12:12">
      <c r="L393" s="16"/>
    </row>
    <row r="394" spans="12:12">
      <c r="L394" s="16"/>
    </row>
    <row r="395" spans="12:12">
      <c r="L395" s="16"/>
    </row>
    <row r="396" spans="12:12">
      <c r="L396" s="16"/>
    </row>
    <row r="397" spans="12:12">
      <c r="L397" s="16"/>
    </row>
    <row r="398" spans="12:12">
      <c r="L398" s="16"/>
    </row>
    <row r="399" spans="12:12">
      <c r="L399" s="16"/>
    </row>
    <row r="400" spans="12:12">
      <c r="L400" s="16"/>
    </row>
    <row r="401" spans="12:12">
      <c r="L401" s="16"/>
    </row>
    <row r="402" spans="12:12">
      <c r="L402" s="16"/>
    </row>
    <row r="403" spans="12:12">
      <c r="L403" s="16"/>
    </row>
    <row r="404" spans="12:12">
      <c r="L404" s="16"/>
    </row>
    <row r="405" spans="12:12">
      <c r="L405" s="16"/>
    </row>
    <row r="406" spans="12:12">
      <c r="L406" s="16"/>
    </row>
    <row r="407" spans="12:12">
      <c r="L407" s="16"/>
    </row>
    <row r="408" spans="12:12">
      <c r="L408" s="16"/>
    </row>
    <row r="409" spans="12:12">
      <c r="L409" s="16"/>
    </row>
    <row r="410" spans="12:12">
      <c r="L410" s="16"/>
    </row>
    <row r="411" spans="12:12">
      <c r="L411" s="16"/>
    </row>
    <row r="412" spans="12:12">
      <c r="L412" s="16"/>
    </row>
    <row r="413" spans="12:12">
      <c r="L413" s="16"/>
    </row>
    <row r="414" spans="12:12">
      <c r="L414" s="16"/>
    </row>
    <row r="415" spans="12:12">
      <c r="L415" s="16"/>
    </row>
    <row r="416" spans="12:12">
      <c r="L416" s="16"/>
    </row>
    <row r="417" spans="12:12">
      <c r="L417" s="16"/>
    </row>
    <row r="418" spans="12:12">
      <c r="L418" s="16"/>
    </row>
    <row r="419" spans="12:12">
      <c r="L419" s="16"/>
    </row>
    <row r="420" spans="12:12">
      <c r="L420" s="16"/>
    </row>
    <row r="421" spans="12:12">
      <c r="L421" s="16"/>
    </row>
    <row r="422" spans="12:12">
      <c r="L422" s="16"/>
    </row>
    <row r="423" spans="12:12">
      <c r="L423" s="16"/>
    </row>
    <row r="424" spans="12:12">
      <c r="L424" s="16"/>
    </row>
    <row r="425" spans="12:12">
      <c r="L425" s="16"/>
    </row>
    <row r="426" spans="12:12">
      <c r="L426" s="16"/>
    </row>
    <row r="427" spans="12:12">
      <c r="L427" s="16"/>
    </row>
    <row r="428" spans="12:12">
      <c r="L428" s="16"/>
    </row>
    <row r="429" spans="12:12">
      <c r="L429" s="16"/>
    </row>
    <row r="430" spans="12:12">
      <c r="L430" s="16"/>
    </row>
    <row r="431" spans="12:12">
      <c r="L431" s="16"/>
    </row>
    <row r="432" spans="12:12">
      <c r="L432" s="16"/>
    </row>
    <row r="433" spans="12:12">
      <c r="L433" s="16"/>
    </row>
    <row r="434" spans="12:12">
      <c r="L434" s="16"/>
    </row>
    <row r="435" spans="12:12">
      <c r="L435" s="16"/>
    </row>
    <row r="436" spans="12:12">
      <c r="L436" s="16"/>
    </row>
    <row r="437" spans="12:12">
      <c r="L437" s="16"/>
    </row>
    <row r="438" spans="12:12">
      <c r="L438" s="16"/>
    </row>
    <row r="439" spans="12:12">
      <c r="L439" s="16"/>
    </row>
    <row r="440" spans="12:12">
      <c r="L440" s="16"/>
    </row>
    <row r="441" spans="12:12">
      <c r="L441" s="16"/>
    </row>
    <row r="442" spans="12:12">
      <c r="L442" s="16"/>
    </row>
    <row r="443" spans="12:12">
      <c r="L443" s="16"/>
    </row>
    <row r="444" spans="12:12">
      <c r="L444" s="16"/>
    </row>
    <row r="445" spans="12:12">
      <c r="L445" s="16"/>
    </row>
    <row r="446" spans="12:12">
      <c r="L446" s="16"/>
    </row>
    <row r="447" spans="12:12">
      <c r="L447" s="16"/>
    </row>
    <row r="448" spans="12:12">
      <c r="L448" s="16"/>
    </row>
    <row r="449" spans="12:12">
      <c r="L449" s="16"/>
    </row>
    <row r="450" spans="12:12">
      <c r="L450" s="16"/>
    </row>
    <row r="451" spans="12:12">
      <c r="L451" s="16"/>
    </row>
    <row r="452" spans="12:12">
      <c r="L452" s="16"/>
    </row>
    <row r="453" spans="12:12">
      <c r="L453" s="16"/>
    </row>
    <row r="454" spans="12:12">
      <c r="L454" s="16"/>
    </row>
    <row r="455" spans="12:12">
      <c r="L455" s="16"/>
    </row>
    <row r="456" spans="12:12">
      <c r="L456" s="16"/>
    </row>
    <row r="457" spans="12:12">
      <c r="L457" s="16"/>
    </row>
    <row r="458" spans="12:12">
      <c r="L458" s="16"/>
    </row>
    <row r="459" spans="12:12">
      <c r="L459" s="16"/>
    </row>
    <row r="460" spans="12:12">
      <c r="L460" s="16"/>
    </row>
    <row r="461" spans="12:12">
      <c r="L461" s="16"/>
    </row>
    <row r="462" spans="12:12">
      <c r="L462" s="16"/>
    </row>
    <row r="463" spans="12:12">
      <c r="L463" s="16"/>
    </row>
    <row r="464" spans="12:12">
      <c r="L464" s="16"/>
    </row>
    <row r="465" spans="12:12">
      <c r="L465" s="16"/>
    </row>
    <row r="466" spans="12:12">
      <c r="L466" s="16"/>
    </row>
    <row r="467" spans="12:12">
      <c r="L467" s="16"/>
    </row>
    <row r="468" spans="12:12">
      <c r="L468" s="16"/>
    </row>
    <row r="469" spans="12:12">
      <c r="L469" s="16"/>
    </row>
    <row r="470" spans="12:12">
      <c r="L470" s="16"/>
    </row>
    <row r="471" spans="12:12">
      <c r="L471" s="16"/>
    </row>
    <row r="472" spans="12:12">
      <c r="L472" s="16"/>
    </row>
  </sheetData>
  <sheetProtection sheet="1" objects="1" scenarios="1"/>
  <autoFilter ref="C2:AA322" xr:uid="{CC866CBE-C7CF-0E4F-BD56-9F7977858C45}"/>
  <pageMargins left="0.7" right="0.7" top="0.75" bottom="0.75" header="0.3" footer="0.3"/>
  <pageSetup paperSize="9"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76FA9-12DD-4406-8350-0E2A44DADC77}">
  <sheetPr codeName="Sheet7"/>
  <dimension ref="B2:G179"/>
  <sheetViews>
    <sheetView showGridLines="0" zoomScale="109" workbookViewId="0">
      <selection activeCell="D3" sqref="D3"/>
    </sheetView>
  </sheetViews>
  <sheetFormatPr defaultColWidth="11" defaultRowHeight="15.75"/>
  <cols>
    <col min="1" max="1" width="2.5" customWidth="1"/>
    <col min="3" max="3" width="31.5" customWidth="1"/>
    <col min="7" max="7" width="10.875" style="25"/>
  </cols>
  <sheetData>
    <row r="2" spans="2:7">
      <c r="B2" s="19" t="s">
        <v>871</v>
      </c>
      <c r="C2" s="19" t="s">
        <v>872</v>
      </c>
      <c r="D2" s="19" t="s">
        <v>873</v>
      </c>
      <c r="E2" s="19" t="s">
        <v>309</v>
      </c>
      <c r="F2" s="19" t="s">
        <v>310</v>
      </c>
      <c r="G2" s="26" t="s">
        <v>308</v>
      </c>
    </row>
    <row r="3" spans="2:7">
      <c r="B3" s="20">
        <v>1</v>
      </c>
      <c r="C3" s="20" t="s">
        <v>874</v>
      </c>
      <c r="D3" s="20" t="s">
        <v>875</v>
      </c>
      <c r="E3" s="23">
        <v>1.3198000000000001</v>
      </c>
      <c r="F3" s="23">
        <v>103.9033</v>
      </c>
      <c r="G3" s="27">
        <v>409423</v>
      </c>
    </row>
    <row r="4" spans="2:7">
      <c r="B4" s="20">
        <v>2</v>
      </c>
      <c r="C4" s="20" t="s">
        <v>876</v>
      </c>
      <c r="D4" s="20" t="s">
        <v>877</v>
      </c>
      <c r="E4" s="23">
        <v>1.3424</v>
      </c>
      <c r="F4" s="23">
        <v>103.73260000000001</v>
      </c>
      <c r="G4" s="27">
        <v>609959</v>
      </c>
    </row>
    <row r="5" spans="2:7">
      <c r="B5" s="20">
        <v>3</v>
      </c>
      <c r="C5" s="20" t="s">
        <v>878</v>
      </c>
      <c r="D5" s="20" t="s">
        <v>879</v>
      </c>
      <c r="E5" s="23">
        <v>1.4174</v>
      </c>
      <c r="F5" s="23">
        <v>103.833</v>
      </c>
      <c r="G5" s="27">
        <v>769092</v>
      </c>
    </row>
    <row r="6" spans="2:7">
      <c r="B6" s="20">
        <v>4</v>
      </c>
      <c r="C6" s="20" t="s">
        <v>880</v>
      </c>
      <c r="D6" s="20" t="s">
        <v>881</v>
      </c>
      <c r="E6" s="23">
        <v>1.4252</v>
      </c>
      <c r="F6" s="23">
        <v>103.76220000000001</v>
      </c>
      <c r="G6" s="27">
        <v>738702</v>
      </c>
    </row>
    <row r="7" spans="2:7">
      <c r="B7" s="20">
        <v>5</v>
      </c>
      <c r="C7" s="20" t="s">
        <v>882</v>
      </c>
      <c r="D7" s="20" t="s">
        <v>883</v>
      </c>
      <c r="E7" s="23">
        <v>1.2896000000000001</v>
      </c>
      <c r="F7" s="23">
        <v>103.8168</v>
      </c>
      <c r="G7" s="27">
        <v>158792</v>
      </c>
    </row>
    <row r="8" spans="2:7">
      <c r="B8" s="20">
        <v>6</v>
      </c>
      <c r="C8" s="20" t="s">
        <v>884</v>
      </c>
      <c r="D8" s="20" t="s">
        <v>885</v>
      </c>
      <c r="E8" s="23">
        <v>1.3975</v>
      </c>
      <c r="F8" s="23">
        <v>103.7474</v>
      </c>
      <c r="G8" s="27">
        <v>689715</v>
      </c>
    </row>
    <row r="9" spans="2:7">
      <c r="B9" s="20">
        <v>7</v>
      </c>
      <c r="C9" s="20" t="s">
        <v>886</v>
      </c>
      <c r="D9" s="20" t="s">
        <v>887</v>
      </c>
      <c r="E9" s="23">
        <v>1.3375999999999999</v>
      </c>
      <c r="F9" s="23">
        <v>103.6973</v>
      </c>
      <c r="G9" s="27">
        <v>648310</v>
      </c>
    </row>
    <row r="10" spans="2:7">
      <c r="B10" s="20">
        <v>8</v>
      </c>
      <c r="C10" s="20" t="s">
        <v>888</v>
      </c>
      <c r="D10" s="20" t="s">
        <v>889</v>
      </c>
      <c r="E10" s="23">
        <v>1.3024</v>
      </c>
      <c r="F10" s="23">
        <v>103.7983</v>
      </c>
      <c r="G10" s="27">
        <v>149735</v>
      </c>
    </row>
    <row r="11" spans="2:7">
      <c r="B11" s="20">
        <v>9</v>
      </c>
      <c r="C11" s="20" t="s">
        <v>890</v>
      </c>
      <c r="D11" s="20" t="s">
        <v>891</v>
      </c>
      <c r="E11" s="23">
        <v>1.3181</v>
      </c>
      <c r="F11" s="23">
        <v>103.8931</v>
      </c>
      <c r="G11" s="27">
        <v>409049</v>
      </c>
    </row>
    <row r="12" spans="2:7">
      <c r="B12" s="20">
        <v>10</v>
      </c>
      <c r="C12" s="20" t="s">
        <v>892</v>
      </c>
      <c r="D12" s="20" t="s">
        <v>893</v>
      </c>
      <c r="E12" s="23">
        <v>1.3431999999999999</v>
      </c>
      <c r="F12" s="23">
        <v>103.9534</v>
      </c>
      <c r="G12" s="27">
        <v>529888</v>
      </c>
    </row>
    <row r="13" spans="2:7">
      <c r="B13" s="20">
        <v>11</v>
      </c>
      <c r="C13" s="20" t="s">
        <v>894</v>
      </c>
      <c r="D13" s="20" t="s">
        <v>895</v>
      </c>
      <c r="E13" s="23">
        <v>1.3532999999999999</v>
      </c>
      <c r="F13" s="23">
        <v>103.9451</v>
      </c>
      <c r="G13" s="27">
        <v>529683</v>
      </c>
    </row>
    <row r="14" spans="2:7">
      <c r="B14" s="20">
        <v>12</v>
      </c>
      <c r="C14" s="20" t="s">
        <v>896</v>
      </c>
      <c r="D14" s="20" t="s">
        <v>897</v>
      </c>
      <c r="E14" s="23">
        <v>1.4406000000000001</v>
      </c>
      <c r="F14" s="23">
        <v>103.801</v>
      </c>
      <c r="G14" s="27">
        <v>738344</v>
      </c>
    </row>
    <row r="15" spans="2:7">
      <c r="B15" s="20">
        <v>13</v>
      </c>
      <c r="C15" s="20" t="s">
        <v>898</v>
      </c>
      <c r="D15" s="20" t="s">
        <v>899</v>
      </c>
      <c r="E15" s="23">
        <v>1.4294</v>
      </c>
      <c r="F15" s="23">
        <v>103.83499999999999</v>
      </c>
      <c r="G15" s="27">
        <v>769093</v>
      </c>
    </row>
    <row r="16" spans="2:7">
      <c r="B16" s="20">
        <v>14</v>
      </c>
      <c r="C16" s="20" t="s">
        <v>900</v>
      </c>
      <c r="D16" s="20" t="s">
        <v>901</v>
      </c>
      <c r="E16" s="23">
        <v>1.373</v>
      </c>
      <c r="F16" s="23">
        <v>103.94929999999999</v>
      </c>
      <c r="G16" s="27">
        <v>519634</v>
      </c>
    </row>
    <row r="17" spans="2:7">
      <c r="B17" s="20">
        <v>15</v>
      </c>
      <c r="C17" s="20" t="s">
        <v>902</v>
      </c>
      <c r="D17" s="20" t="s">
        <v>903</v>
      </c>
      <c r="E17" s="23">
        <v>1.3149999999999999</v>
      </c>
      <c r="F17" s="23">
        <v>103.7653</v>
      </c>
      <c r="G17" s="27">
        <v>129580</v>
      </c>
    </row>
    <row r="18" spans="2:7">
      <c r="B18" s="20">
        <v>16</v>
      </c>
      <c r="C18" s="20" t="s">
        <v>904</v>
      </c>
      <c r="D18" s="20" t="s">
        <v>905</v>
      </c>
      <c r="E18" s="23">
        <v>1.3164</v>
      </c>
      <c r="F18" s="23">
        <v>103.88290000000001</v>
      </c>
      <c r="G18" s="27">
        <v>388310</v>
      </c>
    </row>
    <row r="19" spans="2:7">
      <c r="B19" s="20">
        <v>17</v>
      </c>
      <c r="C19" s="20" t="s">
        <v>906</v>
      </c>
      <c r="D19" s="20" t="s">
        <v>907</v>
      </c>
      <c r="E19" s="23">
        <v>1.3693</v>
      </c>
      <c r="F19" s="23">
        <v>103.84990000000001</v>
      </c>
      <c r="G19" s="27">
        <v>569811</v>
      </c>
    </row>
    <row r="20" spans="2:7">
      <c r="B20" s="20">
        <v>18</v>
      </c>
      <c r="C20" s="20" t="s">
        <v>908</v>
      </c>
      <c r="D20" s="20" t="s">
        <v>909</v>
      </c>
      <c r="E20" s="23">
        <v>1.3345</v>
      </c>
      <c r="F20" s="23">
        <v>103.9615</v>
      </c>
      <c r="G20" s="27">
        <v>485985</v>
      </c>
    </row>
    <row r="21" spans="2:7">
      <c r="B21" s="20">
        <v>19</v>
      </c>
      <c r="C21" s="20" t="s">
        <v>910</v>
      </c>
      <c r="D21" s="20" t="s">
        <v>911</v>
      </c>
      <c r="E21" s="23">
        <v>1.3854</v>
      </c>
      <c r="F21" s="23">
        <v>103.7443</v>
      </c>
      <c r="G21" s="27">
        <v>689810</v>
      </c>
    </row>
    <row r="22" spans="2:7">
      <c r="B22" s="20">
        <v>20</v>
      </c>
      <c r="C22" s="20" t="s">
        <v>912</v>
      </c>
      <c r="D22" s="20" t="s">
        <v>913</v>
      </c>
      <c r="E22" s="23">
        <v>1.3331999999999999</v>
      </c>
      <c r="F22" s="23">
        <v>103.7423</v>
      </c>
      <c r="G22" s="27">
        <v>609690</v>
      </c>
    </row>
    <row r="23" spans="2:7">
      <c r="B23" s="20">
        <v>21</v>
      </c>
      <c r="C23" s="20" t="s">
        <v>914</v>
      </c>
      <c r="D23" s="20" t="s">
        <v>915</v>
      </c>
      <c r="E23" s="23">
        <v>1.2948999999999999</v>
      </c>
      <c r="F23" s="23">
        <v>103.80589999999999</v>
      </c>
      <c r="G23" s="27">
        <v>149729</v>
      </c>
    </row>
    <row r="24" spans="2:7">
      <c r="B24" s="20">
        <v>22</v>
      </c>
      <c r="C24" s="20" t="s">
        <v>916</v>
      </c>
      <c r="D24" s="20" t="s">
        <v>917</v>
      </c>
      <c r="E24" s="23">
        <v>1.3405</v>
      </c>
      <c r="F24" s="23">
        <v>103.6369</v>
      </c>
      <c r="G24" s="27">
        <v>638418</v>
      </c>
    </row>
    <row r="25" spans="2:7">
      <c r="B25" s="20">
        <v>23</v>
      </c>
      <c r="C25" s="20" t="s">
        <v>918</v>
      </c>
      <c r="D25" s="20" t="s">
        <v>919</v>
      </c>
      <c r="E25" s="23">
        <v>1.3194999999999999</v>
      </c>
      <c r="F25" s="23">
        <v>103.6606</v>
      </c>
      <c r="G25" s="27">
        <v>637288</v>
      </c>
    </row>
    <row r="26" spans="2:7">
      <c r="B26" s="20">
        <v>24</v>
      </c>
      <c r="C26" s="20" t="s">
        <v>920</v>
      </c>
      <c r="D26" s="20" t="s">
        <v>921</v>
      </c>
      <c r="E26" s="23">
        <v>1.4369000000000001</v>
      </c>
      <c r="F26" s="23">
        <v>103.7865</v>
      </c>
      <c r="G26" s="27">
        <v>737736</v>
      </c>
    </row>
    <row r="27" spans="2:7">
      <c r="B27" s="20">
        <v>25</v>
      </c>
      <c r="C27" s="20" t="s">
        <v>922</v>
      </c>
      <c r="D27" s="20" t="s">
        <v>923</v>
      </c>
      <c r="E27" s="23">
        <v>1.321</v>
      </c>
      <c r="F27" s="23">
        <v>103.6491</v>
      </c>
      <c r="G27" s="27">
        <v>639608</v>
      </c>
    </row>
    <row r="28" spans="2:7">
      <c r="B28" s="20">
        <v>26</v>
      </c>
      <c r="C28" s="20" t="s">
        <v>924</v>
      </c>
      <c r="D28" s="20" t="s">
        <v>925</v>
      </c>
      <c r="E28" s="23">
        <v>1.3115000000000001</v>
      </c>
      <c r="F28" s="23">
        <v>103.87139999999999</v>
      </c>
      <c r="G28" s="27">
        <v>387405</v>
      </c>
    </row>
    <row r="29" spans="2:7">
      <c r="B29" s="20">
        <v>27</v>
      </c>
      <c r="C29" s="20" t="s">
        <v>926</v>
      </c>
      <c r="D29" s="20" t="s">
        <v>927</v>
      </c>
      <c r="E29" s="23">
        <v>1.33</v>
      </c>
      <c r="F29" s="23">
        <v>103.6396</v>
      </c>
      <c r="G29" s="27">
        <v>639609</v>
      </c>
    </row>
    <row r="30" spans="2:7">
      <c r="B30" s="20">
        <v>28</v>
      </c>
      <c r="C30" s="20" t="s">
        <v>928</v>
      </c>
      <c r="D30" s="20" t="s">
        <v>929</v>
      </c>
      <c r="E30" s="23">
        <v>1.3071999999999999</v>
      </c>
      <c r="F30" s="23">
        <v>103.7902</v>
      </c>
      <c r="G30" s="27">
        <v>139345</v>
      </c>
    </row>
    <row r="31" spans="2:7">
      <c r="B31" s="20">
        <v>29</v>
      </c>
      <c r="C31" s="20" t="s">
        <v>930</v>
      </c>
      <c r="D31" s="20" t="s">
        <v>931</v>
      </c>
      <c r="E31" s="23">
        <v>1.3113999999999999</v>
      </c>
      <c r="F31" s="23">
        <v>103.7786</v>
      </c>
      <c r="G31" s="27">
        <v>138677</v>
      </c>
    </row>
    <row r="32" spans="2:7">
      <c r="B32" s="20">
        <v>30</v>
      </c>
      <c r="C32" s="20" t="s">
        <v>932</v>
      </c>
      <c r="D32" s="20" t="s">
        <v>933</v>
      </c>
      <c r="E32" s="23">
        <v>1.4491000000000001</v>
      </c>
      <c r="F32" s="23">
        <v>103.82</v>
      </c>
      <c r="G32" s="27">
        <v>759775</v>
      </c>
    </row>
    <row r="33" spans="2:7">
      <c r="B33" s="20">
        <v>31</v>
      </c>
      <c r="C33" s="20" t="s">
        <v>934</v>
      </c>
      <c r="D33" s="20" t="s">
        <v>935</v>
      </c>
      <c r="E33" s="23">
        <v>1.321</v>
      </c>
      <c r="F33" s="23">
        <v>103.91289999999999</v>
      </c>
      <c r="G33" s="27">
        <v>416551</v>
      </c>
    </row>
    <row r="34" spans="2:7">
      <c r="B34" s="20">
        <v>32</v>
      </c>
      <c r="C34" s="20" t="s">
        <v>936</v>
      </c>
      <c r="D34" s="20" t="s">
        <v>937</v>
      </c>
      <c r="E34" s="23">
        <v>1.349</v>
      </c>
      <c r="F34" s="23">
        <v>103.7496</v>
      </c>
      <c r="G34" s="27">
        <v>659958</v>
      </c>
    </row>
    <row r="35" spans="2:7">
      <c r="B35" s="20">
        <v>34</v>
      </c>
      <c r="C35" s="20" t="s">
        <v>938</v>
      </c>
      <c r="D35" s="20" t="s">
        <v>939</v>
      </c>
      <c r="E35" s="23">
        <v>1.3386</v>
      </c>
      <c r="F35" s="23">
        <v>103.70610000000001</v>
      </c>
      <c r="G35" s="27">
        <v>649846</v>
      </c>
    </row>
    <row r="36" spans="2:7">
      <c r="B36" s="20">
        <v>35</v>
      </c>
      <c r="C36" s="20" t="s">
        <v>940</v>
      </c>
      <c r="D36" s="20" t="s">
        <v>941</v>
      </c>
      <c r="E36" s="23">
        <v>1.3588</v>
      </c>
      <c r="F36" s="23">
        <v>103.75190000000001</v>
      </c>
      <c r="G36" s="27">
        <v>659083</v>
      </c>
    </row>
    <row r="37" spans="2:7">
      <c r="B37" s="20">
        <v>36</v>
      </c>
      <c r="C37" s="20" t="s">
        <v>942</v>
      </c>
      <c r="D37" s="20" t="s">
        <v>943</v>
      </c>
      <c r="E37" s="23">
        <v>1.4325000000000001</v>
      </c>
      <c r="F37" s="23">
        <v>103.7741</v>
      </c>
      <c r="G37" s="27">
        <v>739044</v>
      </c>
    </row>
    <row r="38" spans="2:7">
      <c r="B38" s="20">
        <v>37</v>
      </c>
      <c r="C38" s="20" t="s">
        <v>944</v>
      </c>
      <c r="D38" s="20" t="s">
        <v>945</v>
      </c>
      <c r="E38" s="23">
        <v>1.3240000000000001</v>
      </c>
      <c r="F38" s="23">
        <v>103.93</v>
      </c>
      <c r="G38" s="27">
        <v>469731</v>
      </c>
    </row>
    <row r="39" spans="2:7">
      <c r="B39" s="20">
        <v>38</v>
      </c>
      <c r="C39" s="20" t="s">
        <v>946</v>
      </c>
      <c r="D39" s="20" t="s">
        <v>947</v>
      </c>
      <c r="E39" s="23">
        <v>1.3277000000000001</v>
      </c>
      <c r="F39" s="23">
        <v>103.6784</v>
      </c>
      <c r="G39" s="27">
        <v>629116</v>
      </c>
    </row>
    <row r="40" spans="2:7">
      <c r="B40" s="20">
        <v>39</v>
      </c>
      <c r="C40" s="20" t="s">
        <v>948</v>
      </c>
      <c r="D40" s="20" t="s">
        <v>949</v>
      </c>
      <c r="E40" s="23">
        <v>1.3443000000000001</v>
      </c>
      <c r="F40" s="23">
        <v>103.7209</v>
      </c>
      <c r="G40" s="27">
        <v>649845</v>
      </c>
    </row>
    <row r="41" spans="2:7">
      <c r="B41" s="20">
        <v>40</v>
      </c>
      <c r="C41" s="20" t="s">
        <v>950</v>
      </c>
      <c r="D41" s="20" t="s">
        <v>951</v>
      </c>
      <c r="E41" s="23">
        <v>1.3271999999999999</v>
      </c>
      <c r="F41" s="23">
        <v>103.94629999999999</v>
      </c>
      <c r="G41" s="27">
        <v>467356</v>
      </c>
    </row>
    <row r="42" spans="2:7">
      <c r="B42" s="20">
        <v>41</v>
      </c>
      <c r="C42" s="20" t="s">
        <v>952</v>
      </c>
      <c r="D42" s="20" t="s">
        <v>953</v>
      </c>
      <c r="E42" s="23">
        <v>1.3817999999999999</v>
      </c>
      <c r="F42" s="23">
        <v>103.8449</v>
      </c>
      <c r="G42" s="27">
        <v>569813</v>
      </c>
    </row>
    <row r="43" spans="2:7">
      <c r="B43" s="20">
        <v>42</v>
      </c>
      <c r="C43" s="20" t="s">
        <v>954</v>
      </c>
      <c r="D43" s="20" t="s">
        <v>955</v>
      </c>
      <c r="E43" s="23">
        <v>1.4023000000000001</v>
      </c>
      <c r="F43" s="23">
        <v>103.9127</v>
      </c>
      <c r="G43" s="27">
        <v>828854</v>
      </c>
    </row>
    <row r="44" spans="2:7">
      <c r="B44" s="20">
        <v>43</v>
      </c>
      <c r="C44" s="20" t="s">
        <v>956</v>
      </c>
      <c r="D44" s="20" t="s">
        <v>957</v>
      </c>
      <c r="E44" s="23">
        <v>1.4096</v>
      </c>
      <c r="F44" s="23">
        <v>103.90479999999999</v>
      </c>
      <c r="G44" s="27">
        <v>828851</v>
      </c>
    </row>
    <row r="45" spans="2:7">
      <c r="B45" s="20">
        <v>44</v>
      </c>
      <c r="C45" s="20" t="s">
        <v>958</v>
      </c>
      <c r="D45" s="20" t="s">
        <v>959</v>
      </c>
      <c r="E45" s="23">
        <v>1.3972</v>
      </c>
      <c r="F45" s="23">
        <v>103.88930000000001</v>
      </c>
      <c r="G45" s="27">
        <v>545048</v>
      </c>
    </row>
    <row r="46" spans="2:7">
      <c r="B46" s="20">
        <v>45</v>
      </c>
      <c r="C46" s="20" t="s">
        <v>960</v>
      </c>
      <c r="D46" s="20" t="s">
        <v>961</v>
      </c>
      <c r="E46" s="23">
        <v>1.3982000000000001</v>
      </c>
      <c r="F46" s="23">
        <v>103.8813</v>
      </c>
      <c r="G46" s="27">
        <v>797697</v>
      </c>
    </row>
    <row r="47" spans="2:7">
      <c r="B47" s="20">
        <v>46</v>
      </c>
      <c r="C47" s="20" t="s">
        <v>962</v>
      </c>
      <c r="D47" s="20" t="s">
        <v>963</v>
      </c>
      <c r="E47" s="23">
        <v>1.3867</v>
      </c>
      <c r="F47" s="23">
        <v>103.8905</v>
      </c>
      <c r="G47" s="27">
        <v>545049</v>
      </c>
    </row>
    <row r="48" spans="2:7">
      <c r="B48" s="20">
        <v>47</v>
      </c>
      <c r="C48" s="20" t="s">
        <v>964</v>
      </c>
      <c r="D48" s="20" t="s">
        <v>965</v>
      </c>
      <c r="E48" s="23">
        <v>1.3778999999999999</v>
      </c>
      <c r="F48" s="23">
        <v>103.76300000000001</v>
      </c>
      <c r="G48" s="27">
        <v>678268</v>
      </c>
    </row>
    <row r="49" spans="2:7">
      <c r="B49" s="20">
        <v>48</v>
      </c>
      <c r="C49" s="20" t="s">
        <v>966</v>
      </c>
      <c r="D49" s="20" t="s">
        <v>967</v>
      </c>
      <c r="E49" s="23">
        <v>1.3845000000000001</v>
      </c>
      <c r="F49" s="23">
        <v>103.77079999999999</v>
      </c>
      <c r="G49" s="27">
        <v>679004</v>
      </c>
    </row>
    <row r="50" spans="2:7">
      <c r="B50" s="20">
        <v>50</v>
      </c>
      <c r="C50" s="20" t="s">
        <v>968</v>
      </c>
      <c r="D50" s="20" t="s">
        <v>969</v>
      </c>
      <c r="E50" s="23">
        <v>1.4052</v>
      </c>
      <c r="F50" s="23">
        <v>103.9024</v>
      </c>
      <c r="G50" s="27">
        <v>828868</v>
      </c>
    </row>
    <row r="51" spans="2:7">
      <c r="B51" s="20">
        <v>51</v>
      </c>
      <c r="C51" s="20" t="s">
        <v>970</v>
      </c>
      <c r="D51" s="20" t="s">
        <v>971</v>
      </c>
      <c r="E51" s="23">
        <v>1.4158999999999999</v>
      </c>
      <c r="F51" s="23">
        <v>103.90219999999999</v>
      </c>
      <c r="G51" s="27">
        <v>828645</v>
      </c>
    </row>
    <row r="52" spans="2:7">
      <c r="B52" s="20">
        <v>52</v>
      </c>
      <c r="C52" s="20" t="s">
        <v>972</v>
      </c>
      <c r="D52" s="20" t="s">
        <v>973</v>
      </c>
      <c r="E52" s="23">
        <v>1.4118999999999999</v>
      </c>
      <c r="F52" s="23">
        <v>103.9003</v>
      </c>
      <c r="G52" s="27">
        <v>828862</v>
      </c>
    </row>
    <row r="53" spans="2:7">
      <c r="B53" s="20">
        <v>53</v>
      </c>
      <c r="C53" s="20" t="s">
        <v>974</v>
      </c>
      <c r="D53" s="20" t="s">
        <v>975</v>
      </c>
      <c r="E53" s="23">
        <v>1.4051</v>
      </c>
      <c r="F53" s="23">
        <v>103.8972</v>
      </c>
      <c r="G53" s="27">
        <v>828864</v>
      </c>
    </row>
    <row r="54" spans="2:7">
      <c r="B54" s="20">
        <v>54</v>
      </c>
      <c r="C54" s="20" t="s">
        <v>976</v>
      </c>
      <c r="D54" s="20" t="s">
        <v>977</v>
      </c>
      <c r="E54" s="23">
        <v>1.3996</v>
      </c>
      <c r="F54" s="23">
        <v>103.9165</v>
      </c>
      <c r="G54" s="27">
        <v>828853</v>
      </c>
    </row>
    <row r="55" spans="2:7">
      <c r="B55" s="20">
        <v>55</v>
      </c>
      <c r="C55" s="20" t="s">
        <v>978</v>
      </c>
      <c r="D55" s="20" t="s">
        <v>979</v>
      </c>
      <c r="E55" s="23">
        <v>1.3938999999999999</v>
      </c>
      <c r="F55" s="23">
        <v>103.9126</v>
      </c>
      <c r="G55" s="27">
        <v>828856</v>
      </c>
    </row>
    <row r="56" spans="2:7">
      <c r="B56" s="20">
        <v>56</v>
      </c>
      <c r="C56" s="20" t="s">
        <v>980</v>
      </c>
      <c r="D56" s="20" t="s">
        <v>981</v>
      </c>
      <c r="E56" s="23">
        <v>1.3973</v>
      </c>
      <c r="F56" s="23">
        <v>103.87560000000001</v>
      </c>
      <c r="G56" s="27">
        <v>797699</v>
      </c>
    </row>
    <row r="57" spans="2:7">
      <c r="B57" s="20">
        <v>57</v>
      </c>
      <c r="C57" s="20" t="s">
        <v>982</v>
      </c>
      <c r="D57" s="20" t="s">
        <v>983</v>
      </c>
      <c r="E57" s="23">
        <v>1.3786</v>
      </c>
      <c r="F57" s="23">
        <v>103.7491</v>
      </c>
      <c r="G57" s="27">
        <v>688266</v>
      </c>
    </row>
    <row r="58" spans="2:7">
      <c r="B58" s="20">
        <v>58</v>
      </c>
      <c r="C58" s="20" t="s">
        <v>984</v>
      </c>
      <c r="D58" s="20" t="s">
        <v>985</v>
      </c>
      <c r="E58" s="23">
        <v>1.4052</v>
      </c>
      <c r="F58" s="23">
        <v>103.90860000000001</v>
      </c>
      <c r="G58" s="27">
        <v>828855</v>
      </c>
    </row>
    <row r="59" spans="2:7">
      <c r="B59" s="20">
        <v>59</v>
      </c>
      <c r="C59" s="20" t="s">
        <v>986</v>
      </c>
      <c r="D59" s="20" t="s">
        <v>987</v>
      </c>
      <c r="E59" s="23">
        <v>1.3993</v>
      </c>
      <c r="F59" s="23">
        <v>103.90600000000001</v>
      </c>
      <c r="G59" s="27">
        <v>828858</v>
      </c>
    </row>
    <row r="60" spans="2:7">
      <c r="B60" s="20">
        <v>60</v>
      </c>
      <c r="C60" s="20" t="s">
        <v>988</v>
      </c>
      <c r="D60" s="20" t="s">
        <v>989</v>
      </c>
      <c r="E60" s="23">
        <v>1.3945000000000001</v>
      </c>
      <c r="F60" s="23">
        <v>103.9162</v>
      </c>
      <c r="G60" s="27">
        <v>828852</v>
      </c>
    </row>
    <row r="61" spans="2:7">
      <c r="B61" s="20">
        <v>61</v>
      </c>
      <c r="C61" s="20" t="s">
        <v>990</v>
      </c>
      <c r="D61" s="20" t="s">
        <v>991</v>
      </c>
      <c r="E61" s="23">
        <v>1.3827</v>
      </c>
      <c r="F61" s="23">
        <v>103.7624</v>
      </c>
      <c r="G61" s="27">
        <v>679942</v>
      </c>
    </row>
    <row r="62" spans="2:7">
      <c r="B62" s="20">
        <v>62</v>
      </c>
      <c r="C62" s="20" t="s">
        <v>992</v>
      </c>
      <c r="D62" s="20" t="s">
        <v>993</v>
      </c>
      <c r="E62" s="23">
        <v>1.3867</v>
      </c>
      <c r="F62" s="23">
        <v>103.7645</v>
      </c>
      <c r="G62" s="27">
        <v>679941</v>
      </c>
    </row>
    <row r="63" spans="2:7">
      <c r="B63" s="20">
        <v>63</v>
      </c>
      <c r="C63" s="20" t="s">
        <v>994</v>
      </c>
      <c r="D63" s="20" t="s">
        <v>995</v>
      </c>
      <c r="E63" s="23">
        <v>1.3777999999999999</v>
      </c>
      <c r="F63" s="23">
        <v>103.7667</v>
      </c>
      <c r="G63" s="27">
        <v>678269</v>
      </c>
    </row>
    <row r="64" spans="2:7">
      <c r="B64" s="20">
        <v>64</v>
      </c>
      <c r="C64" s="20" t="s">
        <v>996</v>
      </c>
      <c r="D64" s="20" t="s">
        <v>997</v>
      </c>
      <c r="E64" s="23">
        <v>1.3767</v>
      </c>
      <c r="F64" s="23">
        <v>103.75369999999999</v>
      </c>
      <c r="G64" s="27">
        <v>688267</v>
      </c>
    </row>
    <row r="65" spans="2:7">
      <c r="B65" s="20">
        <v>65</v>
      </c>
      <c r="C65" s="20" t="s">
        <v>998</v>
      </c>
      <c r="D65" s="20" t="s">
        <v>999</v>
      </c>
      <c r="E65" s="23">
        <v>1.3848</v>
      </c>
      <c r="F65" s="23">
        <v>103.74460000000001</v>
      </c>
      <c r="G65" s="27">
        <v>689813</v>
      </c>
    </row>
    <row r="66" spans="2:7">
      <c r="B66" s="20">
        <v>66</v>
      </c>
      <c r="C66" s="20" t="s">
        <v>1000</v>
      </c>
      <c r="D66" s="20" t="s">
        <v>1001</v>
      </c>
      <c r="E66" s="23">
        <v>1.3803000000000001</v>
      </c>
      <c r="F66" s="23">
        <v>103.7453</v>
      </c>
      <c r="G66" s="27">
        <v>688265</v>
      </c>
    </row>
    <row r="67" spans="2:7">
      <c r="B67" s="20">
        <v>67</v>
      </c>
      <c r="C67" s="20" t="s">
        <v>1002</v>
      </c>
      <c r="D67" s="20" t="s">
        <v>1003</v>
      </c>
      <c r="E67" s="23">
        <v>1.3920999999999999</v>
      </c>
      <c r="F67" s="23">
        <v>103.88</v>
      </c>
      <c r="G67" s="27">
        <v>797700</v>
      </c>
    </row>
    <row r="68" spans="2:7">
      <c r="B68" s="20">
        <v>68</v>
      </c>
      <c r="C68" s="20" t="s">
        <v>1004</v>
      </c>
      <c r="D68" s="20" t="s">
        <v>1005</v>
      </c>
      <c r="E68" s="23">
        <v>1.3839999999999999</v>
      </c>
      <c r="F68" s="23">
        <v>103.90219999999999</v>
      </c>
      <c r="G68" s="27">
        <v>545052</v>
      </c>
    </row>
    <row r="69" spans="2:7">
      <c r="B69" s="20">
        <v>69</v>
      </c>
      <c r="C69" s="20" t="s">
        <v>1006</v>
      </c>
      <c r="D69" s="20" t="s">
        <v>1007</v>
      </c>
      <c r="E69" s="23">
        <v>1.3969</v>
      </c>
      <c r="F69" s="23">
        <v>103.90900000000001</v>
      </c>
      <c r="G69" s="27">
        <v>828857</v>
      </c>
    </row>
    <row r="70" spans="2:7">
      <c r="B70" s="20">
        <v>70</v>
      </c>
      <c r="C70" s="20" t="s">
        <v>1008</v>
      </c>
      <c r="D70" s="20" t="s">
        <v>1009</v>
      </c>
      <c r="E70" s="23">
        <v>1.3963000000000001</v>
      </c>
      <c r="F70" s="23">
        <v>103.8938</v>
      </c>
      <c r="G70" s="27">
        <v>545047</v>
      </c>
    </row>
    <row r="71" spans="2:7">
      <c r="B71" s="20">
        <v>71</v>
      </c>
      <c r="C71" s="20" t="s">
        <v>1010</v>
      </c>
      <c r="D71" s="20" t="s">
        <v>1011</v>
      </c>
      <c r="E71" s="23">
        <v>1.4168000000000001</v>
      </c>
      <c r="F71" s="23">
        <v>103.9067</v>
      </c>
      <c r="G71" s="27">
        <v>828644</v>
      </c>
    </row>
    <row r="72" spans="2:7">
      <c r="B72" s="20">
        <v>72</v>
      </c>
      <c r="C72" s="20" t="s">
        <v>1012</v>
      </c>
      <c r="D72" s="20" t="s">
        <v>1013</v>
      </c>
      <c r="E72" s="23">
        <v>1.4085000000000001</v>
      </c>
      <c r="F72" s="23">
        <v>103.8986</v>
      </c>
      <c r="G72" s="27">
        <v>828863</v>
      </c>
    </row>
    <row r="73" spans="2:7">
      <c r="B73" s="20">
        <v>73</v>
      </c>
      <c r="C73" s="20" t="s">
        <v>1014</v>
      </c>
      <c r="D73" s="20" t="s">
        <v>1015</v>
      </c>
      <c r="E73" s="23">
        <v>1.3918999999999999</v>
      </c>
      <c r="F73" s="23">
        <v>103.8763</v>
      </c>
      <c r="G73" s="27">
        <v>797698</v>
      </c>
    </row>
    <row r="74" spans="2:7">
      <c r="B74" s="20">
        <v>74</v>
      </c>
      <c r="C74" s="20" t="s">
        <v>1016</v>
      </c>
      <c r="D74" s="20" t="s">
        <v>1017</v>
      </c>
      <c r="E74" s="23">
        <v>1.3893</v>
      </c>
      <c r="F74" s="23">
        <v>103.8858</v>
      </c>
      <c r="G74" s="27">
        <v>545050</v>
      </c>
    </row>
    <row r="75" spans="2:7">
      <c r="B75" s="20">
        <v>76</v>
      </c>
      <c r="C75" s="20" t="s">
        <v>1018</v>
      </c>
      <c r="D75" s="20" t="s">
        <v>1019</v>
      </c>
      <c r="E75" s="23">
        <v>1.3761000000000001</v>
      </c>
      <c r="F75" s="23">
        <v>103.7713</v>
      </c>
      <c r="G75" s="27">
        <v>678296</v>
      </c>
    </row>
    <row r="76" spans="2:7">
      <c r="B76" s="20">
        <v>77</v>
      </c>
      <c r="C76" s="20" t="s">
        <v>1020</v>
      </c>
      <c r="D76" s="20" t="s">
        <v>1021</v>
      </c>
      <c r="E76" s="23">
        <v>1.4128000000000001</v>
      </c>
      <c r="F76" s="23">
        <v>103.9066</v>
      </c>
      <c r="G76" s="27">
        <v>828861</v>
      </c>
    </row>
    <row r="77" spans="2:7">
      <c r="B77" s="20">
        <v>80</v>
      </c>
      <c r="C77" s="20" t="s">
        <v>1022</v>
      </c>
      <c r="D77" s="20" t="s">
        <v>1023</v>
      </c>
      <c r="E77" s="23">
        <v>1.38</v>
      </c>
      <c r="F77" s="23">
        <v>103.7726</v>
      </c>
      <c r="G77" s="27">
        <v>679939</v>
      </c>
    </row>
    <row r="78" spans="2:7">
      <c r="B78" s="20">
        <v>81</v>
      </c>
      <c r="C78" s="20" t="s">
        <v>1024</v>
      </c>
      <c r="D78" s="20" t="s">
        <v>1025</v>
      </c>
      <c r="E78" s="23">
        <v>1.3880999999999999</v>
      </c>
      <c r="F78" s="23">
        <v>103.9054</v>
      </c>
      <c r="G78" s="27">
        <v>545053</v>
      </c>
    </row>
    <row r="79" spans="2:7">
      <c r="B79" s="20">
        <v>82</v>
      </c>
      <c r="C79" s="20" t="s">
        <v>1026</v>
      </c>
      <c r="D79" s="20" t="s">
        <v>1027</v>
      </c>
      <c r="E79" s="23">
        <v>1.3915</v>
      </c>
      <c r="F79" s="23">
        <v>103.90600000000001</v>
      </c>
      <c r="G79" s="27">
        <v>545054</v>
      </c>
    </row>
    <row r="80" spans="2:7">
      <c r="B80" s="20">
        <v>83</v>
      </c>
      <c r="C80" s="20" t="s">
        <v>1028</v>
      </c>
      <c r="D80" s="20" t="s">
        <v>1029</v>
      </c>
      <c r="E80" s="23">
        <v>1.3945000000000001</v>
      </c>
      <c r="F80" s="23">
        <v>103.90049999999999</v>
      </c>
      <c r="G80" s="27">
        <v>545055</v>
      </c>
    </row>
    <row r="81" spans="2:7">
      <c r="B81" s="20">
        <v>89</v>
      </c>
      <c r="C81" s="20" t="s">
        <v>1030</v>
      </c>
      <c r="D81" s="20" t="s">
        <v>1031</v>
      </c>
      <c r="E81" s="23">
        <v>1.3838999999999999</v>
      </c>
      <c r="F81" s="23">
        <v>103.89749999999999</v>
      </c>
      <c r="G81" s="27">
        <v>545046</v>
      </c>
    </row>
    <row r="82" spans="2:7">
      <c r="B82" s="20">
        <v>90</v>
      </c>
      <c r="C82" s="20" t="s">
        <v>1032</v>
      </c>
      <c r="D82" s="20" t="s">
        <v>1033</v>
      </c>
      <c r="E82" s="23">
        <v>1.3786</v>
      </c>
      <c r="F82" s="23">
        <v>103.758</v>
      </c>
      <c r="G82" s="27">
        <v>689483</v>
      </c>
    </row>
    <row r="83" spans="2:7">
      <c r="B83" s="20">
        <v>91</v>
      </c>
      <c r="C83" s="20" t="s">
        <v>1034</v>
      </c>
      <c r="D83" s="20" t="s">
        <v>1035</v>
      </c>
      <c r="E83" s="23">
        <v>1.3877999999999999</v>
      </c>
      <c r="F83" s="23">
        <v>103.7696</v>
      </c>
      <c r="G83" s="27">
        <v>679940</v>
      </c>
    </row>
    <row r="84" spans="2:7">
      <c r="B84" s="20">
        <v>92</v>
      </c>
      <c r="C84" s="20" t="s">
        <v>1036</v>
      </c>
      <c r="D84" s="20" t="s">
        <v>1037</v>
      </c>
      <c r="E84" s="23">
        <v>1.3915999999999999</v>
      </c>
      <c r="F84" s="23">
        <v>103.8954</v>
      </c>
      <c r="G84" s="27">
        <v>545062</v>
      </c>
    </row>
    <row r="85" spans="2:7">
      <c r="B85" s="20">
        <v>93</v>
      </c>
      <c r="C85" s="20" t="s">
        <v>1038</v>
      </c>
      <c r="D85" s="20" t="s">
        <v>1039</v>
      </c>
      <c r="E85" s="23">
        <v>1.2968999999999999</v>
      </c>
      <c r="F85" s="23">
        <v>103.8507</v>
      </c>
      <c r="G85" s="27">
        <v>189561</v>
      </c>
    </row>
    <row r="86" spans="2:7">
      <c r="B86" s="20">
        <v>94</v>
      </c>
      <c r="C86" s="20" t="s">
        <v>1040</v>
      </c>
      <c r="D86" s="20" t="s">
        <v>1041</v>
      </c>
      <c r="E86" s="23">
        <v>1.3263</v>
      </c>
      <c r="F86" s="23">
        <v>103.8903</v>
      </c>
      <c r="G86" s="27">
        <v>378956</v>
      </c>
    </row>
    <row r="87" spans="2:7">
      <c r="B87" s="20">
        <v>95</v>
      </c>
      <c r="C87" s="20" t="s">
        <v>1042</v>
      </c>
      <c r="D87" s="20" t="s">
        <v>1043</v>
      </c>
      <c r="E87" s="23">
        <v>1.2928999999999999</v>
      </c>
      <c r="F87" s="23">
        <v>103.8526</v>
      </c>
      <c r="G87" s="27">
        <v>179100</v>
      </c>
    </row>
    <row r="88" spans="2:7">
      <c r="B88" s="20">
        <v>96</v>
      </c>
      <c r="C88" s="20" t="s">
        <v>1044</v>
      </c>
      <c r="D88" s="20" t="s">
        <v>1045</v>
      </c>
      <c r="E88" s="23">
        <v>1.3562000000000001</v>
      </c>
      <c r="F88" s="23">
        <v>103.9546</v>
      </c>
      <c r="G88" s="27">
        <v>529623</v>
      </c>
    </row>
    <row r="89" spans="2:7">
      <c r="B89" s="20">
        <v>97</v>
      </c>
      <c r="C89" s="20" t="s">
        <v>1046</v>
      </c>
      <c r="D89" s="20" t="s">
        <v>1047</v>
      </c>
      <c r="E89" s="23">
        <v>1.3454999999999999</v>
      </c>
      <c r="F89" s="23">
        <v>103.9384</v>
      </c>
      <c r="G89" s="27">
        <v>529683</v>
      </c>
    </row>
    <row r="90" spans="2:7">
      <c r="B90" s="20">
        <v>98</v>
      </c>
      <c r="C90" s="20" t="s">
        <v>1048</v>
      </c>
      <c r="D90" s="20" t="s">
        <v>1049</v>
      </c>
      <c r="E90" s="23">
        <v>1.3214999999999999</v>
      </c>
      <c r="F90" s="23">
        <v>103.8719</v>
      </c>
      <c r="G90" s="27">
        <v>339355</v>
      </c>
    </row>
    <row r="91" spans="2:7">
      <c r="B91" s="20">
        <v>99</v>
      </c>
      <c r="C91" s="20" t="s">
        <v>1050</v>
      </c>
      <c r="D91" s="20" t="s">
        <v>1051</v>
      </c>
      <c r="E91" s="23">
        <v>1.3137000000000001</v>
      </c>
      <c r="F91" s="23">
        <v>103.863</v>
      </c>
      <c r="G91" s="27">
        <v>339356</v>
      </c>
    </row>
    <row r="92" spans="2:7">
      <c r="B92" s="20">
        <v>100</v>
      </c>
      <c r="C92" s="20" t="s">
        <v>1052</v>
      </c>
      <c r="D92" s="20" t="s">
        <v>1053</v>
      </c>
      <c r="E92" s="23">
        <v>1.2988999999999999</v>
      </c>
      <c r="F92" s="23">
        <v>103.85039999999999</v>
      </c>
      <c r="G92" s="27">
        <v>189658</v>
      </c>
    </row>
    <row r="93" spans="2:7">
      <c r="B93" s="20">
        <v>101</v>
      </c>
      <c r="C93" s="20" t="s">
        <v>1054</v>
      </c>
      <c r="D93" s="20" t="s">
        <v>1055</v>
      </c>
      <c r="E93" s="23">
        <v>1.2655000000000001</v>
      </c>
      <c r="F93" s="23">
        <v>103.8214</v>
      </c>
      <c r="G93" s="27" t="s">
        <v>1056</v>
      </c>
    </row>
    <row r="94" spans="2:7">
      <c r="B94" s="20">
        <v>104</v>
      </c>
      <c r="C94" s="20" t="s">
        <v>1057</v>
      </c>
      <c r="D94" s="20" t="s">
        <v>1058</v>
      </c>
      <c r="E94" s="23">
        <v>1.2935000000000001</v>
      </c>
      <c r="F94" s="23">
        <v>103.78440000000001</v>
      </c>
      <c r="G94" s="27">
        <v>118177</v>
      </c>
    </row>
    <row r="95" spans="2:7">
      <c r="B95" s="20">
        <v>106</v>
      </c>
      <c r="C95" s="20" t="s">
        <v>1059</v>
      </c>
      <c r="D95" s="20" t="s">
        <v>1060</v>
      </c>
      <c r="E95" s="23">
        <v>1.4045000000000001</v>
      </c>
      <c r="F95" s="23">
        <v>103.9021</v>
      </c>
      <c r="G95" s="27">
        <v>828604</v>
      </c>
    </row>
    <row r="96" spans="2:7">
      <c r="B96" s="20">
        <v>107</v>
      </c>
      <c r="C96" s="20" t="s">
        <v>1061</v>
      </c>
      <c r="D96" s="20" t="s">
        <v>1062</v>
      </c>
      <c r="E96" s="23">
        <v>1.2765</v>
      </c>
      <c r="F96" s="23">
        <v>103.8459</v>
      </c>
      <c r="G96" s="27" t="s">
        <v>1063</v>
      </c>
    </row>
    <row r="97" spans="2:7">
      <c r="B97" s="20">
        <v>108</v>
      </c>
      <c r="C97" s="20" t="s">
        <v>1064</v>
      </c>
      <c r="D97" s="20" t="s">
        <v>1065</v>
      </c>
      <c r="E97" s="23">
        <v>1.2998000000000001</v>
      </c>
      <c r="F97" s="23">
        <v>103.78749999999999</v>
      </c>
      <c r="G97" s="27">
        <v>138647</v>
      </c>
    </row>
    <row r="98" spans="2:7">
      <c r="B98" s="20">
        <v>110</v>
      </c>
      <c r="C98" s="20" t="s">
        <v>1066</v>
      </c>
      <c r="D98" s="20" t="s">
        <v>1067</v>
      </c>
      <c r="E98" s="23">
        <v>1.3028</v>
      </c>
      <c r="F98" s="23">
        <v>103.8754</v>
      </c>
      <c r="G98" s="27">
        <v>397692</v>
      </c>
    </row>
    <row r="99" spans="2:7">
      <c r="B99" s="20">
        <v>111</v>
      </c>
      <c r="C99" s="20" t="s">
        <v>1068</v>
      </c>
      <c r="D99" s="20" t="s">
        <v>1069</v>
      </c>
      <c r="E99" s="23">
        <v>1.3005</v>
      </c>
      <c r="F99" s="23">
        <v>103.8557</v>
      </c>
      <c r="G99" s="27">
        <v>188022</v>
      </c>
    </row>
    <row r="100" spans="2:7">
      <c r="B100" s="20">
        <v>112</v>
      </c>
      <c r="C100" s="20" t="s">
        <v>1070</v>
      </c>
      <c r="D100" s="20" t="s">
        <v>1071</v>
      </c>
      <c r="E100" s="23">
        <v>1.3003</v>
      </c>
      <c r="F100" s="23">
        <v>103.8391</v>
      </c>
      <c r="G100" s="27">
        <v>238162</v>
      </c>
    </row>
    <row r="101" spans="2:7">
      <c r="B101" s="20">
        <v>113</v>
      </c>
      <c r="C101" s="20" t="s">
        <v>1072</v>
      </c>
      <c r="D101" s="20" t="s">
        <v>1073</v>
      </c>
      <c r="E101" s="23">
        <v>1.304</v>
      </c>
      <c r="F101" s="23">
        <v>103.8322</v>
      </c>
      <c r="G101" s="27">
        <v>248654</v>
      </c>
    </row>
    <row r="102" spans="2:7">
      <c r="B102" s="20">
        <v>114</v>
      </c>
      <c r="C102" s="20" t="s">
        <v>1074</v>
      </c>
      <c r="D102" s="20" t="s">
        <v>1075</v>
      </c>
      <c r="E102" s="23">
        <v>1.3053999999999999</v>
      </c>
      <c r="F102" s="23">
        <v>103.85550000000001</v>
      </c>
      <c r="G102" s="27">
        <v>208826</v>
      </c>
    </row>
    <row r="103" spans="2:7">
      <c r="B103" s="20">
        <v>115</v>
      </c>
      <c r="C103" s="20" t="s">
        <v>1076</v>
      </c>
      <c r="D103" s="20" t="s">
        <v>1077</v>
      </c>
      <c r="E103" s="23">
        <v>1.2819</v>
      </c>
      <c r="F103" s="23">
        <v>103.8591</v>
      </c>
      <c r="G103" s="27" t="s">
        <v>1078</v>
      </c>
    </row>
    <row r="104" spans="2:7">
      <c r="B104" s="20">
        <v>116</v>
      </c>
      <c r="C104" s="20" t="s">
        <v>1079</v>
      </c>
      <c r="D104" s="20" t="s">
        <v>1080</v>
      </c>
      <c r="E104" s="23">
        <v>1.3916999999999999</v>
      </c>
      <c r="F104" s="23">
        <v>103.8955</v>
      </c>
      <c r="G104" s="27">
        <v>545062</v>
      </c>
    </row>
    <row r="105" spans="2:7">
      <c r="B105" s="20">
        <v>117</v>
      </c>
      <c r="C105" s="20" t="s">
        <v>1081</v>
      </c>
      <c r="D105" s="20" t="s">
        <v>1082</v>
      </c>
      <c r="E105" s="23">
        <v>1.3337000000000001</v>
      </c>
      <c r="F105" s="23">
        <v>103.83069999999999</v>
      </c>
      <c r="G105" s="27">
        <v>299176</v>
      </c>
    </row>
    <row r="106" spans="2:7">
      <c r="B106" s="20">
        <v>118</v>
      </c>
      <c r="C106" s="20" t="s">
        <v>1083</v>
      </c>
      <c r="D106" s="20" t="s">
        <v>1084</v>
      </c>
      <c r="E106" s="23">
        <v>1.3062</v>
      </c>
      <c r="F106" s="23">
        <v>103.88249999999999</v>
      </c>
      <c r="G106" s="27">
        <v>398006</v>
      </c>
    </row>
    <row r="107" spans="2:7">
      <c r="B107" s="20">
        <v>119</v>
      </c>
      <c r="C107" s="20" t="s">
        <v>1085</v>
      </c>
      <c r="D107" s="20" t="s">
        <v>1086</v>
      </c>
      <c r="E107" s="23">
        <v>1.3602000000000001</v>
      </c>
      <c r="F107" s="23">
        <v>103.88509999999999</v>
      </c>
      <c r="G107" s="27">
        <v>534799</v>
      </c>
    </row>
    <row r="108" spans="2:7">
      <c r="B108" s="20">
        <v>120</v>
      </c>
      <c r="C108" s="20" t="s">
        <v>1087</v>
      </c>
      <c r="D108" s="20" t="s">
        <v>1088</v>
      </c>
      <c r="E108" s="23">
        <v>1.2925</v>
      </c>
      <c r="F108" s="23">
        <v>103.8443</v>
      </c>
      <c r="G108" s="27">
        <v>179038</v>
      </c>
    </row>
    <row r="109" spans="2:7">
      <c r="B109" s="20">
        <v>121</v>
      </c>
      <c r="C109" s="20" t="s">
        <v>1089</v>
      </c>
      <c r="D109" s="20" t="s">
        <v>1090</v>
      </c>
      <c r="E109" s="23">
        <v>1.3174999999999999</v>
      </c>
      <c r="F109" s="23">
        <v>103.80759999999999</v>
      </c>
      <c r="G109" s="27">
        <v>268857</v>
      </c>
    </row>
    <row r="110" spans="2:7">
      <c r="B110" s="20">
        <v>123</v>
      </c>
      <c r="C110" s="20" t="s">
        <v>1091</v>
      </c>
      <c r="D110" s="20" t="s">
        <v>1092</v>
      </c>
      <c r="E110" s="23">
        <v>1.2794000000000001</v>
      </c>
      <c r="F110" s="23">
        <v>103.8528</v>
      </c>
      <c r="G110" s="27" t="s">
        <v>1093</v>
      </c>
    </row>
    <row r="111" spans="2:7">
      <c r="B111" s="20">
        <v>125</v>
      </c>
      <c r="C111" s="20" t="s">
        <v>1094</v>
      </c>
      <c r="D111" s="20" t="s">
        <v>1095</v>
      </c>
      <c r="E111" s="23">
        <v>1.2932999999999999</v>
      </c>
      <c r="F111" s="23">
        <v>103.85550000000001</v>
      </c>
      <c r="G111" s="27" t="s">
        <v>1096</v>
      </c>
    </row>
    <row r="112" spans="2:7">
      <c r="B112" s="20">
        <v>126</v>
      </c>
      <c r="C112" s="20" t="s">
        <v>1097</v>
      </c>
      <c r="D112" s="20" t="s">
        <v>1098</v>
      </c>
      <c r="E112" s="23">
        <v>1.2998000000000001</v>
      </c>
      <c r="F112" s="23">
        <v>103.86360000000001</v>
      </c>
      <c r="G112" s="27" t="s">
        <v>1099</v>
      </c>
    </row>
    <row r="113" spans="2:7">
      <c r="B113" s="20">
        <v>127</v>
      </c>
      <c r="C113" s="20" t="s">
        <v>1100</v>
      </c>
      <c r="D113" s="20" t="s">
        <v>1101</v>
      </c>
      <c r="E113" s="23">
        <v>1.3376999999999999</v>
      </c>
      <c r="F113" s="23">
        <v>103.8395</v>
      </c>
      <c r="G113" s="27">
        <v>297608</v>
      </c>
    </row>
    <row r="114" spans="2:7">
      <c r="B114" s="20">
        <v>128</v>
      </c>
      <c r="C114" s="20" t="s">
        <v>1102</v>
      </c>
      <c r="D114" s="20" t="s">
        <v>1103</v>
      </c>
      <c r="E114" s="23">
        <v>1.2764</v>
      </c>
      <c r="F114" s="23">
        <v>103.8546</v>
      </c>
      <c r="G114" s="27" t="s">
        <v>1104</v>
      </c>
    </row>
    <row r="115" spans="2:7">
      <c r="B115" s="20">
        <v>130</v>
      </c>
      <c r="C115" s="20" t="s">
        <v>1105</v>
      </c>
      <c r="D115" s="20" t="s">
        <v>1106</v>
      </c>
      <c r="E115" s="23">
        <v>1.2723</v>
      </c>
      <c r="F115" s="23">
        <v>103.80289999999999</v>
      </c>
      <c r="G115" s="27" t="s">
        <v>1107</v>
      </c>
    </row>
    <row r="116" spans="2:7">
      <c r="B116" s="20">
        <v>131</v>
      </c>
      <c r="C116" s="20" t="s">
        <v>1108</v>
      </c>
      <c r="D116" s="20" t="s">
        <v>1109</v>
      </c>
      <c r="E116" s="23">
        <v>1.2844</v>
      </c>
      <c r="F116" s="23">
        <v>103.8434</v>
      </c>
      <c r="G116" s="27" t="s">
        <v>1110</v>
      </c>
    </row>
    <row r="117" spans="2:7">
      <c r="B117" s="20">
        <v>134</v>
      </c>
      <c r="C117" s="20" t="s">
        <v>1111</v>
      </c>
      <c r="D117" s="20" t="s">
        <v>1112</v>
      </c>
      <c r="E117" s="23">
        <v>1.3259000000000001</v>
      </c>
      <c r="F117" s="23">
        <v>103.8073</v>
      </c>
      <c r="G117" s="27">
        <v>266268</v>
      </c>
    </row>
    <row r="118" spans="2:7">
      <c r="B118" s="20">
        <v>135</v>
      </c>
      <c r="C118" s="20" t="s">
        <v>1113</v>
      </c>
      <c r="D118" s="20" t="s">
        <v>1114</v>
      </c>
      <c r="E118" s="23">
        <v>1.2862</v>
      </c>
      <c r="F118" s="23">
        <v>103.827</v>
      </c>
      <c r="G118" s="27">
        <v>168731</v>
      </c>
    </row>
    <row r="119" spans="2:7">
      <c r="B119" s="20">
        <v>136</v>
      </c>
      <c r="C119" s="20" t="s">
        <v>1115</v>
      </c>
      <c r="D119" s="20" t="s">
        <v>1116</v>
      </c>
      <c r="E119" s="23">
        <v>1.3623000000000001</v>
      </c>
      <c r="F119" s="23">
        <v>103.76739999999999</v>
      </c>
      <c r="G119" s="27">
        <v>678211</v>
      </c>
    </row>
    <row r="120" spans="2:7">
      <c r="B120" s="20">
        <v>137</v>
      </c>
      <c r="C120" s="20" t="s">
        <v>1117</v>
      </c>
      <c r="D120" s="20" t="s">
        <v>1118</v>
      </c>
      <c r="E120" s="23">
        <v>1.3357000000000001</v>
      </c>
      <c r="F120" s="23">
        <v>103.7838</v>
      </c>
      <c r="G120" s="27">
        <v>599987</v>
      </c>
    </row>
    <row r="121" spans="2:7">
      <c r="B121" s="20">
        <v>138</v>
      </c>
      <c r="C121" s="20" t="s">
        <v>1119</v>
      </c>
      <c r="D121" s="20" t="s">
        <v>1120</v>
      </c>
      <c r="E121" s="23">
        <v>1.3269</v>
      </c>
      <c r="F121" s="23">
        <v>103.8832</v>
      </c>
      <c r="G121" s="27">
        <v>379314</v>
      </c>
    </row>
    <row r="122" spans="2:7">
      <c r="B122" s="20">
        <v>139</v>
      </c>
      <c r="C122" s="20" t="s">
        <v>1121</v>
      </c>
      <c r="D122" s="20" t="s">
        <v>1122</v>
      </c>
      <c r="E122" s="23">
        <v>1.33</v>
      </c>
      <c r="F122" s="23">
        <v>103.8993</v>
      </c>
      <c r="G122" s="27">
        <v>408899</v>
      </c>
    </row>
    <row r="123" spans="2:7">
      <c r="B123" s="20">
        <v>140</v>
      </c>
      <c r="C123" s="20" t="s">
        <v>1123</v>
      </c>
      <c r="D123" s="20" t="s">
        <v>1124</v>
      </c>
      <c r="E123" s="23">
        <v>1.3411999999999999</v>
      </c>
      <c r="F123" s="23">
        <v>103.7758</v>
      </c>
      <c r="G123" s="27">
        <v>588216</v>
      </c>
    </row>
    <row r="124" spans="2:7">
      <c r="B124" s="20">
        <v>141</v>
      </c>
      <c r="C124" s="20" t="s">
        <v>1125</v>
      </c>
      <c r="D124" s="20" t="s">
        <v>1126</v>
      </c>
      <c r="E124" s="23">
        <v>1.335</v>
      </c>
      <c r="F124" s="23">
        <v>103.9085</v>
      </c>
      <c r="G124" s="27">
        <v>415804</v>
      </c>
    </row>
    <row r="125" spans="2:7">
      <c r="B125" s="20">
        <v>143</v>
      </c>
      <c r="C125" s="20" t="s">
        <v>1127</v>
      </c>
      <c r="D125" s="20" t="s">
        <v>1128</v>
      </c>
      <c r="E125" s="23">
        <v>1.3347</v>
      </c>
      <c r="F125" s="23">
        <v>103.91800000000001</v>
      </c>
      <c r="G125" s="27">
        <v>479481</v>
      </c>
    </row>
    <row r="126" spans="2:7">
      <c r="B126" s="20">
        <v>144</v>
      </c>
      <c r="C126" s="20" t="s">
        <v>1129</v>
      </c>
      <c r="D126" s="20" t="s">
        <v>1130</v>
      </c>
      <c r="E126" s="23">
        <v>1.2987</v>
      </c>
      <c r="F126" s="23">
        <v>103.84610000000001</v>
      </c>
      <c r="G126" s="27">
        <v>238826</v>
      </c>
    </row>
    <row r="127" spans="2:7">
      <c r="B127" s="20">
        <v>146</v>
      </c>
      <c r="C127" s="20" t="s">
        <v>1131</v>
      </c>
      <c r="D127" s="20" t="s">
        <v>1132</v>
      </c>
      <c r="E127" s="23">
        <v>1.3391999999999999</v>
      </c>
      <c r="F127" s="23">
        <v>103.8708</v>
      </c>
      <c r="G127" s="27">
        <v>347695</v>
      </c>
    </row>
    <row r="128" spans="2:7">
      <c r="B128" s="20">
        <v>147</v>
      </c>
      <c r="C128" s="20" t="s">
        <v>1133</v>
      </c>
      <c r="D128" s="20" t="s">
        <v>1134</v>
      </c>
      <c r="E128" s="23">
        <v>1.3204</v>
      </c>
      <c r="F128" s="23">
        <v>103.8438</v>
      </c>
      <c r="G128" s="27">
        <v>307642</v>
      </c>
    </row>
    <row r="129" spans="2:7">
      <c r="B129" s="20">
        <v>148</v>
      </c>
      <c r="C129" s="20" t="s">
        <v>1135</v>
      </c>
      <c r="D129" s="20" t="s">
        <v>1136</v>
      </c>
      <c r="E129" s="23">
        <v>1.3496999999999999</v>
      </c>
      <c r="F129" s="23">
        <v>103.8736</v>
      </c>
      <c r="G129" s="27">
        <v>556082</v>
      </c>
    </row>
    <row r="130" spans="2:7">
      <c r="B130" s="20">
        <v>149</v>
      </c>
      <c r="C130" s="20" t="s">
        <v>1137</v>
      </c>
      <c r="D130" s="20" t="s">
        <v>1138</v>
      </c>
      <c r="E130" s="23">
        <v>1.3366</v>
      </c>
      <c r="F130" s="23">
        <v>103.93219999999999</v>
      </c>
      <c r="G130" s="27">
        <v>469724</v>
      </c>
    </row>
    <row r="131" spans="2:7">
      <c r="B131" s="20">
        <v>150</v>
      </c>
      <c r="C131" s="20" t="s">
        <v>1139</v>
      </c>
      <c r="D131" s="20" t="s">
        <v>1140</v>
      </c>
      <c r="E131" s="23">
        <v>1.2713000000000001</v>
      </c>
      <c r="F131" s="23">
        <v>103.8629</v>
      </c>
      <c r="G131" s="27" t="s">
        <v>1141</v>
      </c>
    </row>
    <row r="132" spans="2:7">
      <c r="B132" s="20">
        <v>151</v>
      </c>
      <c r="C132" s="20" t="s">
        <v>1142</v>
      </c>
      <c r="D132" s="20" t="s">
        <v>1143</v>
      </c>
      <c r="E132" s="23">
        <v>1.3124</v>
      </c>
      <c r="F132" s="23">
        <v>103.85420000000001</v>
      </c>
      <c r="G132" s="27">
        <v>218703</v>
      </c>
    </row>
    <row r="133" spans="2:7">
      <c r="B133" s="20">
        <v>153</v>
      </c>
      <c r="C133" s="20" t="s">
        <v>1144</v>
      </c>
      <c r="D133" s="20" t="s">
        <v>1145</v>
      </c>
      <c r="E133" s="23">
        <v>1.3428</v>
      </c>
      <c r="F133" s="23">
        <v>103.8798</v>
      </c>
      <c r="G133" s="27">
        <v>539788</v>
      </c>
    </row>
    <row r="134" spans="2:7">
      <c r="B134" s="20">
        <v>154</v>
      </c>
      <c r="C134" s="20" t="s">
        <v>1146</v>
      </c>
      <c r="D134" s="20" t="s">
        <v>1147</v>
      </c>
      <c r="E134" s="23">
        <v>1.3084</v>
      </c>
      <c r="F134" s="23">
        <v>103.8887</v>
      </c>
      <c r="G134" s="27">
        <v>397973</v>
      </c>
    </row>
    <row r="135" spans="2:7">
      <c r="B135" s="20">
        <v>155</v>
      </c>
      <c r="C135" s="20" t="s">
        <v>1148</v>
      </c>
      <c r="D135" s="20" t="s">
        <v>1149</v>
      </c>
      <c r="E135" s="23">
        <v>1.2762</v>
      </c>
      <c r="F135" s="23">
        <v>103.7914</v>
      </c>
      <c r="G135" s="27">
        <v>117424</v>
      </c>
    </row>
    <row r="136" spans="2:7">
      <c r="B136" s="20">
        <v>157</v>
      </c>
      <c r="C136" s="20" t="s">
        <v>1150</v>
      </c>
      <c r="D136" s="20" t="s">
        <v>1151</v>
      </c>
      <c r="E136" s="23">
        <v>1.2884</v>
      </c>
      <c r="F136" s="23">
        <v>103.8466</v>
      </c>
      <c r="G136" s="27" t="s">
        <v>1152</v>
      </c>
    </row>
    <row r="137" spans="2:7">
      <c r="B137" s="20">
        <v>158</v>
      </c>
      <c r="C137" s="20" t="s">
        <v>1153</v>
      </c>
      <c r="D137" s="20" t="s">
        <v>1154</v>
      </c>
      <c r="E137" s="23">
        <v>1.3508</v>
      </c>
      <c r="F137" s="23">
        <v>103.8481</v>
      </c>
      <c r="G137" s="27">
        <v>579842</v>
      </c>
    </row>
    <row r="138" spans="2:7">
      <c r="B138" s="20">
        <v>160</v>
      </c>
      <c r="C138" s="20" t="s">
        <v>1155</v>
      </c>
      <c r="D138" s="20" t="s">
        <v>1156</v>
      </c>
      <c r="E138" s="23">
        <v>1.3487</v>
      </c>
      <c r="F138" s="23">
        <v>103.8394</v>
      </c>
      <c r="G138" s="27">
        <v>573993</v>
      </c>
    </row>
    <row r="139" spans="2:7">
      <c r="B139" s="20">
        <v>161</v>
      </c>
      <c r="C139" s="20" t="s">
        <v>1157</v>
      </c>
      <c r="D139" s="20" t="s">
        <v>1158</v>
      </c>
      <c r="E139" s="23">
        <v>1.2825</v>
      </c>
      <c r="F139" s="23">
        <v>103.7818</v>
      </c>
      <c r="G139" s="27">
        <v>117396</v>
      </c>
    </row>
    <row r="140" spans="2:7">
      <c r="B140" s="20">
        <v>162</v>
      </c>
      <c r="C140" s="20" t="s">
        <v>1159</v>
      </c>
      <c r="D140" s="20" t="s">
        <v>1160</v>
      </c>
      <c r="E140" s="23">
        <v>1.3515999999999999</v>
      </c>
      <c r="F140" s="23">
        <v>103.8642</v>
      </c>
      <c r="G140" s="27">
        <v>554533</v>
      </c>
    </row>
    <row r="141" spans="2:7">
      <c r="B141" s="20">
        <v>163</v>
      </c>
      <c r="C141" s="20" t="s">
        <v>1161</v>
      </c>
      <c r="D141" s="20" t="s">
        <v>1162</v>
      </c>
      <c r="E141" s="23">
        <v>1.3073999999999999</v>
      </c>
      <c r="F141" s="23">
        <v>103.86279999999999</v>
      </c>
      <c r="G141" s="27">
        <v>208699</v>
      </c>
    </row>
    <row r="142" spans="2:7">
      <c r="B142" s="20">
        <v>166</v>
      </c>
      <c r="C142" s="20" t="s">
        <v>1163</v>
      </c>
      <c r="D142" s="20" t="s">
        <v>1164</v>
      </c>
      <c r="E142" s="23">
        <v>1.3353999999999999</v>
      </c>
      <c r="F142" s="23">
        <v>103.8882</v>
      </c>
      <c r="G142" s="27">
        <v>534803</v>
      </c>
    </row>
    <row r="143" spans="2:7">
      <c r="B143" s="20">
        <v>167</v>
      </c>
      <c r="C143" s="20" t="s">
        <v>1165</v>
      </c>
      <c r="D143" s="20" t="s">
        <v>1166</v>
      </c>
      <c r="E143" s="23">
        <v>1.3039000000000001</v>
      </c>
      <c r="F143" s="23">
        <v>103.8524</v>
      </c>
      <c r="G143" s="27">
        <v>188505</v>
      </c>
    </row>
    <row r="144" spans="2:7">
      <c r="B144" s="20">
        <v>169</v>
      </c>
      <c r="C144" s="20" t="s">
        <v>1167</v>
      </c>
      <c r="D144" s="20" t="s">
        <v>1168</v>
      </c>
      <c r="E144" s="23">
        <v>1.3068</v>
      </c>
      <c r="F144" s="23">
        <v>103.8496</v>
      </c>
      <c r="G144" s="27">
        <v>229900</v>
      </c>
    </row>
    <row r="145" spans="2:7">
      <c r="B145" s="20">
        <v>170</v>
      </c>
      <c r="C145" s="20" t="s">
        <v>1169</v>
      </c>
      <c r="D145" s="20" t="s">
        <v>1170</v>
      </c>
      <c r="E145" s="23">
        <v>1.3201000000000001</v>
      </c>
      <c r="F145" s="23">
        <v>103.82599999999999</v>
      </c>
      <c r="G145" s="27">
        <v>257877</v>
      </c>
    </row>
    <row r="146" spans="2:7">
      <c r="B146" s="20">
        <v>171</v>
      </c>
      <c r="C146" s="20" t="s">
        <v>1171</v>
      </c>
      <c r="D146" s="20" t="s">
        <v>1172</v>
      </c>
      <c r="E146" s="23">
        <v>1.379</v>
      </c>
      <c r="F146" s="23">
        <v>103.7615</v>
      </c>
      <c r="G146" s="27">
        <v>678213</v>
      </c>
    </row>
    <row r="147" spans="2:7">
      <c r="B147" s="20">
        <v>172</v>
      </c>
      <c r="C147" s="20" t="s">
        <v>1173</v>
      </c>
      <c r="D147" s="20" t="s">
        <v>1174</v>
      </c>
      <c r="E147" s="23">
        <v>1.3694</v>
      </c>
      <c r="F147" s="23">
        <v>103.7647</v>
      </c>
      <c r="G147" s="27">
        <v>679696</v>
      </c>
    </row>
    <row r="148" spans="2:7">
      <c r="B148" s="20">
        <v>173</v>
      </c>
      <c r="C148" s="20" t="s">
        <v>1175</v>
      </c>
      <c r="D148" s="20" t="s">
        <v>1176</v>
      </c>
      <c r="E148" s="23">
        <v>1.3308</v>
      </c>
      <c r="F148" s="23">
        <v>103.7972</v>
      </c>
      <c r="G148" s="27">
        <v>269784</v>
      </c>
    </row>
    <row r="149" spans="2:7">
      <c r="B149" s="20">
        <v>174</v>
      </c>
      <c r="C149" s="20" t="s">
        <v>1177</v>
      </c>
      <c r="D149" s="20" t="s">
        <v>1178</v>
      </c>
      <c r="E149" s="23">
        <v>1.3326</v>
      </c>
      <c r="F149" s="23">
        <v>103.8475</v>
      </c>
      <c r="G149" s="27">
        <v>310530</v>
      </c>
    </row>
    <row r="150" spans="2:7">
      <c r="B150" s="20">
        <v>175</v>
      </c>
      <c r="C150" s="20" t="s">
        <v>1179</v>
      </c>
      <c r="D150" s="20" t="s">
        <v>1180</v>
      </c>
      <c r="E150" s="23">
        <v>1.4273</v>
      </c>
      <c r="F150" s="23">
        <v>103.79389999999999</v>
      </c>
      <c r="G150" s="27">
        <v>739070</v>
      </c>
    </row>
    <row r="151" spans="2:7">
      <c r="B151" s="20">
        <v>176</v>
      </c>
      <c r="C151" s="20" t="s">
        <v>1181</v>
      </c>
      <c r="D151" s="20" t="s">
        <v>1182</v>
      </c>
      <c r="E151" s="23">
        <v>1.3313999999999999</v>
      </c>
      <c r="F151" s="23">
        <v>103.8691</v>
      </c>
      <c r="G151" s="27">
        <v>347694</v>
      </c>
    </row>
    <row r="152" spans="2:7">
      <c r="B152" s="20">
        <v>177</v>
      </c>
      <c r="C152" s="20" t="s">
        <v>1183</v>
      </c>
      <c r="D152" s="20" t="s">
        <v>1184</v>
      </c>
      <c r="E152" s="23">
        <v>1.3713</v>
      </c>
      <c r="F152" s="23">
        <v>103.89239999999999</v>
      </c>
      <c r="G152" s="27">
        <v>538758</v>
      </c>
    </row>
    <row r="153" spans="2:7">
      <c r="B153" s="20">
        <v>178</v>
      </c>
      <c r="C153" s="20" t="s">
        <v>1185</v>
      </c>
      <c r="D153" s="20" t="s">
        <v>1186</v>
      </c>
      <c r="E153" s="23">
        <v>1.3193999999999999</v>
      </c>
      <c r="F153" s="23">
        <v>103.8617</v>
      </c>
      <c r="G153" s="27">
        <v>328260</v>
      </c>
    </row>
    <row r="154" spans="2:7">
      <c r="B154" s="20">
        <v>179</v>
      </c>
      <c r="C154" s="20" t="s">
        <v>1187</v>
      </c>
      <c r="D154" s="20" t="s">
        <v>1188</v>
      </c>
      <c r="E154" s="23">
        <v>1.3416999999999999</v>
      </c>
      <c r="F154" s="23">
        <v>103.9615</v>
      </c>
      <c r="G154" s="27">
        <v>485990</v>
      </c>
    </row>
    <row r="155" spans="2:7">
      <c r="B155" s="20">
        <v>180</v>
      </c>
      <c r="C155" s="20" t="s">
        <v>1189</v>
      </c>
      <c r="D155" s="20" t="s">
        <v>1190</v>
      </c>
      <c r="E155" s="23">
        <v>1.3573</v>
      </c>
      <c r="F155" s="23">
        <v>103.9884</v>
      </c>
      <c r="G155" s="27">
        <v>819661</v>
      </c>
    </row>
    <row r="156" spans="2:7">
      <c r="B156" s="20">
        <v>182</v>
      </c>
      <c r="C156" s="20" t="s">
        <v>1191</v>
      </c>
      <c r="D156" s="20" t="s">
        <v>1192</v>
      </c>
      <c r="E156" s="23">
        <v>1.3405</v>
      </c>
      <c r="F156" s="23">
        <v>103.8468</v>
      </c>
      <c r="G156" s="27">
        <v>319756</v>
      </c>
    </row>
    <row r="157" spans="2:7">
      <c r="B157" s="20">
        <v>183</v>
      </c>
      <c r="C157" s="20" t="s">
        <v>1193</v>
      </c>
      <c r="D157" s="20" t="s">
        <v>1194</v>
      </c>
      <c r="E157" s="23">
        <v>1.3829</v>
      </c>
      <c r="F157" s="23">
        <v>103.8931</v>
      </c>
      <c r="G157" s="27">
        <v>545061</v>
      </c>
    </row>
    <row r="158" spans="2:7">
      <c r="B158" s="20">
        <v>184</v>
      </c>
      <c r="C158" s="20" t="s">
        <v>1195</v>
      </c>
      <c r="D158" s="20" t="s">
        <v>1196</v>
      </c>
      <c r="E158" s="23">
        <v>1.2931999999999999</v>
      </c>
      <c r="F158" s="23">
        <v>103.861</v>
      </c>
      <c r="G158" s="27" t="s">
        <v>1197</v>
      </c>
    </row>
    <row r="159" spans="2:7">
      <c r="B159" s="20">
        <v>185</v>
      </c>
      <c r="C159" s="20" t="s">
        <v>1198</v>
      </c>
      <c r="D159" s="20" t="s">
        <v>1199</v>
      </c>
      <c r="E159" s="23">
        <v>1.3221000000000001</v>
      </c>
      <c r="F159" s="23">
        <v>103.815</v>
      </c>
      <c r="G159" s="27">
        <v>257494</v>
      </c>
    </row>
    <row r="160" spans="2:7">
      <c r="B160" s="20">
        <v>186</v>
      </c>
      <c r="C160" s="20" t="s">
        <v>1200</v>
      </c>
      <c r="D160" s="20" t="s">
        <v>1201</v>
      </c>
      <c r="E160" s="23">
        <v>1.2841</v>
      </c>
      <c r="F160" s="23">
        <v>103.8515</v>
      </c>
      <c r="G160" s="27" t="s">
        <v>1202</v>
      </c>
    </row>
    <row r="161" spans="2:7">
      <c r="B161" s="20">
        <v>187</v>
      </c>
      <c r="C161" s="20" t="s">
        <v>1203</v>
      </c>
      <c r="D161" s="20" t="s">
        <v>1204</v>
      </c>
      <c r="E161" s="23">
        <v>1.3118000000000001</v>
      </c>
      <c r="F161" s="23">
        <v>103.7962</v>
      </c>
      <c r="G161" s="27">
        <v>278995</v>
      </c>
    </row>
    <row r="162" spans="2:7">
      <c r="B162" s="20">
        <v>188</v>
      </c>
      <c r="C162" s="20" t="s">
        <v>1205</v>
      </c>
      <c r="D162" s="20" t="s">
        <v>1206</v>
      </c>
      <c r="E162" s="23">
        <v>1.2814000000000001</v>
      </c>
      <c r="F162" s="23">
        <v>103.8391</v>
      </c>
      <c r="G162" s="27" t="s">
        <v>1207</v>
      </c>
    </row>
    <row r="163" spans="2:7">
      <c r="B163" s="20">
        <v>189</v>
      </c>
      <c r="C163" s="20" t="s">
        <v>1208</v>
      </c>
      <c r="D163" s="20" t="s">
        <v>1209</v>
      </c>
      <c r="E163" s="23">
        <v>1.2707999999999999</v>
      </c>
      <c r="F163" s="23">
        <v>103.80970000000001</v>
      </c>
      <c r="G163" s="27">
        <v>109028</v>
      </c>
    </row>
    <row r="164" spans="2:7">
      <c r="B164" s="20">
        <v>190</v>
      </c>
      <c r="C164" s="20" t="s">
        <v>1210</v>
      </c>
      <c r="D164" s="20" t="s">
        <v>1211</v>
      </c>
      <c r="E164" s="23">
        <v>1.2823</v>
      </c>
      <c r="F164" s="23">
        <v>103.84829999999999</v>
      </c>
      <c r="G164" s="27" t="s">
        <v>1212</v>
      </c>
    </row>
    <row r="165" spans="2:7">
      <c r="B165" s="20">
        <v>191</v>
      </c>
      <c r="C165" s="20" t="s">
        <v>1213</v>
      </c>
      <c r="D165" s="20" t="s">
        <v>1214</v>
      </c>
      <c r="E165" s="23">
        <v>1.3123</v>
      </c>
      <c r="F165" s="23">
        <v>103.83799999999999</v>
      </c>
      <c r="G165" s="27">
        <v>228234</v>
      </c>
    </row>
    <row r="166" spans="2:7">
      <c r="B166" s="20">
        <v>192</v>
      </c>
      <c r="C166" s="20" t="s">
        <v>1215</v>
      </c>
      <c r="D166" s="20" t="s">
        <v>1216</v>
      </c>
      <c r="E166" s="23">
        <v>1.4482999999999999</v>
      </c>
      <c r="F166" s="23">
        <v>103.78570000000001</v>
      </c>
      <c r="G166" s="27">
        <v>759953</v>
      </c>
    </row>
    <row r="167" spans="2:7">
      <c r="B167" s="20">
        <v>193</v>
      </c>
      <c r="C167" s="20" t="s">
        <v>1217</v>
      </c>
      <c r="D167" s="20" t="s">
        <v>1218</v>
      </c>
      <c r="E167" s="23">
        <v>1.4431</v>
      </c>
      <c r="F167" s="23">
        <v>103.8297</v>
      </c>
      <c r="G167" s="27">
        <v>756972</v>
      </c>
    </row>
    <row r="168" spans="2:7">
      <c r="B168" s="20">
        <v>194</v>
      </c>
      <c r="C168" s="20" t="s">
        <v>1219</v>
      </c>
      <c r="D168" s="20" t="s">
        <v>1220</v>
      </c>
      <c r="E168" s="23">
        <v>1.3544</v>
      </c>
      <c r="F168" s="23">
        <v>103.8329</v>
      </c>
      <c r="G168" s="27">
        <v>577937</v>
      </c>
    </row>
    <row r="169" spans="2:7">
      <c r="B169" s="20">
        <v>195</v>
      </c>
      <c r="C169" s="20" t="s">
        <v>1221</v>
      </c>
      <c r="D169" s="20" t="s">
        <v>1222</v>
      </c>
      <c r="E169" s="23">
        <v>1.3633</v>
      </c>
      <c r="F169" s="23">
        <v>103.8329</v>
      </c>
      <c r="G169" s="27">
        <v>575737</v>
      </c>
    </row>
    <row r="170" spans="2:7">
      <c r="B170" s="20">
        <v>196</v>
      </c>
      <c r="C170" s="20" t="s">
        <v>1223</v>
      </c>
      <c r="D170" s="20" t="s">
        <v>1224</v>
      </c>
      <c r="E170" s="23">
        <v>1.3721000000000001</v>
      </c>
      <c r="F170" s="23">
        <v>103.8368</v>
      </c>
      <c r="G170" s="27">
        <v>569900</v>
      </c>
    </row>
    <row r="171" spans="2:7">
      <c r="B171" s="20">
        <v>197</v>
      </c>
      <c r="C171" s="20" t="s">
        <v>1225</v>
      </c>
      <c r="D171" s="20" t="s">
        <v>1226</v>
      </c>
      <c r="E171" s="23">
        <v>1.3843983</v>
      </c>
      <c r="F171" s="23">
        <v>103.8342332</v>
      </c>
      <c r="G171" s="27">
        <v>789361</v>
      </c>
    </row>
    <row r="172" spans="2:7">
      <c r="B172" s="20">
        <v>198</v>
      </c>
      <c r="C172" s="20" t="s">
        <v>1227</v>
      </c>
      <c r="D172" s="20" t="s">
        <v>1228</v>
      </c>
      <c r="E172" s="23">
        <v>1.3982000000000001</v>
      </c>
      <c r="F172" s="23">
        <v>103.8181</v>
      </c>
      <c r="G172" s="27">
        <v>787140</v>
      </c>
    </row>
    <row r="173" spans="2:7">
      <c r="B173" s="20">
        <v>199</v>
      </c>
      <c r="C173" s="20" t="s">
        <v>1229</v>
      </c>
      <c r="D173" s="20" t="s">
        <v>1230</v>
      </c>
      <c r="E173" s="23">
        <v>1.3059000000000001</v>
      </c>
      <c r="F173" s="23">
        <v>103.8197</v>
      </c>
      <c r="G173" s="27">
        <v>258511</v>
      </c>
    </row>
    <row r="174" spans="2:7">
      <c r="B174" s="20">
        <v>200</v>
      </c>
      <c r="C174" s="20" t="s">
        <v>1231</v>
      </c>
      <c r="D174" s="20" t="s">
        <v>1232</v>
      </c>
      <c r="E174" s="23">
        <v>1.3026</v>
      </c>
      <c r="F174" s="23">
        <v>103.82380000000001</v>
      </c>
      <c r="G174" s="27">
        <v>248654</v>
      </c>
    </row>
    <row r="175" spans="2:7">
      <c r="B175" s="20">
        <v>201</v>
      </c>
      <c r="C175" s="20" t="s">
        <v>1233</v>
      </c>
      <c r="D175" s="20" t="s">
        <v>1234</v>
      </c>
      <c r="E175" s="23">
        <v>1.2948</v>
      </c>
      <c r="F175" s="23">
        <v>103.83329999999999</v>
      </c>
      <c r="G175" s="27">
        <v>238384</v>
      </c>
    </row>
    <row r="176" spans="2:7">
      <c r="B176" s="20">
        <v>202</v>
      </c>
      <c r="C176" s="20" t="s">
        <v>1235</v>
      </c>
      <c r="D176" s="20" t="s">
        <v>1236</v>
      </c>
      <c r="E176" s="23">
        <v>1.2887999999999999</v>
      </c>
      <c r="F176" s="23">
        <v>103.83329999999999</v>
      </c>
      <c r="G176" s="27">
        <v>168604</v>
      </c>
    </row>
    <row r="177" spans="2:7">
      <c r="B177" s="20">
        <v>203</v>
      </c>
      <c r="C177" s="20" t="s">
        <v>1237</v>
      </c>
      <c r="D177" s="20" t="s">
        <v>1238</v>
      </c>
      <c r="E177" s="23">
        <v>1.2806999999999999</v>
      </c>
      <c r="F177" s="23">
        <v>103.8441</v>
      </c>
      <c r="G177" s="27" t="s">
        <v>1239</v>
      </c>
    </row>
    <row r="178" spans="2:7">
      <c r="B178" s="20">
        <v>204</v>
      </c>
      <c r="C178" s="20" t="s">
        <v>1240</v>
      </c>
      <c r="D178" s="20" t="s">
        <v>1241</v>
      </c>
      <c r="E178" s="23">
        <v>1.2777000000000001</v>
      </c>
      <c r="F178" s="23">
        <v>103.8507</v>
      </c>
      <c r="G178" s="27" t="s">
        <v>1242</v>
      </c>
    </row>
    <row r="179" spans="2:7">
      <c r="B179" s="20">
        <v>205</v>
      </c>
      <c r="C179" s="20" t="s">
        <v>1243</v>
      </c>
      <c r="D179" s="20" t="s">
        <v>1244</v>
      </c>
      <c r="E179" s="23">
        <v>1.2797000000000001</v>
      </c>
      <c r="F179" s="23">
        <v>103.86790000000001</v>
      </c>
      <c r="G179" s="27" t="s">
        <v>1245</v>
      </c>
    </row>
  </sheetData>
  <sheetProtection sheet="1" objects="1" scenarios="1"/>
  <pageMargins left="0.7" right="0.7" top="0.75" bottom="0.75" header="0.3" footer="0.3"/>
  <pageSetup paperSize="9" orientation="portrait" horizontalDpi="0" verticalDpi="0"/>
  <ignoredErrors>
    <ignoredError sqref="G93:G116 G131:G136 G158:G179" numberStoredAsText="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7A14-9C6D-6B41-B3BE-9ACDD9EC7839}">
  <sheetPr codeName="Sheet9"/>
  <dimension ref="B2:K187"/>
  <sheetViews>
    <sheetView showGridLines="0" topLeftCell="V1" zoomScale="108" workbookViewId="0">
      <selection activeCell="L2" sqref="L2"/>
    </sheetView>
  </sheetViews>
  <sheetFormatPr defaultColWidth="8.875" defaultRowHeight="15.75"/>
  <cols>
    <col min="1" max="1" width="2.5" customWidth="1"/>
    <col min="2" max="2" width="43" customWidth="1"/>
    <col min="3" max="3" width="29.375" customWidth="1"/>
    <col min="4" max="4" width="15.5" bestFit="1" customWidth="1"/>
    <col min="5" max="5" width="76.375" hidden="1" customWidth="1"/>
    <col min="6" max="6" width="132.875" hidden="1" customWidth="1"/>
    <col min="7" max="7" width="18.5" customWidth="1"/>
    <col min="8" max="8" width="14.5" bestFit="1" customWidth="1"/>
    <col min="9" max="9" width="19" hidden="1" customWidth="1"/>
    <col min="10" max="10" width="13" customWidth="1"/>
    <col min="11" max="11" width="14.375" customWidth="1"/>
  </cols>
  <sheetData>
    <row r="2" spans="2:11">
      <c r="B2" s="21" t="s">
        <v>1246</v>
      </c>
      <c r="C2" s="21" t="s">
        <v>1247</v>
      </c>
      <c r="D2" s="21" t="s">
        <v>308</v>
      </c>
      <c r="E2" s="21" t="s">
        <v>1248</v>
      </c>
      <c r="F2" s="21" t="s">
        <v>1249</v>
      </c>
      <c r="G2" s="21" t="s">
        <v>1250</v>
      </c>
      <c r="H2" s="21" t="s">
        <v>1251</v>
      </c>
      <c r="I2" s="21" t="s">
        <v>1252</v>
      </c>
      <c r="J2" s="21" t="s">
        <v>309</v>
      </c>
      <c r="K2" s="21" t="s">
        <v>310</v>
      </c>
    </row>
    <row r="3" spans="2:11">
      <c r="B3" s="22" t="s">
        <v>1253</v>
      </c>
      <c r="C3" s="22" t="s">
        <v>1254</v>
      </c>
      <c r="D3" s="22">
        <v>738907</v>
      </c>
      <c r="E3" s="22" t="s">
        <v>1255</v>
      </c>
      <c r="F3" s="22" t="s">
        <v>1256</v>
      </c>
      <c r="G3" s="22" t="s">
        <v>805</v>
      </c>
      <c r="H3" s="22" t="s">
        <v>1257</v>
      </c>
      <c r="I3" s="22" t="s">
        <v>1258</v>
      </c>
      <c r="J3" s="24">
        <v>1.4425496393158299</v>
      </c>
      <c r="K3" s="24">
        <v>103.800213682734</v>
      </c>
    </row>
    <row r="4" spans="2:11">
      <c r="B4" s="22" t="s">
        <v>1259</v>
      </c>
      <c r="C4" s="22" t="s">
        <v>1260</v>
      </c>
      <c r="D4" s="22">
        <v>768643</v>
      </c>
      <c r="E4" s="22" t="s">
        <v>1261</v>
      </c>
      <c r="F4" s="22" t="s">
        <v>1262</v>
      </c>
      <c r="G4" s="22" t="s">
        <v>848</v>
      </c>
      <c r="H4" s="22" t="s">
        <v>1257</v>
      </c>
      <c r="I4" s="22" t="s">
        <v>1258</v>
      </c>
      <c r="J4" s="24">
        <v>1.43315271543517</v>
      </c>
      <c r="K4" s="24">
        <v>103.832942401086</v>
      </c>
    </row>
    <row r="5" spans="2:11">
      <c r="B5" s="22" t="s">
        <v>1263</v>
      </c>
      <c r="C5" s="22" t="s">
        <v>1264</v>
      </c>
      <c r="D5" s="22">
        <v>579646</v>
      </c>
      <c r="E5" s="22" t="s">
        <v>1265</v>
      </c>
      <c r="F5" s="22" t="s">
        <v>1266</v>
      </c>
      <c r="G5" s="22" t="s">
        <v>386</v>
      </c>
      <c r="H5" s="22" t="s">
        <v>1267</v>
      </c>
      <c r="I5" s="22" t="s">
        <v>1258</v>
      </c>
      <c r="J5" s="24">
        <v>1.3605834300581401</v>
      </c>
      <c r="K5" s="24">
        <v>103.83302033725001</v>
      </c>
    </row>
    <row r="6" spans="2:11">
      <c r="B6" s="22" t="s">
        <v>1268</v>
      </c>
      <c r="C6" s="22" t="s">
        <v>1269</v>
      </c>
      <c r="D6" s="22">
        <v>159016</v>
      </c>
      <c r="E6" s="22" t="s">
        <v>1270</v>
      </c>
      <c r="F6" s="22" t="s">
        <v>1271</v>
      </c>
      <c r="G6" s="22" t="s">
        <v>431</v>
      </c>
      <c r="H6" s="22" t="s">
        <v>1267</v>
      </c>
      <c r="I6" s="22" t="s">
        <v>1258</v>
      </c>
      <c r="J6" s="24">
        <v>1.29133439161334</v>
      </c>
      <c r="K6" s="24">
        <v>103.824424680531</v>
      </c>
    </row>
    <row r="7" spans="2:11">
      <c r="B7" s="22" t="s">
        <v>1272</v>
      </c>
      <c r="C7" s="22" t="s">
        <v>1273</v>
      </c>
      <c r="D7" s="22">
        <v>544969</v>
      </c>
      <c r="E7" s="22" t="s">
        <v>1274</v>
      </c>
      <c r="F7" s="22" t="s">
        <v>1275</v>
      </c>
      <c r="G7" s="22" t="s">
        <v>1276</v>
      </c>
      <c r="H7" s="22" t="s">
        <v>1257</v>
      </c>
      <c r="I7" s="22" t="s">
        <v>1258</v>
      </c>
      <c r="J7" s="24">
        <v>1.3905439402459101</v>
      </c>
      <c r="K7" s="24">
        <v>103.88711113835799</v>
      </c>
    </row>
    <row r="8" spans="2:11">
      <c r="B8" s="22" t="s">
        <v>1277</v>
      </c>
      <c r="C8" s="22" t="s">
        <v>1278</v>
      </c>
      <c r="D8" s="22">
        <v>569785</v>
      </c>
      <c r="E8" s="22" t="s">
        <v>1279</v>
      </c>
      <c r="F8" s="22" t="s">
        <v>1280</v>
      </c>
      <c r="G8" s="22" t="s">
        <v>18</v>
      </c>
      <c r="H8" s="22" t="s">
        <v>1257</v>
      </c>
      <c r="I8" s="22" t="s">
        <v>1258</v>
      </c>
      <c r="J8" s="24">
        <v>1.3841994190792499</v>
      </c>
      <c r="K8" s="24">
        <v>103.84141171600599</v>
      </c>
    </row>
    <row r="9" spans="2:11">
      <c r="B9" s="22" t="s">
        <v>1281</v>
      </c>
      <c r="C9" s="22" t="s">
        <v>1282</v>
      </c>
      <c r="D9" s="22">
        <v>569920</v>
      </c>
      <c r="E9" s="22" t="s">
        <v>1283</v>
      </c>
      <c r="F9" s="22" t="s">
        <v>1284</v>
      </c>
      <c r="G9" s="22" t="s">
        <v>18</v>
      </c>
      <c r="H9" s="22" t="s">
        <v>1267</v>
      </c>
      <c r="I9" s="22" t="s">
        <v>1258</v>
      </c>
      <c r="J9" s="24">
        <v>1.3690920581269199</v>
      </c>
      <c r="K9" s="24">
        <v>103.83904136315201</v>
      </c>
    </row>
    <row r="10" spans="2:11">
      <c r="B10" s="22" t="s">
        <v>1285</v>
      </c>
      <c r="C10" s="22" t="s">
        <v>1286</v>
      </c>
      <c r="D10" s="22">
        <v>227988</v>
      </c>
      <c r="E10" s="22" t="s">
        <v>1287</v>
      </c>
      <c r="F10" s="22" t="s">
        <v>1288</v>
      </c>
      <c r="G10" s="22" t="s">
        <v>1289</v>
      </c>
      <c r="H10" s="22" t="s">
        <v>1267</v>
      </c>
      <c r="I10" s="22" t="s">
        <v>1258</v>
      </c>
      <c r="J10" s="24">
        <v>1.3093225273017399</v>
      </c>
      <c r="K10" s="24">
        <v>103.84155212737301</v>
      </c>
    </row>
    <row r="11" spans="2:11">
      <c r="B11" s="22" t="s">
        <v>1290</v>
      </c>
      <c r="C11" s="22" t="s">
        <v>1291</v>
      </c>
      <c r="D11" s="22">
        <v>309918</v>
      </c>
      <c r="E11" s="22" t="s">
        <v>1287</v>
      </c>
      <c r="F11" s="22" t="s">
        <v>1292</v>
      </c>
      <c r="G11" s="22" t="s">
        <v>1293</v>
      </c>
      <c r="H11" s="22" t="s">
        <v>1267</v>
      </c>
      <c r="I11" s="22" t="s">
        <v>1258</v>
      </c>
      <c r="J11" s="24">
        <v>1.3183705452352099</v>
      </c>
      <c r="K11" s="24">
        <v>103.835609732354</v>
      </c>
    </row>
    <row r="12" spans="2:11">
      <c r="B12" s="22" t="s">
        <v>1294</v>
      </c>
      <c r="C12" s="22" t="s">
        <v>1295</v>
      </c>
      <c r="D12" s="22">
        <v>529366</v>
      </c>
      <c r="E12" s="22" t="s">
        <v>1296</v>
      </c>
      <c r="F12" s="22" t="s">
        <v>1297</v>
      </c>
      <c r="G12" s="22" t="s">
        <v>751</v>
      </c>
      <c r="H12" s="22" t="s">
        <v>1298</v>
      </c>
      <c r="I12" s="22" t="s">
        <v>1258</v>
      </c>
      <c r="J12" s="24">
        <v>1.3482840080954499</v>
      </c>
      <c r="K12" s="24">
        <v>103.95148274653801</v>
      </c>
    </row>
    <row r="13" spans="2:11">
      <c r="B13" s="22" t="s">
        <v>1299</v>
      </c>
      <c r="C13" s="22" t="s">
        <v>1300</v>
      </c>
      <c r="D13" s="22">
        <v>679944</v>
      </c>
      <c r="E13" s="22" t="s">
        <v>1301</v>
      </c>
      <c r="F13" s="22" t="s">
        <v>1302</v>
      </c>
      <c r="G13" s="22" t="s">
        <v>460</v>
      </c>
      <c r="H13" s="22" t="s">
        <v>1303</v>
      </c>
      <c r="I13" s="22" t="s">
        <v>1258</v>
      </c>
      <c r="J13" s="24">
        <v>1.3839493621182299</v>
      </c>
      <c r="K13" s="24">
        <v>103.77363202297499</v>
      </c>
    </row>
    <row r="14" spans="2:11">
      <c r="B14" s="22" t="s">
        <v>1304</v>
      </c>
      <c r="C14" s="22" t="s">
        <v>1305</v>
      </c>
      <c r="D14" s="22">
        <v>469317</v>
      </c>
      <c r="E14" s="22" t="s">
        <v>1306</v>
      </c>
      <c r="F14" s="22" t="s">
        <v>1307</v>
      </c>
      <c r="G14" s="22" t="s">
        <v>351</v>
      </c>
      <c r="H14" s="22" t="s">
        <v>1298</v>
      </c>
      <c r="I14" s="22" t="s">
        <v>1258</v>
      </c>
      <c r="J14" s="24">
        <v>1.32344593287992</v>
      </c>
      <c r="K14" s="24">
        <v>103.937878976352</v>
      </c>
    </row>
    <row r="15" spans="2:11">
      <c r="B15" s="22" t="s">
        <v>1308</v>
      </c>
      <c r="C15" s="22" t="s">
        <v>1309</v>
      </c>
      <c r="D15" s="22">
        <v>339948</v>
      </c>
      <c r="E15" s="22" t="s">
        <v>1310</v>
      </c>
      <c r="F15" s="22" t="s">
        <v>1311</v>
      </c>
      <c r="G15" s="22" t="s">
        <v>1312</v>
      </c>
      <c r="H15" s="22" t="s">
        <v>1267</v>
      </c>
      <c r="I15" s="22" t="s">
        <v>1258</v>
      </c>
      <c r="J15" s="24">
        <v>1.3225449659487001</v>
      </c>
      <c r="K15" s="24">
        <v>103.86471596651199</v>
      </c>
    </row>
    <row r="16" spans="2:11">
      <c r="B16" s="22" t="s">
        <v>1313</v>
      </c>
      <c r="C16" s="22" t="s">
        <v>1314</v>
      </c>
      <c r="D16" s="22">
        <v>109100</v>
      </c>
      <c r="E16" s="22" t="s">
        <v>1315</v>
      </c>
      <c r="F16" s="22" t="s">
        <v>1316</v>
      </c>
      <c r="G16" s="22" t="s">
        <v>431</v>
      </c>
      <c r="H16" s="22" t="s">
        <v>1267</v>
      </c>
      <c r="I16" s="22" t="s">
        <v>1258</v>
      </c>
      <c r="J16" s="24">
        <v>1.27671535398442</v>
      </c>
      <c r="K16" s="24">
        <v>103.809208632292</v>
      </c>
    </row>
    <row r="17" spans="2:11">
      <c r="B17" s="22" t="s">
        <v>1317</v>
      </c>
      <c r="C17" s="22" t="s">
        <v>1318</v>
      </c>
      <c r="D17" s="22">
        <v>649930</v>
      </c>
      <c r="E17" s="22" t="s">
        <v>1319</v>
      </c>
      <c r="F17" s="22" t="s">
        <v>1320</v>
      </c>
      <c r="G17" s="22" t="s">
        <v>566</v>
      </c>
      <c r="H17" s="22" t="s">
        <v>1303</v>
      </c>
      <c r="I17" s="22" t="s">
        <v>1258</v>
      </c>
      <c r="J17" s="24">
        <v>1.3428401379161701</v>
      </c>
      <c r="K17" s="24">
        <v>103.712858381937</v>
      </c>
    </row>
    <row r="18" spans="2:11">
      <c r="B18" s="22" t="s">
        <v>1321</v>
      </c>
      <c r="C18" s="22" t="s">
        <v>1322</v>
      </c>
      <c r="D18" s="22">
        <v>679676</v>
      </c>
      <c r="E18" s="22" t="s">
        <v>1323</v>
      </c>
      <c r="F18" s="22" t="s">
        <v>1324</v>
      </c>
      <c r="G18" s="22" t="s">
        <v>460</v>
      </c>
      <c r="H18" s="22" t="s">
        <v>1303</v>
      </c>
      <c r="I18" s="22" t="s">
        <v>1258</v>
      </c>
      <c r="J18" s="24">
        <v>1.37350089986584</v>
      </c>
      <c r="K18" s="24">
        <v>103.769417337654</v>
      </c>
    </row>
    <row r="19" spans="2:11">
      <c r="B19" s="22" t="s">
        <v>1325</v>
      </c>
      <c r="C19" s="22" t="s">
        <v>1326</v>
      </c>
      <c r="D19" s="22">
        <v>598112</v>
      </c>
      <c r="E19" s="22" t="s">
        <v>1327</v>
      </c>
      <c r="F19" s="22" t="s">
        <v>1328</v>
      </c>
      <c r="G19" s="22" t="s">
        <v>475</v>
      </c>
      <c r="H19" s="22" t="s">
        <v>1303</v>
      </c>
      <c r="I19" s="22" t="s">
        <v>1258</v>
      </c>
      <c r="J19" s="24">
        <v>1.3377498622588</v>
      </c>
      <c r="K19" s="24">
        <v>103.766855344779</v>
      </c>
    </row>
    <row r="20" spans="2:11">
      <c r="B20" s="22" t="s">
        <v>1329</v>
      </c>
      <c r="C20" s="22" t="s">
        <v>1330</v>
      </c>
      <c r="D20" s="22">
        <v>659634</v>
      </c>
      <c r="E20" s="22" t="s">
        <v>1331</v>
      </c>
      <c r="F20" s="22" t="s">
        <v>1332</v>
      </c>
      <c r="G20" s="22" t="s">
        <v>394</v>
      </c>
      <c r="H20" s="22" t="s">
        <v>1303</v>
      </c>
      <c r="I20" s="22" t="s">
        <v>1258</v>
      </c>
      <c r="J20" s="24">
        <v>1.3458605478869501</v>
      </c>
      <c r="K20" s="24">
        <v>103.75366641455</v>
      </c>
    </row>
    <row r="21" spans="2:11">
      <c r="B21" s="22" t="s">
        <v>1333</v>
      </c>
      <c r="C21" s="22" t="s">
        <v>1334</v>
      </c>
      <c r="D21" s="22">
        <v>757714</v>
      </c>
      <c r="E21" s="22" t="s">
        <v>1335</v>
      </c>
      <c r="F21" s="22" t="s">
        <v>1336</v>
      </c>
      <c r="G21" s="22" t="s">
        <v>680</v>
      </c>
      <c r="H21" s="22" t="s">
        <v>1257</v>
      </c>
      <c r="I21" s="22" t="s">
        <v>1258</v>
      </c>
      <c r="J21" s="24">
        <v>1.45123288382933</v>
      </c>
      <c r="K21" s="24">
        <v>103.81588941317</v>
      </c>
    </row>
    <row r="22" spans="2:11">
      <c r="B22" s="22" t="s">
        <v>1337</v>
      </c>
      <c r="C22" s="22" t="s">
        <v>1338</v>
      </c>
      <c r="D22" s="22">
        <v>387621</v>
      </c>
      <c r="E22" s="22" t="s">
        <v>1339</v>
      </c>
      <c r="F22" s="22" t="s">
        <v>1340</v>
      </c>
      <c r="G22" s="22" t="s">
        <v>519</v>
      </c>
      <c r="H22" s="22" t="s">
        <v>1298</v>
      </c>
      <c r="I22" s="22" t="s">
        <v>1258</v>
      </c>
      <c r="J22" s="24">
        <v>1.32685351993336</v>
      </c>
      <c r="K22" s="24">
        <v>103.881002098815</v>
      </c>
    </row>
    <row r="23" spans="2:11">
      <c r="B23" s="22" t="s">
        <v>1341</v>
      </c>
      <c r="C23" s="22" t="s">
        <v>1342</v>
      </c>
      <c r="D23" s="22">
        <v>518935</v>
      </c>
      <c r="E23" s="22" t="s">
        <v>1343</v>
      </c>
      <c r="F23" s="22" t="s">
        <v>1344</v>
      </c>
      <c r="G23" s="22" t="s">
        <v>619</v>
      </c>
      <c r="H23" s="22" t="s">
        <v>1298</v>
      </c>
      <c r="I23" s="22" t="s">
        <v>1258</v>
      </c>
      <c r="J23" s="24">
        <v>1.37310773436801</v>
      </c>
      <c r="K23" s="24">
        <v>103.957112275692</v>
      </c>
    </row>
    <row r="24" spans="2:11">
      <c r="B24" s="22" t="s">
        <v>1345</v>
      </c>
      <c r="C24" s="22" t="s">
        <v>1346</v>
      </c>
      <c r="D24" s="22">
        <v>579767</v>
      </c>
      <c r="E24" s="22" t="s">
        <v>1347</v>
      </c>
      <c r="F24" s="22" t="s">
        <v>1348</v>
      </c>
      <c r="G24" s="22" t="s">
        <v>386</v>
      </c>
      <c r="H24" s="22" t="s">
        <v>1257</v>
      </c>
      <c r="I24" s="22" t="s">
        <v>1349</v>
      </c>
      <c r="J24" s="24">
        <v>1.35438878373608</v>
      </c>
      <c r="K24" s="24">
        <v>103.844210670766</v>
      </c>
    </row>
    <row r="25" spans="2:11">
      <c r="B25" s="22" t="s">
        <v>1350</v>
      </c>
      <c r="C25" s="22" t="s">
        <v>1351</v>
      </c>
      <c r="D25" s="22">
        <v>349700</v>
      </c>
      <c r="E25" s="22" t="s">
        <v>1352</v>
      </c>
      <c r="F25" s="22" t="s">
        <v>1353</v>
      </c>
      <c r="G25" s="22" t="s">
        <v>787</v>
      </c>
      <c r="H25" s="22" t="s">
        <v>1267</v>
      </c>
      <c r="I25" s="22" t="s">
        <v>1258</v>
      </c>
      <c r="J25" s="24">
        <v>1.3355885014311999</v>
      </c>
      <c r="K25" s="24">
        <v>103.87562104944</v>
      </c>
    </row>
    <row r="26" spans="2:11">
      <c r="B26" s="22" t="s">
        <v>1354</v>
      </c>
      <c r="C26" s="22" t="s">
        <v>1355</v>
      </c>
      <c r="D26" s="22">
        <v>529896</v>
      </c>
      <c r="E26" s="22" t="s">
        <v>1356</v>
      </c>
      <c r="F26" s="22" t="s">
        <v>1357</v>
      </c>
      <c r="G26" s="22" t="s">
        <v>751</v>
      </c>
      <c r="H26" s="22" t="s">
        <v>1298</v>
      </c>
      <c r="I26" s="22" t="s">
        <v>1258</v>
      </c>
      <c r="J26" s="24">
        <v>1.3402316395163301</v>
      </c>
      <c r="K26" s="24">
        <v>103.952080114035</v>
      </c>
    </row>
    <row r="27" spans="2:11">
      <c r="B27" s="22" t="s">
        <v>1358</v>
      </c>
      <c r="C27" s="22" t="s">
        <v>1359</v>
      </c>
      <c r="D27" s="22">
        <v>424821</v>
      </c>
      <c r="E27" s="22" t="s">
        <v>1360</v>
      </c>
      <c r="F27" s="22" t="s">
        <v>1361</v>
      </c>
      <c r="G27" s="22" t="s">
        <v>351</v>
      </c>
      <c r="H27" s="22" t="s">
        <v>1298</v>
      </c>
      <c r="I27" s="22" t="s">
        <v>1258</v>
      </c>
      <c r="J27" s="24">
        <v>1.30648535277087</v>
      </c>
      <c r="K27" s="24">
        <v>103.911105620496</v>
      </c>
    </row>
    <row r="28" spans="2:11">
      <c r="B28" s="22" t="s">
        <v>1362</v>
      </c>
      <c r="C28" s="22" t="s">
        <v>1363</v>
      </c>
      <c r="D28" s="22">
        <v>558979</v>
      </c>
      <c r="E28" s="22" t="s">
        <v>1364</v>
      </c>
      <c r="F28" s="22" t="s">
        <v>1365</v>
      </c>
      <c r="G28" s="22" t="s">
        <v>745</v>
      </c>
      <c r="H28" s="22" t="s">
        <v>1267</v>
      </c>
      <c r="I28" s="22" t="s">
        <v>1258</v>
      </c>
      <c r="J28" s="24">
        <v>1.35799494859112</v>
      </c>
      <c r="K28" s="24">
        <v>103.864152052213</v>
      </c>
    </row>
    <row r="29" spans="2:11">
      <c r="B29" s="22" t="s">
        <v>1366</v>
      </c>
      <c r="C29" s="22" t="s">
        <v>1367</v>
      </c>
      <c r="D29" s="22">
        <v>534793</v>
      </c>
      <c r="E29" s="22" t="s">
        <v>1368</v>
      </c>
      <c r="F29" s="22" t="s">
        <v>1369</v>
      </c>
      <c r="G29" s="22" t="s">
        <v>531</v>
      </c>
      <c r="H29" s="22" t="s">
        <v>1267</v>
      </c>
      <c r="I29" s="22" t="s">
        <v>1258</v>
      </c>
      <c r="J29" s="24">
        <v>1.3735740969914501</v>
      </c>
      <c r="K29" s="24">
        <v>103.897768958127</v>
      </c>
    </row>
    <row r="30" spans="2:11">
      <c r="B30" s="22" t="s">
        <v>1370</v>
      </c>
      <c r="C30" s="22" t="s">
        <v>1371</v>
      </c>
      <c r="D30" s="22">
        <v>679287</v>
      </c>
      <c r="E30" s="22" t="s">
        <v>1372</v>
      </c>
      <c r="F30" s="22" t="s">
        <v>1373</v>
      </c>
      <c r="G30" s="22" t="s">
        <v>460</v>
      </c>
      <c r="H30" s="22" t="s">
        <v>1303</v>
      </c>
      <c r="I30" s="22" t="s">
        <v>1258</v>
      </c>
      <c r="J30" s="24">
        <v>1.36649865720247</v>
      </c>
      <c r="K30" s="24">
        <v>103.76745746796399</v>
      </c>
    </row>
    <row r="31" spans="2:11">
      <c r="B31" s="22" t="s">
        <v>1374</v>
      </c>
      <c r="C31" s="22" t="s">
        <v>1375</v>
      </c>
      <c r="D31" s="22">
        <v>319765</v>
      </c>
      <c r="E31" s="22" t="s">
        <v>1376</v>
      </c>
      <c r="F31" s="22" t="s">
        <v>1377</v>
      </c>
      <c r="G31" s="22" t="s">
        <v>787</v>
      </c>
      <c r="H31" s="22" t="s">
        <v>1267</v>
      </c>
      <c r="I31" s="22" t="s">
        <v>1258</v>
      </c>
      <c r="J31" s="24">
        <v>1.3327526471158699</v>
      </c>
      <c r="K31" s="24">
        <v>103.84184726378599</v>
      </c>
    </row>
    <row r="32" spans="2:11">
      <c r="B32" s="22" t="s">
        <v>1378</v>
      </c>
      <c r="C32" s="22" t="s">
        <v>1379</v>
      </c>
      <c r="D32" s="22">
        <v>569405</v>
      </c>
      <c r="E32" s="22" t="s">
        <v>1380</v>
      </c>
      <c r="F32" s="22" t="s">
        <v>1381</v>
      </c>
      <c r="G32" s="22" t="s">
        <v>18</v>
      </c>
      <c r="H32" s="22" t="s">
        <v>1257</v>
      </c>
      <c r="I32" s="22" t="s">
        <v>1349</v>
      </c>
      <c r="J32" s="24">
        <v>1.37347687878916</v>
      </c>
      <c r="K32" s="24">
        <v>103.834253269436</v>
      </c>
    </row>
    <row r="33" spans="2:11">
      <c r="B33" s="22" t="s">
        <v>1382</v>
      </c>
      <c r="C33" s="22" t="s">
        <v>1383</v>
      </c>
      <c r="D33" s="22">
        <v>768959</v>
      </c>
      <c r="E33" s="22" t="s">
        <v>1384</v>
      </c>
      <c r="F33" s="22" t="s">
        <v>1385</v>
      </c>
      <c r="G33" s="22" t="s">
        <v>848</v>
      </c>
      <c r="H33" s="22" t="s">
        <v>1257</v>
      </c>
      <c r="I33" s="22" t="s">
        <v>1258</v>
      </c>
      <c r="J33" s="24">
        <v>1.43846230429529</v>
      </c>
      <c r="K33" s="24">
        <v>103.839070714229</v>
      </c>
    </row>
    <row r="34" spans="2:11">
      <c r="B34" s="22" t="s">
        <v>1386</v>
      </c>
      <c r="C34" s="22" t="s">
        <v>1387</v>
      </c>
      <c r="D34" s="22">
        <v>529392</v>
      </c>
      <c r="E34" s="22" t="s">
        <v>1388</v>
      </c>
      <c r="F34" s="22" t="s">
        <v>1389</v>
      </c>
      <c r="G34" s="22" t="s">
        <v>751</v>
      </c>
      <c r="H34" s="22" t="s">
        <v>1298</v>
      </c>
      <c r="I34" s="22" t="s">
        <v>1258</v>
      </c>
      <c r="J34" s="24">
        <v>1.35070739237744</v>
      </c>
      <c r="K34" s="24">
        <v>103.951399541868</v>
      </c>
    </row>
    <row r="35" spans="2:11">
      <c r="B35" s="22" t="s">
        <v>1390</v>
      </c>
      <c r="C35" s="22" t="s">
        <v>1391</v>
      </c>
      <c r="D35" s="22">
        <v>689905</v>
      </c>
      <c r="E35" s="22" t="s">
        <v>1392</v>
      </c>
      <c r="F35" s="22" t="s">
        <v>1393</v>
      </c>
      <c r="G35" s="22" t="s">
        <v>482</v>
      </c>
      <c r="H35" s="22" t="s">
        <v>1303</v>
      </c>
      <c r="I35" s="22" t="s">
        <v>1258</v>
      </c>
      <c r="J35" s="24">
        <v>1.3777589009336699</v>
      </c>
      <c r="K35" s="24">
        <v>103.74183291742099</v>
      </c>
    </row>
    <row r="36" spans="2:11">
      <c r="B36" s="22" t="s">
        <v>1394</v>
      </c>
      <c r="C36" s="22" t="s">
        <v>1395</v>
      </c>
      <c r="D36" s="22">
        <v>129903</v>
      </c>
      <c r="E36" s="22" t="s">
        <v>1396</v>
      </c>
      <c r="F36" s="22" t="s">
        <v>1397</v>
      </c>
      <c r="G36" s="22" t="s">
        <v>512</v>
      </c>
      <c r="H36" s="22" t="s">
        <v>1303</v>
      </c>
      <c r="I36" s="22" t="s">
        <v>1258</v>
      </c>
      <c r="J36" s="24">
        <v>1.3150573132050101</v>
      </c>
      <c r="K36" s="24">
        <v>103.76296667499599</v>
      </c>
    </row>
    <row r="37" spans="2:11">
      <c r="B37" s="22" t="s">
        <v>1398</v>
      </c>
      <c r="C37" s="22" t="s">
        <v>1399</v>
      </c>
      <c r="D37" s="22">
        <v>545091</v>
      </c>
      <c r="E37" s="22" t="s">
        <v>1400</v>
      </c>
      <c r="F37" s="22" t="s">
        <v>1401</v>
      </c>
      <c r="G37" s="22" t="s">
        <v>1276</v>
      </c>
      <c r="H37" s="22" t="s">
        <v>1257</v>
      </c>
      <c r="I37" s="22" t="s">
        <v>1258</v>
      </c>
      <c r="J37" s="24">
        <v>1.3944452963656599</v>
      </c>
      <c r="K37" s="24">
        <v>103.897812229905</v>
      </c>
    </row>
    <row r="38" spans="2:11">
      <c r="B38" s="22" t="s">
        <v>1402</v>
      </c>
      <c r="C38" s="22" t="s">
        <v>1403</v>
      </c>
      <c r="D38" s="22">
        <v>689814</v>
      </c>
      <c r="E38" s="22" t="s">
        <v>1404</v>
      </c>
      <c r="F38" s="22" t="s">
        <v>1405</v>
      </c>
      <c r="G38" s="22" t="s">
        <v>482</v>
      </c>
      <c r="H38" s="22" t="s">
        <v>1303</v>
      </c>
      <c r="I38" s="22" t="s">
        <v>1258</v>
      </c>
      <c r="J38" s="24">
        <v>1.38000806197242</v>
      </c>
      <c r="K38" s="24">
        <v>103.736225440727</v>
      </c>
    </row>
    <row r="39" spans="2:11">
      <c r="B39" s="22" t="s">
        <v>1406</v>
      </c>
      <c r="C39" s="22" t="s">
        <v>1407</v>
      </c>
      <c r="D39" s="22">
        <v>648347</v>
      </c>
      <c r="E39" s="22" t="s">
        <v>1408</v>
      </c>
      <c r="F39" s="22" t="s">
        <v>1409</v>
      </c>
      <c r="G39" s="22" t="s">
        <v>566</v>
      </c>
      <c r="H39" s="22" t="s">
        <v>1303</v>
      </c>
      <c r="I39" s="22" t="s">
        <v>1258</v>
      </c>
      <c r="J39" s="24">
        <v>1.3509977987253901</v>
      </c>
      <c r="K39" s="24">
        <v>103.707593724342</v>
      </c>
    </row>
    <row r="40" spans="2:11">
      <c r="B40" s="22" t="s">
        <v>1410</v>
      </c>
      <c r="C40" s="22" t="s">
        <v>1411</v>
      </c>
      <c r="D40" s="22">
        <v>479226</v>
      </c>
      <c r="E40" s="22" t="s">
        <v>1412</v>
      </c>
      <c r="F40" s="22" t="s">
        <v>1413</v>
      </c>
      <c r="G40" s="22" t="s">
        <v>351</v>
      </c>
      <c r="H40" s="22" t="s">
        <v>1298</v>
      </c>
      <c r="I40" s="22" t="s">
        <v>1258</v>
      </c>
      <c r="J40" s="24">
        <v>1.3352460282974701</v>
      </c>
      <c r="K40" s="24">
        <v>103.92128643532099</v>
      </c>
    </row>
    <row r="41" spans="2:11">
      <c r="B41" s="22" t="s">
        <v>1414</v>
      </c>
      <c r="C41" s="22" t="s">
        <v>1415</v>
      </c>
      <c r="D41" s="22">
        <v>659441</v>
      </c>
      <c r="E41" s="22" t="s">
        <v>1416</v>
      </c>
      <c r="F41" s="22" t="s">
        <v>1417</v>
      </c>
      <c r="G41" s="22" t="s">
        <v>394</v>
      </c>
      <c r="H41" s="22" t="s">
        <v>1303</v>
      </c>
      <c r="I41" s="22" t="s">
        <v>1258</v>
      </c>
      <c r="J41" s="24">
        <v>1.3590625761667701</v>
      </c>
      <c r="K41" s="24">
        <v>103.748122250254</v>
      </c>
    </row>
    <row r="42" spans="2:11">
      <c r="B42" s="22" t="s">
        <v>1418</v>
      </c>
      <c r="C42" s="22" t="s">
        <v>1419</v>
      </c>
      <c r="D42" s="22">
        <v>689285</v>
      </c>
      <c r="E42" s="22" t="s">
        <v>1420</v>
      </c>
      <c r="F42" s="22" t="s">
        <v>1421</v>
      </c>
      <c r="G42" s="22" t="s">
        <v>482</v>
      </c>
      <c r="H42" s="22" t="s">
        <v>1303</v>
      </c>
      <c r="I42" s="22" t="s">
        <v>1258</v>
      </c>
      <c r="J42" s="24">
        <v>1.3947078296399</v>
      </c>
      <c r="K42" s="24">
        <v>103.743201812831</v>
      </c>
    </row>
    <row r="43" spans="2:11">
      <c r="B43" s="22" t="s">
        <v>1422</v>
      </c>
      <c r="C43" s="22" t="s">
        <v>1423</v>
      </c>
      <c r="D43" s="22">
        <v>529258</v>
      </c>
      <c r="E43" s="22" t="s">
        <v>1424</v>
      </c>
      <c r="F43" s="22" t="s">
        <v>1425</v>
      </c>
      <c r="G43" s="22" t="s">
        <v>751</v>
      </c>
      <c r="H43" s="22" t="s">
        <v>1298</v>
      </c>
      <c r="I43" s="22" t="s">
        <v>1258</v>
      </c>
      <c r="J43" s="24">
        <v>1.35268400746357</v>
      </c>
      <c r="K43" s="24">
        <v>103.961676849165</v>
      </c>
    </row>
    <row r="44" spans="2:11">
      <c r="B44" s="22" t="s">
        <v>1426</v>
      </c>
      <c r="C44" s="22" t="s">
        <v>1427</v>
      </c>
      <c r="D44" s="22">
        <v>828869</v>
      </c>
      <c r="E44" s="22" t="s">
        <v>1428</v>
      </c>
      <c r="F44" s="22" t="s">
        <v>1429</v>
      </c>
      <c r="G44" s="22" t="s">
        <v>630</v>
      </c>
      <c r="H44" s="22" t="s">
        <v>1257</v>
      </c>
      <c r="I44" s="22" t="s">
        <v>1258</v>
      </c>
      <c r="J44" s="24">
        <v>1.40029783011552</v>
      </c>
      <c r="K44" s="24">
        <v>103.90743052365301</v>
      </c>
    </row>
    <row r="45" spans="2:11">
      <c r="B45" s="22" t="s">
        <v>1430</v>
      </c>
      <c r="C45" s="22" t="s">
        <v>1431</v>
      </c>
      <c r="D45" s="22">
        <v>518866</v>
      </c>
      <c r="E45" s="22" t="s">
        <v>1432</v>
      </c>
      <c r="F45" s="22" t="s">
        <v>1433</v>
      </c>
      <c r="G45" s="22" t="s">
        <v>619</v>
      </c>
      <c r="H45" s="22" t="s">
        <v>1298</v>
      </c>
      <c r="I45" s="22" t="s">
        <v>1258</v>
      </c>
      <c r="J45" s="24">
        <v>1.3750569631581699</v>
      </c>
      <c r="K45" s="24">
        <v>103.945289416873</v>
      </c>
    </row>
    <row r="46" spans="2:11">
      <c r="B46" s="22" t="s">
        <v>1434</v>
      </c>
      <c r="C46" s="22" t="s">
        <v>1435</v>
      </c>
      <c r="D46" s="22">
        <v>757521</v>
      </c>
      <c r="E46" s="22" t="s">
        <v>1335</v>
      </c>
      <c r="F46" s="22" t="s">
        <v>1436</v>
      </c>
      <c r="G46" s="22" t="s">
        <v>680</v>
      </c>
      <c r="H46" s="22" t="s">
        <v>1257</v>
      </c>
      <c r="I46" s="22" t="s">
        <v>1258</v>
      </c>
      <c r="J46" s="24">
        <v>1.45388170417263</v>
      </c>
      <c r="K46" s="24">
        <v>103.817174701639</v>
      </c>
    </row>
    <row r="47" spans="2:11">
      <c r="B47" s="22" t="s">
        <v>1437</v>
      </c>
      <c r="C47" s="22" t="s">
        <v>1438</v>
      </c>
      <c r="D47" s="22">
        <v>419529</v>
      </c>
      <c r="E47" s="22" t="s">
        <v>1439</v>
      </c>
      <c r="F47" s="22" t="s">
        <v>1440</v>
      </c>
      <c r="G47" s="22" t="s">
        <v>519</v>
      </c>
      <c r="H47" s="22" t="s">
        <v>1298</v>
      </c>
      <c r="I47" s="22" t="s">
        <v>1258</v>
      </c>
      <c r="J47" s="24">
        <v>1.32447629876368</v>
      </c>
      <c r="K47" s="24">
        <v>103.904541254016</v>
      </c>
    </row>
    <row r="48" spans="2:11">
      <c r="B48" s="22" t="s">
        <v>1441</v>
      </c>
      <c r="C48" s="22" t="s">
        <v>1442</v>
      </c>
      <c r="D48" s="22">
        <v>738908</v>
      </c>
      <c r="E48" s="22" t="s">
        <v>1443</v>
      </c>
      <c r="F48" s="22" t="s">
        <v>1444</v>
      </c>
      <c r="G48" s="22" t="s">
        <v>805</v>
      </c>
      <c r="H48" s="22" t="s">
        <v>1257</v>
      </c>
      <c r="I48" s="22" t="s">
        <v>1258</v>
      </c>
      <c r="J48" s="24">
        <v>1.44414835451585</v>
      </c>
      <c r="K48" s="24">
        <v>103.79454529592201</v>
      </c>
    </row>
    <row r="49" spans="2:11">
      <c r="B49" s="22" t="s">
        <v>1445</v>
      </c>
      <c r="C49" s="22" t="s">
        <v>1446</v>
      </c>
      <c r="D49" s="22">
        <v>139648</v>
      </c>
      <c r="E49" s="22" t="s">
        <v>1447</v>
      </c>
      <c r="F49" s="22" t="s">
        <v>1448</v>
      </c>
      <c r="G49" s="22" t="s">
        <v>664</v>
      </c>
      <c r="H49" s="22" t="s">
        <v>1267</v>
      </c>
      <c r="I49" s="22" t="s">
        <v>1258</v>
      </c>
      <c r="J49" s="24">
        <v>1.30054082453424</v>
      </c>
      <c r="K49" s="24">
        <v>103.785438270044</v>
      </c>
    </row>
    <row r="50" spans="2:11">
      <c r="B50" s="22" t="s">
        <v>1449</v>
      </c>
      <c r="C50" s="22" t="s">
        <v>1450</v>
      </c>
      <c r="D50" s="22">
        <v>217567</v>
      </c>
      <c r="E50" s="22" t="s">
        <v>1451</v>
      </c>
      <c r="F50" s="22" t="s">
        <v>1452</v>
      </c>
      <c r="G50" s="22" t="s">
        <v>1312</v>
      </c>
      <c r="H50" s="22" t="s">
        <v>1267</v>
      </c>
      <c r="I50" s="22" t="s">
        <v>1258</v>
      </c>
      <c r="J50" s="24">
        <v>1.3123686768137099</v>
      </c>
      <c r="K50" s="24">
        <v>103.85076640296499</v>
      </c>
    </row>
    <row r="51" spans="2:11">
      <c r="B51" s="22" t="s">
        <v>1453</v>
      </c>
      <c r="C51" s="22" t="s">
        <v>1454</v>
      </c>
      <c r="D51" s="22">
        <v>469680</v>
      </c>
      <c r="E51" s="22" t="s">
        <v>1455</v>
      </c>
      <c r="F51" s="22" t="s">
        <v>1456</v>
      </c>
      <c r="G51" s="22" t="s">
        <v>351</v>
      </c>
      <c r="H51" s="22" t="s">
        <v>1298</v>
      </c>
      <c r="I51" s="22" t="s">
        <v>1258</v>
      </c>
      <c r="J51" s="24">
        <v>1.3297844580717999</v>
      </c>
      <c r="K51" s="24">
        <v>103.931824413157</v>
      </c>
    </row>
    <row r="52" spans="2:11">
      <c r="B52" s="22" t="s">
        <v>1457</v>
      </c>
      <c r="C52" s="22" t="s">
        <v>1458</v>
      </c>
      <c r="D52" s="22">
        <v>797538</v>
      </c>
      <c r="E52" s="22" t="s">
        <v>1459</v>
      </c>
      <c r="F52" s="22" t="s">
        <v>1460</v>
      </c>
      <c r="G52" s="22" t="s">
        <v>1276</v>
      </c>
      <c r="H52" s="22" t="s">
        <v>1298</v>
      </c>
      <c r="I52" s="22" t="s">
        <v>1258</v>
      </c>
      <c r="J52" s="24">
        <v>1.3973198822858499</v>
      </c>
      <c r="K52" s="24">
        <v>103.880137234155</v>
      </c>
    </row>
    <row r="53" spans="2:11">
      <c r="B53" s="22" t="s">
        <v>1461</v>
      </c>
      <c r="C53" s="22" t="s">
        <v>1462</v>
      </c>
      <c r="D53" s="22">
        <v>797701</v>
      </c>
      <c r="E53" s="22" t="s">
        <v>1463</v>
      </c>
      <c r="F53" s="22" t="s">
        <v>1464</v>
      </c>
      <c r="G53" s="22" t="s">
        <v>1276</v>
      </c>
      <c r="H53" s="22" t="s">
        <v>1257</v>
      </c>
      <c r="I53" s="22" t="s">
        <v>1258</v>
      </c>
      <c r="J53" s="24">
        <v>1.39030227963797</v>
      </c>
      <c r="K53" s="24">
        <v>103.874445458032</v>
      </c>
    </row>
    <row r="54" spans="2:11">
      <c r="B54" s="22" t="s">
        <v>1465</v>
      </c>
      <c r="C54" s="22" t="s">
        <v>1466</v>
      </c>
      <c r="D54" s="22">
        <v>319252</v>
      </c>
      <c r="E54" s="22" t="s">
        <v>1467</v>
      </c>
      <c r="F54" s="22" t="s">
        <v>1468</v>
      </c>
      <c r="G54" s="22" t="s">
        <v>787</v>
      </c>
      <c r="H54" s="22" t="s">
        <v>1267</v>
      </c>
      <c r="I54" s="22" t="s">
        <v>1258</v>
      </c>
      <c r="J54" s="24">
        <v>1.34032298622598</v>
      </c>
      <c r="K54" s="24">
        <v>103.855651157354</v>
      </c>
    </row>
    <row r="55" spans="2:11">
      <c r="B55" s="22" t="s">
        <v>1469</v>
      </c>
      <c r="C55" s="22" t="s">
        <v>1470</v>
      </c>
      <c r="D55" s="22">
        <v>648200</v>
      </c>
      <c r="E55" s="22" t="s">
        <v>1471</v>
      </c>
      <c r="F55" s="22" t="s">
        <v>1472</v>
      </c>
      <c r="G55" s="22" t="s">
        <v>566</v>
      </c>
      <c r="H55" s="22" t="s">
        <v>1303</v>
      </c>
      <c r="I55" s="22" t="s">
        <v>1258</v>
      </c>
      <c r="J55" s="24">
        <v>1.3372140062625599</v>
      </c>
      <c r="K55" s="24">
        <v>103.69967112495399</v>
      </c>
    </row>
    <row r="56" spans="2:11">
      <c r="B56" s="22" t="s">
        <v>1473</v>
      </c>
      <c r="C56" s="22" t="s">
        <v>1474</v>
      </c>
      <c r="D56" s="22">
        <v>739063</v>
      </c>
      <c r="E56" s="22" t="s">
        <v>1475</v>
      </c>
      <c r="F56" s="22" t="s">
        <v>1476</v>
      </c>
      <c r="G56" s="22" t="s">
        <v>805</v>
      </c>
      <c r="H56" s="22" t="s">
        <v>1257</v>
      </c>
      <c r="I56" s="22" t="s">
        <v>1258</v>
      </c>
      <c r="J56" s="24">
        <v>1.4306397576357299</v>
      </c>
      <c r="K56" s="24">
        <v>103.778175192579</v>
      </c>
    </row>
    <row r="57" spans="2:11">
      <c r="B57" s="22" t="s">
        <v>1477</v>
      </c>
      <c r="C57" s="22" t="s">
        <v>1478</v>
      </c>
      <c r="D57" s="22">
        <v>609647</v>
      </c>
      <c r="E57" s="22" t="s">
        <v>912</v>
      </c>
      <c r="F57" s="22" t="s">
        <v>1479</v>
      </c>
      <c r="G57" s="22" t="s">
        <v>557</v>
      </c>
      <c r="H57" s="22" t="s">
        <v>1303</v>
      </c>
      <c r="I57" s="22" t="s">
        <v>1258</v>
      </c>
      <c r="J57" s="24">
        <v>1.3365039478962699</v>
      </c>
      <c r="K57" s="24">
        <v>103.736103745748</v>
      </c>
    </row>
    <row r="58" spans="2:11">
      <c r="B58" s="22" t="s">
        <v>1480</v>
      </c>
      <c r="C58" s="22" t="s">
        <v>1481</v>
      </c>
      <c r="D58" s="22">
        <v>158901</v>
      </c>
      <c r="E58" s="22" t="s">
        <v>1482</v>
      </c>
      <c r="F58" s="22" t="s">
        <v>1483</v>
      </c>
      <c r="G58" s="22" t="s">
        <v>431</v>
      </c>
      <c r="H58" s="22" t="s">
        <v>1267</v>
      </c>
      <c r="I58" s="22" t="s">
        <v>1258</v>
      </c>
      <c r="J58" s="24">
        <v>1.2859554029954201</v>
      </c>
      <c r="K58" s="24">
        <v>103.81522820949399</v>
      </c>
    </row>
    <row r="59" spans="2:11">
      <c r="B59" s="22" t="s">
        <v>1484</v>
      </c>
      <c r="C59" s="22" t="s">
        <v>1485</v>
      </c>
      <c r="D59" s="22">
        <v>389706</v>
      </c>
      <c r="E59" s="22" t="s">
        <v>1486</v>
      </c>
      <c r="F59" s="22" t="s">
        <v>1487</v>
      </c>
      <c r="G59" s="22" t="s">
        <v>519</v>
      </c>
      <c r="H59" s="22" t="s">
        <v>1298</v>
      </c>
      <c r="I59" s="22" t="s">
        <v>1258</v>
      </c>
      <c r="J59" s="24">
        <v>1.31814416827374</v>
      </c>
      <c r="K59" s="24">
        <v>103.883628501601</v>
      </c>
    </row>
    <row r="60" spans="2:11">
      <c r="B60" s="22" t="s">
        <v>1488</v>
      </c>
      <c r="C60" s="22" t="s">
        <v>1489</v>
      </c>
      <c r="D60" s="22">
        <v>529176</v>
      </c>
      <c r="E60" s="22" t="s">
        <v>1490</v>
      </c>
      <c r="F60" s="22" t="s">
        <v>1491</v>
      </c>
      <c r="G60" s="22" t="s">
        <v>751</v>
      </c>
      <c r="H60" s="22" t="s">
        <v>1298</v>
      </c>
      <c r="I60" s="22" t="s">
        <v>1258</v>
      </c>
      <c r="J60" s="24">
        <v>1.35707534737744</v>
      </c>
      <c r="K60" s="24">
        <v>103.949237910522</v>
      </c>
    </row>
    <row r="61" spans="2:11">
      <c r="B61" s="22" t="s">
        <v>1492</v>
      </c>
      <c r="C61" s="22" t="s">
        <v>1493</v>
      </c>
      <c r="D61" s="22">
        <v>828848</v>
      </c>
      <c r="E61" s="22" t="s">
        <v>1494</v>
      </c>
      <c r="F61" s="22" t="s">
        <v>1495</v>
      </c>
      <c r="G61" s="22" t="s">
        <v>630</v>
      </c>
      <c r="H61" s="22" t="s">
        <v>1257</v>
      </c>
      <c r="I61" s="22" t="s">
        <v>1258</v>
      </c>
      <c r="J61" s="24">
        <v>1.3960021182842299</v>
      </c>
      <c r="K61" s="24">
        <v>103.913020462134</v>
      </c>
    </row>
    <row r="62" spans="2:11">
      <c r="B62" s="22" t="s">
        <v>1496</v>
      </c>
      <c r="C62" s="22" t="s">
        <v>1497</v>
      </c>
      <c r="D62" s="22">
        <v>677744</v>
      </c>
      <c r="E62" s="22" t="s">
        <v>1498</v>
      </c>
      <c r="F62" s="22" t="s">
        <v>1499</v>
      </c>
      <c r="G62" s="22" t="s">
        <v>460</v>
      </c>
      <c r="H62" s="22" t="s">
        <v>1303</v>
      </c>
      <c r="I62" s="22" t="s">
        <v>1258</v>
      </c>
      <c r="J62" s="24">
        <v>1.38593108948507</v>
      </c>
      <c r="K62" s="24">
        <v>103.76780338798901</v>
      </c>
    </row>
    <row r="63" spans="2:11">
      <c r="B63" s="22" t="s">
        <v>1500</v>
      </c>
      <c r="C63" s="22" t="s">
        <v>1501</v>
      </c>
      <c r="D63" s="22">
        <v>737942</v>
      </c>
      <c r="E63" s="22" t="s">
        <v>1502</v>
      </c>
      <c r="F63" s="22" t="s">
        <v>1503</v>
      </c>
      <c r="G63" s="22" t="s">
        <v>805</v>
      </c>
      <c r="H63" s="22" t="s">
        <v>1257</v>
      </c>
      <c r="I63" s="22" t="s">
        <v>1258</v>
      </c>
      <c r="J63" s="24">
        <v>1.4401104867196</v>
      </c>
      <c r="K63" s="24">
        <v>103.804515180606</v>
      </c>
    </row>
    <row r="64" spans="2:11">
      <c r="B64" s="22" t="s">
        <v>1504</v>
      </c>
      <c r="C64" s="22" t="s">
        <v>1505</v>
      </c>
      <c r="D64" s="22">
        <v>579806</v>
      </c>
      <c r="E64" s="22" t="s">
        <v>1265</v>
      </c>
      <c r="F64" s="22" t="s">
        <v>1506</v>
      </c>
      <c r="G64" s="22" t="s">
        <v>386</v>
      </c>
      <c r="H64" s="22" t="s">
        <v>1267</v>
      </c>
      <c r="I64" s="22" t="s">
        <v>1258</v>
      </c>
      <c r="J64" s="24">
        <v>1.3456901153023799</v>
      </c>
      <c r="K64" s="24">
        <v>103.849453239895</v>
      </c>
    </row>
    <row r="65" spans="2:11">
      <c r="B65" s="22" t="s">
        <v>1507</v>
      </c>
      <c r="C65" s="22" t="s">
        <v>1508</v>
      </c>
      <c r="D65" s="22">
        <v>427072</v>
      </c>
      <c r="E65" s="22" t="s">
        <v>1509</v>
      </c>
      <c r="F65" s="22" t="s">
        <v>1510</v>
      </c>
      <c r="G65" s="22" t="s">
        <v>519</v>
      </c>
      <c r="H65" s="22" t="s">
        <v>1298</v>
      </c>
      <c r="I65" s="22" t="s">
        <v>1258</v>
      </c>
      <c r="J65" s="24">
        <v>1.3119434427138299</v>
      </c>
      <c r="K65" s="24">
        <v>103.90290255719501</v>
      </c>
    </row>
    <row r="66" spans="2:11">
      <c r="B66" s="22" t="s">
        <v>1511</v>
      </c>
      <c r="C66" s="22" t="s">
        <v>1512</v>
      </c>
      <c r="D66" s="22">
        <v>278790</v>
      </c>
      <c r="E66" s="22" t="s">
        <v>1513</v>
      </c>
      <c r="F66" s="22" t="s">
        <v>1514</v>
      </c>
      <c r="G66" s="22" t="s">
        <v>475</v>
      </c>
      <c r="H66" s="22" t="s">
        <v>1303</v>
      </c>
      <c r="I66" s="22" t="s">
        <v>1258</v>
      </c>
      <c r="J66" s="24">
        <v>1.3166764617834701</v>
      </c>
      <c r="K66" s="24">
        <v>103.78429622774701</v>
      </c>
    </row>
    <row r="67" spans="2:11">
      <c r="B67" s="22" t="s">
        <v>1515</v>
      </c>
      <c r="C67" s="22" t="s">
        <v>1516</v>
      </c>
      <c r="D67" s="22">
        <v>536451</v>
      </c>
      <c r="E67" s="22" t="s">
        <v>1517</v>
      </c>
      <c r="F67" s="22" t="s">
        <v>1518</v>
      </c>
      <c r="G67" s="22" t="s">
        <v>531</v>
      </c>
      <c r="H67" s="22" t="s">
        <v>1267</v>
      </c>
      <c r="I67" s="22" t="s">
        <v>1258</v>
      </c>
      <c r="J67" s="24">
        <v>1.3669383087734901</v>
      </c>
      <c r="K67" s="24">
        <v>103.894114899795</v>
      </c>
    </row>
    <row r="68" spans="2:11">
      <c r="B68" s="22" t="s">
        <v>1519</v>
      </c>
      <c r="C68" s="22" t="s">
        <v>1520</v>
      </c>
      <c r="D68" s="22">
        <v>327829</v>
      </c>
      <c r="E68" s="22" t="s">
        <v>1521</v>
      </c>
      <c r="F68" s="22" t="s">
        <v>1522</v>
      </c>
      <c r="G68" s="22" t="s">
        <v>1312</v>
      </c>
      <c r="H68" s="22" t="s">
        <v>1267</v>
      </c>
      <c r="I68" s="22" t="s">
        <v>1258</v>
      </c>
      <c r="J68" s="24">
        <v>1.3217558110399901</v>
      </c>
      <c r="K68" s="24">
        <v>103.857733816796</v>
      </c>
    </row>
    <row r="69" spans="2:11">
      <c r="B69" s="22" t="s">
        <v>1523</v>
      </c>
      <c r="C69" s="22" t="s">
        <v>1524</v>
      </c>
      <c r="D69" s="22">
        <v>828819</v>
      </c>
      <c r="E69" s="22" t="s">
        <v>1525</v>
      </c>
      <c r="F69" s="22" t="s">
        <v>1526</v>
      </c>
      <c r="G69" s="22" t="s">
        <v>630</v>
      </c>
      <c r="H69" s="22" t="s">
        <v>1257</v>
      </c>
      <c r="I69" s="22" t="s">
        <v>1258</v>
      </c>
      <c r="J69" s="24">
        <v>1.3996300511023401</v>
      </c>
      <c r="K69" s="24">
        <v>103.913254844387</v>
      </c>
    </row>
    <row r="70" spans="2:11">
      <c r="B70" s="22" t="s">
        <v>1527</v>
      </c>
      <c r="C70" s="22" t="s">
        <v>1528</v>
      </c>
      <c r="D70" s="22">
        <v>534238</v>
      </c>
      <c r="E70" s="22" t="s">
        <v>1529</v>
      </c>
      <c r="F70" s="22" t="s">
        <v>1530</v>
      </c>
      <c r="G70" s="22" t="s">
        <v>531</v>
      </c>
      <c r="H70" s="22" t="s">
        <v>1257</v>
      </c>
      <c r="I70" s="22" t="s">
        <v>1258</v>
      </c>
      <c r="J70" s="24">
        <v>1.3773753095480601</v>
      </c>
      <c r="K70" s="24">
        <v>103.880900019698</v>
      </c>
    </row>
    <row r="71" spans="2:11">
      <c r="B71" s="22" t="s">
        <v>1531</v>
      </c>
      <c r="C71" s="22" t="s">
        <v>1532</v>
      </c>
      <c r="D71" s="22">
        <v>768857</v>
      </c>
      <c r="E71" s="22" t="s">
        <v>1533</v>
      </c>
      <c r="F71" s="22" t="s">
        <v>1534</v>
      </c>
      <c r="G71" s="22" t="s">
        <v>848</v>
      </c>
      <c r="H71" s="22" t="s">
        <v>1257</v>
      </c>
      <c r="I71" s="22" t="s">
        <v>1258</v>
      </c>
      <c r="J71" s="24">
        <v>1.42697284512936</v>
      </c>
      <c r="K71" s="24">
        <v>103.844240226564</v>
      </c>
    </row>
    <row r="72" spans="2:11">
      <c r="B72" s="22" t="s">
        <v>1535</v>
      </c>
      <c r="C72" s="22" t="s">
        <v>1536</v>
      </c>
      <c r="D72" s="22">
        <v>737888</v>
      </c>
      <c r="E72" s="22" t="s">
        <v>1537</v>
      </c>
      <c r="F72" s="22" t="s">
        <v>1538</v>
      </c>
      <c r="G72" s="22" t="s">
        <v>805</v>
      </c>
      <c r="H72" s="22" t="s">
        <v>1257</v>
      </c>
      <c r="I72" s="22" t="s">
        <v>1258</v>
      </c>
      <c r="J72" s="24">
        <v>1.4289670068485201</v>
      </c>
      <c r="K72" s="24">
        <v>103.790607539185</v>
      </c>
    </row>
    <row r="73" spans="2:11">
      <c r="B73" s="22" t="s">
        <v>1539</v>
      </c>
      <c r="C73" s="22" t="s">
        <v>1540</v>
      </c>
      <c r="D73" s="22">
        <v>768515</v>
      </c>
      <c r="E73" s="22" t="s">
        <v>1533</v>
      </c>
      <c r="F73" s="22" t="s">
        <v>1541</v>
      </c>
      <c r="G73" s="22" t="s">
        <v>848</v>
      </c>
      <c r="H73" s="22" t="s">
        <v>1257</v>
      </c>
      <c r="I73" s="22" t="s">
        <v>1258</v>
      </c>
      <c r="J73" s="24">
        <v>1.4276884766522699</v>
      </c>
      <c r="K73" s="24">
        <v>103.83042549009301</v>
      </c>
    </row>
    <row r="74" spans="2:11">
      <c r="B74" s="22" t="s">
        <v>1542</v>
      </c>
      <c r="C74" s="22" t="s">
        <v>1543</v>
      </c>
      <c r="D74" s="22">
        <v>569228</v>
      </c>
      <c r="E74" s="22" t="s">
        <v>1544</v>
      </c>
      <c r="F74" s="22" t="s">
        <v>1545</v>
      </c>
      <c r="G74" s="22" t="s">
        <v>18</v>
      </c>
      <c r="H74" s="22" t="s">
        <v>1267</v>
      </c>
      <c r="I74" s="22" t="s">
        <v>1258</v>
      </c>
      <c r="J74" s="24">
        <v>1.3722329098349799</v>
      </c>
      <c r="K74" s="24">
        <v>103.852132214306</v>
      </c>
    </row>
    <row r="75" spans="2:11">
      <c r="B75" s="22" t="s">
        <v>1546</v>
      </c>
      <c r="C75" s="22" t="s">
        <v>1547</v>
      </c>
      <c r="D75" s="22">
        <v>528906</v>
      </c>
      <c r="E75" s="22" t="s">
        <v>1548</v>
      </c>
      <c r="F75" s="22" t="s">
        <v>1549</v>
      </c>
      <c r="G75" s="22" t="s">
        <v>751</v>
      </c>
      <c r="H75" s="22" t="s">
        <v>1298</v>
      </c>
      <c r="I75" s="22" t="s">
        <v>1258</v>
      </c>
      <c r="J75" s="24">
        <v>1.3480528388845801</v>
      </c>
      <c r="K75" s="24">
        <v>103.93902680898201</v>
      </c>
    </row>
    <row r="76" spans="2:11">
      <c r="B76" s="22" t="s">
        <v>1550</v>
      </c>
      <c r="C76" s="22" t="s">
        <v>1551</v>
      </c>
      <c r="D76" s="22">
        <v>609476</v>
      </c>
      <c r="E76" s="22" t="s">
        <v>1552</v>
      </c>
      <c r="F76" s="22" t="s">
        <v>1553</v>
      </c>
      <c r="G76" s="22" t="s">
        <v>557</v>
      </c>
      <c r="H76" s="22" t="s">
        <v>1303</v>
      </c>
      <c r="I76" s="22" t="s">
        <v>1258</v>
      </c>
      <c r="J76" s="24">
        <v>1.3486127256625999</v>
      </c>
      <c r="K76" s="24">
        <v>103.732953394774</v>
      </c>
    </row>
    <row r="77" spans="2:11">
      <c r="B77" s="22" t="s">
        <v>1554</v>
      </c>
      <c r="C77" s="22" t="s">
        <v>1555</v>
      </c>
      <c r="D77" s="22">
        <v>648368</v>
      </c>
      <c r="E77" s="22" t="s">
        <v>1556</v>
      </c>
      <c r="F77" s="22" t="s">
        <v>1557</v>
      </c>
      <c r="G77" s="22" t="s">
        <v>566</v>
      </c>
      <c r="H77" s="22" t="s">
        <v>1303</v>
      </c>
      <c r="I77" s="22" t="s">
        <v>1258</v>
      </c>
      <c r="J77" s="24">
        <v>1.33917519796104</v>
      </c>
      <c r="K77" s="24">
        <v>103.698803732244</v>
      </c>
    </row>
    <row r="78" spans="2:11">
      <c r="B78" s="22" t="s">
        <v>1558</v>
      </c>
      <c r="C78" s="22" t="s">
        <v>1559</v>
      </c>
      <c r="D78" s="22">
        <v>649037</v>
      </c>
      <c r="E78" s="22" t="s">
        <v>1560</v>
      </c>
      <c r="F78" s="22" t="s">
        <v>1561</v>
      </c>
      <c r="G78" s="22" t="s">
        <v>566</v>
      </c>
      <c r="H78" s="22" t="s">
        <v>1303</v>
      </c>
      <c r="I78" s="22" t="s">
        <v>1258</v>
      </c>
      <c r="J78" s="24">
        <v>1.3388763709006</v>
      </c>
      <c r="K78" s="24">
        <v>103.687889547387</v>
      </c>
    </row>
    <row r="79" spans="2:11">
      <c r="B79" s="22" t="s">
        <v>1562</v>
      </c>
      <c r="C79" s="22" t="s">
        <v>1563</v>
      </c>
      <c r="D79" s="22">
        <v>659762</v>
      </c>
      <c r="E79" s="22" t="s">
        <v>1564</v>
      </c>
      <c r="F79" s="22" t="s">
        <v>1565</v>
      </c>
      <c r="G79" s="22" t="s">
        <v>394</v>
      </c>
      <c r="H79" s="22" t="s">
        <v>1303</v>
      </c>
      <c r="I79" s="22" t="s">
        <v>1258</v>
      </c>
      <c r="J79" s="24">
        <v>1.34506349843091</v>
      </c>
      <c r="K79" s="24">
        <v>103.75592322797</v>
      </c>
    </row>
    <row r="80" spans="2:11">
      <c r="B80" s="22" t="s">
        <v>1566</v>
      </c>
      <c r="C80" s="22" t="s">
        <v>1567</v>
      </c>
      <c r="D80" s="22">
        <v>319580</v>
      </c>
      <c r="E80" s="22" t="s">
        <v>1568</v>
      </c>
      <c r="F80" s="22" t="s">
        <v>1569</v>
      </c>
      <c r="G80" s="22" t="s">
        <v>787</v>
      </c>
      <c r="H80" s="22" t="s">
        <v>1267</v>
      </c>
      <c r="I80" s="22" t="s">
        <v>1258</v>
      </c>
      <c r="J80" s="24">
        <v>1.3373381935638999</v>
      </c>
      <c r="K80" s="24">
        <v>103.84714850182399</v>
      </c>
    </row>
    <row r="81" spans="2:11">
      <c r="B81" s="22" t="s">
        <v>1570</v>
      </c>
      <c r="C81" s="22" t="s">
        <v>1571</v>
      </c>
      <c r="D81" s="22">
        <v>399772</v>
      </c>
      <c r="E81" s="22" t="s">
        <v>1572</v>
      </c>
      <c r="F81" s="22" t="s">
        <v>1573</v>
      </c>
      <c r="G81" s="22" t="s">
        <v>519</v>
      </c>
      <c r="H81" s="22" t="s">
        <v>1298</v>
      </c>
      <c r="I81" s="22" t="s">
        <v>1258</v>
      </c>
      <c r="J81" s="24">
        <v>1.3109419383613801</v>
      </c>
      <c r="K81" s="24">
        <v>103.888259342632</v>
      </c>
    </row>
    <row r="82" spans="2:11">
      <c r="B82" s="22" t="s">
        <v>1574</v>
      </c>
      <c r="C82" s="22" t="s">
        <v>1575</v>
      </c>
      <c r="D82" s="22">
        <v>689189</v>
      </c>
      <c r="E82" s="22" t="s">
        <v>1576</v>
      </c>
      <c r="F82" s="22" t="s">
        <v>1577</v>
      </c>
      <c r="G82" s="22" t="s">
        <v>482</v>
      </c>
      <c r="H82" s="22" t="s">
        <v>1303</v>
      </c>
      <c r="I82" s="22" t="s">
        <v>1258</v>
      </c>
      <c r="J82" s="24">
        <v>1.39356050497104</v>
      </c>
      <c r="K82" s="24">
        <v>103.74736272093899</v>
      </c>
    </row>
    <row r="83" spans="2:11">
      <c r="B83" s="22" t="s">
        <v>1578</v>
      </c>
      <c r="C83" s="22" t="s">
        <v>1579</v>
      </c>
      <c r="D83" s="22">
        <v>579793</v>
      </c>
      <c r="E83" s="22" t="s">
        <v>1580</v>
      </c>
      <c r="F83" s="22" t="s">
        <v>1581</v>
      </c>
      <c r="G83" s="22" t="s">
        <v>386</v>
      </c>
      <c r="H83" s="22" t="s">
        <v>1267</v>
      </c>
      <c r="I83" s="22" t="s">
        <v>1258</v>
      </c>
      <c r="J83" s="24">
        <v>1.34939813669536</v>
      </c>
      <c r="K83" s="24">
        <v>103.855018233311</v>
      </c>
    </row>
    <row r="84" spans="2:11">
      <c r="B84" s="22" t="s">
        <v>1582</v>
      </c>
      <c r="C84" s="22" t="s">
        <v>1583</v>
      </c>
      <c r="D84" s="22">
        <v>618310</v>
      </c>
      <c r="E84" s="22" t="s">
        <v>1584</v>
      </c>
      <c r="F84" s="22" t="s">
        <v>1585</v>
      </c>
      <c r="G84" s="22" t="s">
        <v>566</v>
      </c>
      <c r="H84" s="22" t="s">
        <v>1303</v>
      </c>
      <c r="I84" s="22" t="s">
        <v>1258</v>
      </c>
      <c r="J84" s="24">
        <v>1.33820397704287</v>
      </c>
      <c r="K84" s="24">
        <v>103.718089546664</v>
      </c>
    </row>
    <row r="85" spans="2:11">
      <c r="B85" s="22" t="s">
        <v>1586</v>
      </c>
      <c r="C85" s="22" t="s">
        <v>1587</v>
      </c>
      <c r="D85" s="22">
        <v>659243</v>
      </c>
      <c r="E85" s="22" t="s">
        <v>1588</v>
      </c>
      <c r="F85" s="22" t="s">
        <v>1589</v>
      </c>
      <c r="G85" s="22" t="s">
        <v>394</v>
      </c>
      <c r="H85" s="22" t="s">
        <v>1303</v>
      </c>
      <c r="I85" s="22" t="s">
        <v>1258</v>
      </c>
      <c r="J85" s="24">
        <v>1.35416294645557</v>
      </c>
      <c r="K85" s="24">
        <v>103.754130177522</v>
      </c>
    </row>
    <row r="86" spans="2:11">
      <c r="B86" s="22" t="s">
        <v>1590</v>
      </c>
      <c r="C86" s="22" t="s">
        <v>1591</v>
      </c>
      <c r="D86" s="22">
        <v>408931</v>
      </c>
      <c r="E86" s="22" t="s">
        <v>1592</v>
      </c>
      <c r="F86" s="22" t="s">
        <v>1593</v>
      </c>
      <c r="G86" s="22" t="s">
        <v>519</v>
      </c>
      <c r="H86" s="22" t="s">
        <v>1298</v>
      </c>
      <c r="I86" s="22" t="s">
        <v>1258</v>
      </c>
      <c r="J86" s="24">
        <v>1.3284708665838401</v>
      </c>
      <c r="K86" s="24">
        <v>103.90129873731399</v>
      </c>
    </row>
    <row r="87" spans="2:11">
      <c r="B87" s="22" t="s">
        <v>1594</v>
      </c>
      <c r="C87" s="22" t="s">
        <v>1595</v>
      </c>
      <c r="D87" s="22">
        <v>368051</v>
      </c>
      <c r="E87" s="22" t="s">
        <v>1596</v>
      </c>
      <c r="F87" s="22" t="s">
        <v>1597</v>
      </c>
      <c r="G87" s="22" t="s">
        <v>787</v>
      </c>
      <c r="H87" s="22" t="s">
        <v>1257</v>
      </c>
      <c r="I87" s="22" t="s">
        <v>1349</v>
      </c>
      <c r="J87" s="24">
        <v>1.34139473351039</v>
      </c>
      <c r="K87" s="24">
        <v>103.877852484979</v>
      </c>
    </row>
    <row r="88" spans="2:11">
      <c r="B88" s="22" t="s">
        <v>1598</v>
      </c>
      <c r="C88" s="22" t="s">
        <v>1599</v>
      </c>
      <c r="D88" s="22">
        <v>738927</v>
      </c>
      <c r="E88" s="22" t="s">
        <v>1600</v>
      </c>
      <c r="F88" s="22" t="s">
        <v>1601</v>
      </c>
      <c r="G88" s="22" t="s">
        <v>805</v>
      </c>
      <c r="H88" s="22" t="s">
        <v>1257</v>
      </c>
      <c r="I88" s="22" t="s">
        <v>1258</v>
      </c>
      <c r="J88" s="24">
        <v>1.4339287601592201</v>
      </c>
      <c r="K88" s="24">
        <v>103.773637073788</v>
      </c>
    </row>
    <row r="89" spans="2:11">
      <c r="B89" s="22" t="s">
        <v>1602</v>
      </c>
      <c r="C89" s="22" t="s">
        <v>1603</v>
      </c>
      <c r="D89" s="22">
        <v>297754</v>
      </c>
      <c r="E89" s="22" t="s">
        <v>1604</v>
      </c>
      <c r="F89" s="22" t="s">
        <v>1605</v>
      </c>
      <c r="G89" s="22" t="s">
        <v>787</v>
      </c>
      <c r="H89" s="22" t="s">
        <v>1267</v>
      </c>
      <c r="I89" s="22" t="s">
        <v>1258</v>
      </c>
      <c r="J89" s="24">
        <v>1.3404384066136801</v>
      </c>
      <c r="K89" s="24">
        <v>103.839811736775</v>
      </c>
    </row>
    <row r="90" spans="2:11">
      <c r="B90" s="22" t="s">
        <v>1606</v>
      </c>
      <c r="C90" s="22" t="s">
        <v>1607</v>
      </c>
      <c r="D90" s="22">
        <v>569948</v>
      </c>
      <c r="E90" s="22" t="s">
        <v>1608</v>
      </c>
      <c r="F90" s="22" t="s">
        <v>1609</v>
      </c>
      <c r="G90" s="22" t="s">
        <v>18</v>
      </c>
      <c r="H90" s="22" t="s">
        <v>1267</v>
      </c>
      <c r="I90" s="22" t="s">
        <v>1258</v>
      </c>
      <c r="J90" s="24">
        <v>1.37614621670476</v>
      </c>
      <c r="K90" s="24">
        <v>103.83580524674301</v>
      </c>
    </row>
    <row r="91" spans="2:11">
      <c r="B91" s="22" t="s">
        <v>1610</v>
      </c>
      <c r="C91" s="22" t="s">
        <v>1611</v>
      </c>
      <c r="D91" s="22">
        <v>828867</v>
      </c>
      <c r="E91" s="22" t="s">
        <v>1612</v>
      </c>
      <c r="F91" s="22" t="s">
        <v>1613</v>
      </c>
      <c r="G91" s="22" t="s">
        <v>630</v>
      </c>
      <c r="H91" s="22" t="s">
        <v>1257</v>
      </c>
      <c r="I91" s="22" t="s">
        <v>1258</v>
      </c>
      <c r="J91" s="24">
        <v>1.3946184538591999</v>
      </c>
      <c r="K91" s="24">
        <v>103.908589494228</v>
      </c>
    </row>
    <row r="92" spans="2:11">
      <c r="B92" s="22" t="s">
        <v>1614</v>
      </c>
      <c r="C92" s="22" t="s">
        <v>1615</v>
      </c>
      <c r="D92" s="22">
        <v>518798</v>
      </c>
      <c r="E92" s="22" t="s">
        <v>1343</v>
      </c>
      <c r="F92" s="22" t="s">
        <v>1616</v>
      </c>
      <c r="G92" s="22" t="s">
        <v>619</v>
      </c>
      <c r="H92" s="22" t="s">
        <v>1298</v>
      </c>
      <c r="I92" s="22" t="s">
        <v>1258</v>
      </c>
      <c r="J92" s="24">
        <v>1.37552831658484</v>
      </c>
      <c r="K92" s="24">
        <v>103.934889078518</v>
      </c>
    </row>
    <row r="93" spans="2:11">
      <c r="B93" s="22" t="s">
        <v>1617</v>
      </c>
      <c r="C93" s="22" t="s">
        <v>1618</v>
      </c>
      <c r="D93" s="22">
        <v>599986</v>
      </c>
      <c r="E93" s="22" t="s">
        <v>1619</v>
      </c>
      <c r="F93" s="22" t="s">
        <v>1620</v>
      </c>
      <c r="G93" s="22" t="s">
        <v>475</v>
      </c>
      <c r="H93" s="22" t="s">
        <v>1303</v>
      </c>
      <c r="I93" s="22" t="s">
        <v>1258</v>
      </c>
      <c r="J93" s="24">
        <v>1.33266213599636</v>
      </c>
      <c r="K93" s="24">
        <v>103.783382114018</v>
      </c>
    </row>
    <row r="94" spans="2:11">
      <c r="B94" s="22" t="s">
        <v>1621</v>
      </c>
      <c r="C94" s="22" t="s">
        <v>1622</v>
      </c>
      <c r="D94" s="22">
        <v>538786</v>
      </c>
      <c r="E94" s="22" t="s">
        <v>1623</v>
      </c>
      <c r="F94" s="22" t="s">
        <v>1624</v>
      </c>
      <c r="G94" s="22" t="s">
        <v>531</v>
      </c>
      <c r="H94" s="22" t="s">
        <v>1257</v>
      </c>
      <c r="I94" s="22" t="s">
        <v>1258</v>
      </c>
      <c r="J94" s="24">
        <v>1.3738244407597899</v>
      </c>
      <c r="K94" s="24">
        <v>103.889307782925</v>
      </c>
    </row>
    <row r="95" spans="2:11">
      <c r="B95" s="22" t="s">
        <v>1625</v>
      </c>
      <c r="C95" s="22" t="s">
        <v>1626</v>
      </c>
      <c r="D95" s="22">
        <v>545080</v>
      </c>
      <c r="E95" s="22" t="s">
        <v>1627</v>
      </c>
      <c r="F95" s="22" t="s">
        <v>1628</v>
      </c>
      <c r="G95" s="22" t="s">
        <v>1276</v>
      </c>
      <c r="H95" s="22" t="s">
        <v>1257</v>
      </c>
      <c r="I95" s="22" t="s">
        <v>1258</v>
      </c>
      <c r="J95" s="24">
        <v>1.39206468147602</v>
      </c>
      <c r="K95" s="24">
        <v>103.890924984558</v>
      </c>
    </row>
    <row r="96" spans="2:11">
      <c r="B96" s="22" t="s">
        <v>1629</v>
      </c>
      <c r="C96" s="22" t="s">
        <v>1630</v>
      </c>
      <c r="D96" s="22">
        <v>128806</v>
      </c>
      <c r="E96" s="22" t="s">
        <v>1396</v>
      </c>
      <c r="F96" s="22" t="s">
        <v>1631</v>
      </c>
      <c r="G96" s="22" t="s">
        <v>512</v>
      </c>
      <c r="H96" s="22" t="s">
        <v>1303</v>
      </c>
      <c r="I96" s="22" t="s">
        <v>1258</v>
      </c>
      <c r="J96" s="24">
        <v>1.31920159956387</v>
      </c>
      <c r="K96" s="24">
        <v>103.761095065761</v>
      </c>
    </row>
    <row r="97" spans="2:11">
      <c r="B97" s="22" t="s">
        <v>1632</v>
      </c>
      <c r="C97" s="22" t="s">
        <v>1633</v>
      </c>
      <c r="D97" s="22">
        <v>268097</v>
      </c>
      <c r="E97" s="22" t="s">
        <v>1634</v>
      </c>
      <c r="F97" s="22" t="s">
        <v>1635</v>
      </c>
      <c r="G97" s="22" t="s">
        <v>475</v>
      </c>
      <c r="H97" s="22" t="s">
        <v>1303</v>
      </c>
      <c r="I97" s="22" t="s">
        <v>1258</v>
      </c>
      <c r="J97" s="24">
        <v>1.3210709424115299</v>
      </c>
      <c r="K97" s="24">
        <v>103.80768185279901</v>
      </c>
    </row>
    <row r="98" spans="2:11">
      <c r="B98" s="22" t="s">
        <v>1636</v>
      </c>
      <c r="C98" s="22" t="s">
        <v>1637</v>
      </c>
      <c r="D98" s="22">
        <v>769028</v>
      </c>
      <c r="E98" s="22" t="s">
        <v>1533</v>
      </c>
      <c r="F98" s="22" t="s">
        <v>1638</v>
      </c>
      <c r="G98" s="22" t="s">
        <v>848</v>
      </c>
      <c r="H98" s="22" t="s">
        <v>1257</v>
      </c>
      <c r="I98" s="22" t="s">
        <v>1258</v>
      </c>
      <c r="J98" s="24">
        <v>1.4159019569764899</v>
      </c>
      <c r="K98" s="24">
        <v>103.839100590207</v>
      </c>
    </row>
    <row r="99" spans="2:11">
      <c r="B99" s="22" t="s">
        <v>1639</v>
      </c>
      <c r="C99" s="22" t="s">
        <v>1640</v>
      </c>
      <c r="D99" s="22">
        <v>148812</v>
      </c>
      <c r="E99" s="22" t="s">
        <v>1641</v>
      </c>
      <c r="F99" s="22" t="s">
        <v>1642</v>
      </c>
      <c r="G99" s="22" t="s">
        <v>664</v>
      </c>
      <c r="H99" s="22" t="s">
        <v>1267</v>
      </c>
      <c r="I99" s="22" t="s">
        <v>1258</v>
      </c>
      <c r="J99" s="24">
        <v>1.29981138884057</v>
      </c>
      <c r="K99" s="24">
        <v>103.799964819895</v>
      </c>
    </row>
    <row r="100" spans="2:11">
      <c r="B100" s="22" t="s">
        <v>1643</v>
      </c>
      <c r="C100" s="22" t="s">
        <v>1644</v>
      </c>
      <c r="D100" s="22">
        <v>449149</v>
      </c>
      <c r="E100" s="22" t="s">
        <v>1645</v>
      </c>
      <c r="F100" s="22" t="s">
        <v>1646</v>
      </c>
      <c r="G100" s="22" t="s">
        <v>616</v>
      </c>
      <c r="H100" s="22" t="s">
        <v>1298</v>
      </c>
      <c r="I100" s="22" t="s">
        <v>1258</v>
      </c>
      <c r="J100" s="24">
        <v>1.30553224180437</v>
      </c>
      <c r="K100" s="24">
        <v>103.917570005713</v>
      </c>
    </row>
    <row r="101" spans="2:11">
      <c r="B101" s="22" t="s">
        <v>1647</v>
      </c>
      <c r="C101" s="22" t="s">
        <v>1648</v>
      </c>
      <c r="D101" s="22">
        <v>545088</v>
      </c>
      <c r="E101" s="22" t="s">
        <v>1649</v>
      </c>
      <c r="F101" s="22" t="s">
        <v>1650</v>
      </c>
      <c r="G101" s="22" t="s">
        <v>1276</v>
      </c>
      <c r="H101" s="22" t="s">
        <v>1257</v>
      </c>
      <c r="I101" s="22" t="s">
        <v>1258</v>
      </c>
      <c r="J101" s="24">
        <v>1.38706146494859</v>
      </c>
      <c r="K101" s="24">
        <v>103.903202683028</v>
      </c>
    </row>
    <row r="102" spans="2:11">
      <c r="B102" s="22" t="s">
        <v>1651</v>
      </c>
      <c r="C102" s="22" t="s">
        <v>1652</v>
      </c>
      <c r="D102" s="22">
        <v>768960</v>
      </c>
      <c r="E102" s="22" t="s">
        <v>1653</v>
      </c>
      <c r="F102" s="22" t="s">
        <v>1654</v>
      </c>
      <c r="G102" s="22" t="s">
        <v>848</v>
      </c>
      <c r="H102" s="22" t="s">
        <v>1257</v>
      </c>
      <c r="I102" s="22" t="s">
        <v>1258</v>
      </c>
      <c r="J102" s="24">
        <v>1.4274515946256601</v>
      </c>
      <c r="K102" s="24">
        <v>103.84837844289299</v>
      </c>
    </row>
    <row r="103" spans="2:11">
      <c r="B103" s="22" t="s">
        <v>1655</v>
      </c>
      <c r="C103" s="22" t="s">
        <v>1656</v>
      </c>
      <c r="D103" s="22">
        <v>544974</v>
      </c>
      <c r="E103" s="22" t="s">
        <v>1657</v>
      </c>
      <c r="F103" s="22" t="s">
        <v>1658</v>
      </c>
      <c r="G103" s="22" t="s">
        <v>1276</v>
      </c>
      <c r="H103" s="22" t="s">
        <v>1257</v>
      </c>
      <c r="I103" s="22" t="s">
        <v>1258</v>
      </c>
      <c r="J103" s="24">
        <v>1.38255066171151</v>
      </c>
      <c r="K103" s="24">
        <v>103.89626457548</v>
      </c>
    </row>
    <row r="104" spans="2:11">
      <c r="B104" s="22" t="s">
        <v>1659</v>
      </c>
      <c r="C104" s="22" t="s">
        <v>1660</v>
      </c>
      <c r="D104" s="22">
        <v>769026</v>
      </c>
      <c r="E104" s="22" t="s">
        <v>1533</v>
      </c>
      <c r="F104" s="22" t="s">
        <v>1661</v>
      </c>
      <c r="G104" s="22" t="s">
        <v>848</v>
      </c>
      <c r="H104" s="22" t="s">
        <v>1257</v>
      </c>
      <c r="I104" s="22" t="s">
        <v>1258</v>
      </c>
      <c r="J104" s="24">
        <v>1.42130404159807</v>
      </c>
      <c r="K104" s="24">
        <v>103.84079292334501</v>
      </c>
    </row>
    <row r="105" spans="2:11">
      <c r="B105" s="22" t="s">
        <v>1662</v>
      </c>
      <c r="C105" s="22" t="s">
        <v>1663</v>
      </c>
      <c r="D105" s="22">
        <v>757622</v>
      </c>
      <c r="E105" s="22" t="s">
        <v>1664</v>
      </c>
      <c r="F105" s="22" t="s">
        <v>1665</v>
      </c>
      <c r="G105" s="22" t="s">
        <v>680</v>
      </c>
      <c r="H105" s="22" t="s">
        <v>1257</v>
      </c>
      <c r="I105" s="22" t="s">
        <v>1258</v>
      </c>
      <c r="J105" s="24">
        <v>1.45673147161879</v>
      </c>
      <c r="K105" s="24">
        <v>103.813659945178</v>
      </c>
    </row>
    <row r="106" spans="2:11">
      <c r="B106" s="22" t="s">
        <v>1666</v>
      </c>
      <c r="C106" s="22" t="s">
        <v>1667</v>
      </c>
      <c r="D106" s="22">
        <v>828671</v>
      </c>
      <c r="E106" s="22" t="s">
        <v>1668</v>
      </c>
      <c r="F106" s="22" t="s">
        <v>1669</v>
      </c>
      <c r="G106" s="22" t="s">
        <v>630</v>
      </c>
      <c r="H106" s="22" t="s">
        <v>1298</v>
      </c>
      <c r="I106" s="22" t="s">
        <v>1258</v>
      </c>
      <c r="J106" s="24">
        <v>1.41813803336667</v>
      </c>
      <c r="K106" s="24">
        <v>103.904416909742</v>
      </c>
    </row>
    <row r="107" spans="2:11">
      <c r="B107" s="22" t="s">
        <v>1670</v>
      </c>
      <c r="C107" s="22" t="s">
        <v>1671</v>
      </c>
      <c r="D107" s="22">
        <v>828716</v>
      </c>
      <c r="E107" s="22" t="s">
        <v>1672</v>
      </c>
      <c r="F107" s="22" t="s">
        <v>1673</v>
      </c>
      <c r="G107" s="22" t="s">
        <v>630</v>
      </c>
      <c r="H107" s="22" t="s">
        <v>1298</v>
      </c>
      <c r="I107" s="22" t="s">
        <v>1258</v>
      </c>
      <c r="J107" s="24">
        <v>1.4050718475858399</v>
      </c>
      <c r="K107" s="24">
        <v>103.911200193835</v>
      </c>
    </row>
    <row r="108" spans="2:11">
      <c r="B108" s="22" t="s">
        <v>1674</v>
      </c>
      <c r="C108" s="22" t="s">
        <v>1675</v>
      </c>
      <c r="D108" s="22">
        <v>458436</v>
      </c>
      <c r="E108" s="22" t="s">
        <v>1676</v>
      </c>
      <c r="F108" s="22" t="s">
        <v>1677</v>
      </c>
      <c r="G108" s="22" t="s">
        <v>351</v>
      </c>
      <c r="H108" s="22" t="s">
        <v>1298</v>
      </c>
      <c r="I108" s="22" t="s">
        <v>1258</v>
      </c>
      <c r="J108" s="24">
        <v>1.31996876377748</v>
      </c>
      <c r="K108" s="24">
        <v>103.92375266863201</v>
      </c>
    </row>
    <row r="109" spans="2:11">
      <c r="B109" s="22" t="s">
        <v>1678</v>
      </c>
      <c r="C109" s="22" t="s">
        <v>1679</v>
      </c>
      <c r="D109" s="22">
        <v>544822</v>
      </c>
      <c r="E109" s="22" t="s">
        <v>1680</v>
      </c>
      <c r="F109" s="22" t="s">
        <v>1681</v>
      </c>
      <c r="G109" s="22" t="s">
        <v>1276</v>
      </c>
      <c r="H109" s="22" t="s">
        <v>1257</v>
      </c>
      <c r="I109" s="22" t="s">
        <v>1258</v>
      </c>
      <c r="J109" s="24">
        <v>1.3837692302212301</v>
      </c>
      <c r="K109" s="24">
        <v>103.891354675017</v>
      </c>
    </row>
    <row r="110" spans="2:11">
      <c r="B110" s="22" t="s">
        <v>1682</v>
      </c>
      <c r="C110" s="22" t="s">
        <v>1683</v>
      </c>
      <c r="D110" s="22">
        <v>519524</v>
      </c>
      <c r="E110" s="22" t="s">
        <v>1343</v>
      </c>
      <c r="F110" s="22" t="s">
        <v>1684</v>
      </c>
      <c r="G110" s="22" t="s">
        <v>619</v>
      </c>
      <c r="H110" s="22" t="s">
        <v>1298</v>
      </c>
      <c r="I110" s="22" t="s">
        <v>1258</v>
      </c>
      <c r="J110" s="24">
        <v>1.3773806985424899</v>
      </c>
      <c r="K110" s="24">
        <v>103.939541695654</v>
      </c>
    </row>
    <row r="111" spans="2:11">
      <c r="B111" s="22" t="s">
        <v>1685</v>
      </c>
      <c r="C111" s="22" t="s">
        <v>1686</v>
      </c>
      <c r="D111" s="22">
        <v>518968</v>
      </c>
      <c r="E111" s="22" t="s">
        <v>1432</v>
      </c>
      <c r="F111" s="22" t="s">
        <v>1687</v>
      </c>
      <c r="G111" s="22" t="s">
        <v>619</v>
      </c>
      <c r="H111" s="22" t="s">
        <v>1298</v>
      </c>
      <c r="I111" s="22" t="s">
        <v>1258</v>
      </c>
      <c r="J111" s="24">
        <v>1.37245132722087</v>
      </c>
      <c r="K111" s="24">
        <v>103.962922699031</v>
      </c>
    </row>
    <row r="112" spans="2:11">
      <c r="B112" s="22" t="s">
        <v>1688</v>
      </c>
      <c r="C112" s="22" t="s">
        <v>1689</v>
      </c>
      <c r="D112" s="22">
        <v>536741</v>
      </c>
      <c r="E112" s="22" t="s">
        <v>1690</v>
      </c>
      <c r="F112" s="22" t="s">
        <v>1691</v>
      </c>
      <c r="G112" s="22" t="s">
        <v>531</v>
      </c>
      <c r="H112" s="22" t="s">
        <v>1298</v>
      </c>
      <c r="I112" s="22" t="s">
        <v>1258</v>
      </c>
      <c r="J112" s="24">
        <v>1.3502545600894</v>
      </c>
      <c r="K112" s="24">
        <v>103.88484687611199</v>
      </c>
    </row>
    <row r="113" spans="2:11">
      <c r="B113" s="22" t="s">
        <v>1692</v>
      </c>
      <c r="C113" s="22" t="s">
        <v>1693</v>
      </c>
      <c r="D113" s="22">
        <v>319320</v>
      </c>
      <c r="E113" s="22" t="s">
        <v>1694</v>
      </c>
      <c r="F113" s="22" t="s">
        <v>1695</v>
      </c>
      <c r="G113" s="22" t="s">
        <v>787</v>
      </c>
      <c r="H113" s="22" t="s">
        <v>1267</v>
      </c>
      <c r="I113" s="22" t="s">
        <v>1258</v>
      </c>
      <c r="J113" s="24">
        <v>1.33677864390672</v>
      </c>
      <c r="K113" s="24">
        <v>103.855341310212</v>
      </c>
    </row>
    <row r="114" spans="2:11">
      <c r="B114" s="22" t="s">
        <v>1696</v>
      </c>
      <c r="C114" s="22" t="s">
        <v>1697</v>
      </c>
      <c r="D114" s="22">
        <v>597610</v>
      </c>
      <c r="E114" s="22" t="s">
        <v>1698</v>
      </c>
      <c r="F114" s="22" t="s">
        <v>1699</v>
      </c>
      <c r="G114" s="22" t="s">
        <v>475</v>
      </c>
      <c r="H114" s="22" t="s">
        <v>1303</v>
      </c>
      <c r="I114" s="22" t="s">
        <v>1258</v>
      </c>
      <c r="J114" s="24">
        <v>1.3380730212115099</v>
      </c>
      <c r="K114" s="24">
        <v>103.776250903095</v>
      </c>
    </row>
    <row r="115" spans="2:11">
      <c r="B115" s="22" t="s">
        <v>1700</v>
      </c>
      <c r="C115" s="22" t="s">
        <v>1701</v>
      </c>
      <c r="D115" s="22">
        <v>129857</v>
      </c>
      <c r="E115" s="22" t="s">
        <v>1702</v>
      </c>
      <c r="F115" s="22" t="s">
        <v>1703</v>
      </c>
      <c r="G115" s="22" t="s">
        <v>512</v>
      </c>
      <c r="H115" s="22" t="s">
        <v>1267</v>
      </c>
      <c r="I115" s="22" t="s">
        <v>1258</v>
      </c>
      <c r="J115" s="24">
        <v>1.31652862942944</v>
      </c>
      <c r="K115" s="24">
        <v>103.76768234584701</v>
      </c>
    </row>
    <row r="116" spans="2:11">
      <c r="B116" s="22" t="s">
        <v>1704</v>
      </c>
      <c r="C116" s="22" t="s">
        <v>1705</v>
      </c>
      <c r="D116" s="22">
        <v>768687</v>
      </c>
      <c r="E116" s="22" t="s">
        <v>1706</v>
      </c>
      <c r="F116" s="22" t="s">
        <v>1707</v>
      </c>
      <c r="G116" s="22" t="s">
        <v>848</v>
      </c>
      <c r="H116" s="22" t="s">
        <v>1257</v>
      </c>
      <c r="I116" s="22" t="s">
        <v>1258</v>
      </c>
      <c r="J116" s="24">
        <v>1.4174162755125099</v>
      </c>
      <c r="K116" s="24">
        <v>103.830143209875</v>
      </c>
    </row>
    <row r="117" spans="2:11">
      <c r="B117" s="22" t="s">
        <v>1708</v>
      </c>
      <c r="C117" s="22" t="s">
        <v>1709</v>
      </c>
      <c r="D117" s="22">
        <v>649076</v>
      </c>
      <c r="E117" s="22" t="s">
        <v>1710</v>
      </c>
      <c r="F117" s="22" t="s">
        <v>1711</v>
      </c>
      <c r="G117" s="22" t="s">
        <v>566</v>
      </c>
      <c r="H117" s="22" t="s">
        <v>1303</v>
      </c>
      <c r="I117" s="22" t="s">
        <v>1258</v>
      </c>
      <c r="J117" s="24">
        <v>1.3488361745342701</v>
      </c>
      <c r="K117" s="24">
        <v>103.695003812477</v>
      </c>
    </row>
    <row r="118" spans="2:11">
      <c r="B118" s="22" t="s">
        <v>1712</v>
      </c>
      <c r="C118" s="22" t="s">
        <v>1713</v>
      </c>
      <c r="D118" s="22">
        <v>529067</v>
      </c>
      <c r="E118" s="22" t="s">
        <v>1714</v>
      </c>
      <c r="F118" s="22" t="s">
        <v>1715</v>
      </c>
      <c r="G118" s="22" t="s">
        <v>751</v>
      </c>
      <c r="H118" s="22" t="s">
        <v>1298</v>
      </c>
      <c r="I118" s="22" t="s">
        <v>1258</v>
      </c>
      <c r="J118" s="24">
        <v>1.35765121877679</v>
      </c>
      <c r="K118" s="24">
        <v>103.93524648617399</v>
      </c>
    </row>
    <row r="119" spans="2:11">
      <c r="B119" s="22" t="s">
        <v>1716</v>
      </c>
      <c r="C119" s="22" t="s">
        <v>1717</v>
      </c>
      <c r="D119" s="22">
        <v>659163</v>
      </c>
      <c r="E119" s="22" t="s">
        <v>1331</v>
      </c>
      <c r="F119" s="22" t="s">
        <v>1718</v>
      </c>
      <c r="G119" s="22" t="s">
        <v>394</v>
      </c>
      <c r="H119" s="22" t="s">
        <v>1303</v>
      </c>
      <c r="I119" s="22" t="s">
        <v>1258</v>
      </c>
      <c r="J119" s="24">
        <v>1.349203512653</v>
      </c>
      <c r="K119" s="24">
        <v>103.74101964470999</v>
      </c>
    </row>
    <row r="120" spans="2:11">
      <c r="B120" s="22" t="s">
        <v>1719</v>
      </c>
      <c r="C120" s="22" t="s">
        <v>1720</v>
      </c>
      <c r="D120" s="22">
        <v>828674</v>
      </c>
      <c r="E120" s="22" t="s">
        <v>1721</v>
      </c>
      <c r="F120" s="22" t="s">
        <v>1722</v>
      </c>
      <c r="G120" s="22" t="s">
        <v>630</v>
      </c>
      <c r="H120" s="22" t="s">
        <v>1298</v>
      </c>
      <c r="I120" s="22" t="s">
        <v>1258</v>
      </c>
      <c r="J120" s="24">
        <v>1.4115845556245401</v>
      </c>
      <c r="K120" s="24">
        <v>103.89890448429</v>
      </c>
    </row>
    <row r="121" spans="2:11">
      <c r="B121" s="22" t="s">
        <v>1723</v>
      </c>
      <c r="C121" s="22" t="s">
        <v>1724</v>
      </c>
      <c r="D121" s="22">
        <v>828772</v>
      </c>
      <c r="E121" s="22" t="s">
        <v>1725</v>
      </c>
      <c r="F121" s="22" t="s">
        <v>1658</v>
      </c>
      <c r="G121" s="22" t="s">
        <v>630</v>
      </c>
      <c r="H121" s="22" t="s">
        <v>1298</v>
      </c>
      <c r="I121" s="22" t="s">
        <v>1258</v>
      </c>
      <c r="J121" s="24">
        <v>1.4017402630364499</v>
      </c>
      <c r="K121" s="24">
        <v>103.89873007019</v>
      </c>
    </row>
    <row r="122" spans="2:11">
      <c r="B122" s="22" t="s">
        <v>1726</v>
      </c>
      <c r="C122" s="22" t="s">
        <v>1727</v>
      </c>
      <c r="D122" s="22">
        <v>538787</v>
      </c>
      <c r="E122" s="22" t="s">
        <v>1728</v>
      </c>
      <c r="F122" s="22" t="s">
        <v>1729</v>
      </c>
      <c r="G122" s="22" t="s">
        <v>531</v>
      </c>
      <c r="H122" s="22" t="s">
        <v>1267</v>
      </c>
      <c r="I122" s="22" t="s">
        <v>1258</v>
      </c>
      <c r="J122" s="24">
        <v>1.3782006254764101</v>
      </c>
      <c r="K122" s="24">
        <v>103.894667159512</v>
      </c>
    </row>
    <row r="123" spans="2:11">
      <c r="B123" s="22" t="s">
        <v>1730</v>
      </c>
      <c r="C123" s="22" t="s">
        <v>1731</v>
      </c>
      <c r="D123" s="22">
        <v>828845</v>
      </c>
      <c r="E123" s="22" t="s">
        <v>1725</v>
      </c>
      <c r="F123" s="22" t="s">
        <v>1732</v>
      </c>
      <c r="G123" s="22" t="s">
        <v>630</v>
      </c>
      <c r="H123" s="22" t="s">
        <v>1298</v>
      </c>
      <c r="I123" s="22" t="s">
        <v>1258</v>
      </c>
      <c r="J123" s="24">
        <v>1.4057889942173001</v>
      </c>
      <c r="K123" s="24">
        <v>103.905191018271</v>
      </c>
    </row>
    <row r="124" spans="2:11">
      <c r="B124" s="22" t="s">
        <v>1733</v>
      </c>
      <c r="C124" s="22" t="s">
        <v>1734</v>
      </c>
      <c r="D124" s="22">
        <v>128104</v>
      </c>
      <c r="E124" s="22" t="s">
        <v>1396</v>
      </c>
      <c r="F124" s="22" t="s">
        <v>1735</v>
      </c>
      <c r="G124" s="22" t="s">
        <v>512</v>
      </c>
      <c r="H124" s="22" t="s">
        <v>1303</v>
      </c>
      <c r="I124" s="22" t="s">
        <v>1258</v>
      </c>
      <c r="J124" s="24">
        <v>1.3132658326807001</v>
      </c>
      <c r="K124" s="24">
        <v>103.756629101811</v>
      </c>
    </row>
    <row r="125" spans="2:11">
      <c r="B125" s="22" t="s">
        <v>1736</v>
      </c>
      <c r="C125" s="22" t="s">
        <v>1737</v>
      </c>
      <c r="D125" s="22">
        <v>738525</v>
      </c>
      <c r="E125" s="22" t="s">
        <v>1738</v>
      </c>
      <c r="F125" s="22" t="s">
        <v>1739</v>
      </c>
      <c r="G125" s="22" t="s">
        <v>805</v>
      </c>
      <c r="H125" s="22" t="s">
        <v>1257</v>
      </c>
      <c r="I125" s="22" t="s">
        <v>1258</v>
      </c>
      <c r="J125" s="24">
        <v>1.4420359655759201</v>
      </c>
      <c r="K125" s="24">
        <v>103.788339762066</v>
      </c>
    </row>
    <row r="126" spans="2:11">
      <c r="B126" s="22" t="s">
        <v>1740</v>
      </c>
      <c r="C126" s="22" t="s">
        <v>1741</v>
      </c>
      <c r="D126" s="22">
        <v>149303</v>
      </c>
      <c r="E126" s="22" t="s">
        <v>1742</v>
      </c>
      <c r="F126" s="22" t="s">
        <v>1743</v>
      </c>
      <c r="G126" s="22" t="s">
        <v>664</v>
      </c>
      <c r="H126" s="22" t="s">
        <v>1267</v>
      </c>
      <c r="I126" s="22" t="s">
        <v>1258</v>
      </c>
      <c r="J126" s="24">
        <v>1.2955290558775201</v>
      </c>
      <c r="K126" s="24">
        <v>103.80764847565599</v>
      </c>
    </row>
    <row r="127" spans="2:11">
      <c r="B127" s="22" t="s">
        <v>1744</v>
      </c>
      <c r="C127" s="22" t="s">
        <v>1745</v>
      </c>
      <c r="D127" s="22">
        <v>289072</v>
      </c>
      <c r="E127" s="22" t="s">
        <v>1111</v>
      </c>
      <c r="F127" s="22" t="s">
        <v>1746</v>
      </c>
      <c r="G127" s="22" t="s">
        <v>475</v>
      </c>
      <c r="H127" s="22" t="s">
        <v>1267</v>
      </c>
      <c r="I127" s="22" t="s">
        <v>1258</v>
      </c>
      <c r="J127" s="24">
        <v>1.3294042600011999</v>
      </c>
      <c r="K127" s="24">
        <v>103.806442915912</v>
      </c>
    </row>
    <row r="128" spans="2:11">
      <c r="B128" s="22" t="s">
        <v>1747</v>
      </c>
      <c r="C128" s="22" t="s">
        <v>1748</v>
      </c>
      <c r="D128" s="22">
        <v>469719</v>
      </c>
      <c r="E128" s="22" t="s">
        <v>1749</v>
      </c>
      <c r="F128" s="22" t="s">
        <v>1750</v>
      </c>
      <c r="G128" s="22" t="s">
        <v>351</v>
      </c>
      <c r="H128" s="22" t="s">
        <v>1298</v>
      </c>
      <c r="I128" s="22" t="s">
        <v>1258</v>
      </c>
      <c r="J128" s="24">
        <v>1.3340565958085899</v>
      </c>
      <c r="K128" s="24">
        <v>103.934317528484</v>
      </c>
    </row>
    <row r="129" spans="2:11">
      <c r="B129" s="22" t="s">
        <v>1751</v>
      </c>
      <c r="C129" s="22" t="s">
        <v>1752</v>
      </c>
      <c r="D129" s="22">
        <v>649961</v>
      </c>
      <c r="E129" s="22" t="s">
        <v>1753</v>
      </c>
      <c r="F129" s="22" t="s">
        <v>1754</v>
      </c>
      <c r="G129" s="22" t="s">
        <v>566</v>
      </c>
      <c r="H129" s="22" t="s">
        <v>1303</v>
      </c>
      <c r="I129" s="22" t="s">
        <v>1349</v>
      </c>
      <c r="J129" s="24">
        <v>1.34459584223718</v>
      </c>
      <c r="K129" s="24">
        <v>103.708190688947</v>
      </c>
    </row>
    <row r="130" spans="2:11">
      <c r="B130" s="22" t="s">
        <v>1755</v>
      </c>
      <c r="C130" s="22" t="s">
        <v>1756</v>
      </c>
      <c r="D130" s="22">
        <v>237993</v>
      </c>
      <c r="E130" s="22" t="s">
        <v>1757</v>
      </c>
      <c r="F130" s="22" t="s">
        <v>1758</v>
      </c>
      <c r="G130" s="22" t="s">
        <v>1289</v>
      </c>
      <c r="H130" s="22" t="s">
        <v>1267</v>
      </c>
      <c r="I130" s="22" t="s">
        <v>1258</v>
      </c>
      <c r="J130" s="24">
        <v>1.2941834784283699</v>
      </c>
      <c r="K130" s="24">
        <v>103.836018941571</v>
      </c>
    </row>
    <row r="131" spans="2:11">
      <c r="B131" s="22" t="s">
        <v>1759</v>
      </c>
      <c r="C131" s="22" t="s">
        <v>1760</v>
      </c>
      <c r="D131" s="22">
        <v>737803</v>
      </c>
      <c r="E131" s="22" t="s">
        <v>1502</v>
      </c>
      <c r="F131" s="22" t="s">
        <v>1761</v>
      </c>
      <c r="G131" s="22" t="s">
        <v>805</v>
      </c>
      <c r="H131" s="22" t="s">
        <v>1257</v>
      </c>
      <c r="I131" s="22" t="s">
        <v>1258</v>
      </c>
      <c r="J131" s="24">
        <v>1.4478336989568401</v>
      </c>
      <c r="K131" s="24">
        <v>103.80197619401</v>
      </c>
    </row>
    <row r="132" spans="2:11">
      <c r="B132" s="22" t="s">
        <v>1762</v>
      </c>
      <c r="C132" s="22" t="s">
        <v>1763</v>
      </c>
      <c r="D132" s="22">
        <v>545092</v>
      </c>
      <c r="E132" s="22" t="s">
        <v>1764</v>
      </c>
      <c r="F132" s="22" t="s">
        <v>1765</v>
      </c>
      <c r="G132" s="22" t="s">
        <v>1276</v>
      </c>
      <c r="H132" s="22" t="s">
        <v>1257</v>
      </c>
      <c r="I132" s="22" t="s">
        <v>1258</v>
      </c>
      <c r="J132" s="24">
        <v>1.3934099776776201</v>
      </c>
      <c r="K132" s="24">
        <v>103.90455951199699</v>
      </c>
    </row>
    <row r="133" spans="2:11">
      <c r="B133" s="22" t="s">
        <v>1766</v>
      </c>
      <c r="C133" s="22" t="s">
        <v>1767</v>
      </c>
      <c r="D133" s="22">
        <v>555855</v>
      </c>
      <c r="E133" s="22" t="s">
        <v>1768</v>
      </c>
      <c r="F133" s="22" t="s">
        <v>1769</v>
      </c>
      <c r="G133" s="22" t="s">
        <v>745</v>
      </c>
      <c r="H133" s="22" t="s">
        <v>1257</v>
      </c>
      <c r="I133" s="22" t="s">
        <v>1258</v>
      </c>
      <c r="J133" s="24">
        <v>1.3728583654058</v>
      </c>
      <c r="K133" s="24">
        <v>103.87477170399001</v>
      </c>
    </row>
    <row r="134" spans="2:11">
      <c r="B134" s="22" t="s">
        <v>1770</v>
      </c>
      <c r="C134" s="22" t="s">
        <v>1771</v>
      </c>
      <c r="D134" s="22">
        <v>649295</v>
      </c>
      <c r="E134" s="22" t="s">
        <v>1772</v>
      </c>
      <c r="F134" s="22" t="s">
        <v>1773</v>
      </c>
      <c r="G134" s="22" t="s">
        <v>566</v>
      </c>
      <c r="H134" s="22" t="s">
        <v>1303</v>
      </c>
      <c r="I134" s="22" t="s">
        <v>1258</v>
      </c>
      <c r="J134" s="24">
        <v>1.3471895320121301</v>
      </c>
      <c r="K134" s="24">
        <v>103.71878614501099</v>
      </c>
    </row>
    <row r="135" spans="2:11">
      <c r="B135" s="22" t="s">
        <v>1774</v>
      </c>
      <c r="C135" s="22" t="s">
        <v>1775</v>
      </c>
      <c r="D135" s="22">
        <v>757715</v>
      </c>
      <c r="E135" s="22" t="s">
        <v>1776</v>
      </c>
      <c r="F135" s="22" t="s">
        <v>1777</v>
      </c>
      <c r="G135" s="22" t="s">
        <v>680</v>
      </c>
      <c r="H135" s="22" t="s">
        <v>1257</v>
      </c>
      <c r="I135" s="22" t="s">
        <v>1258</v>
      </c>
      <c r="J135" s="24">
        <v>1.4450436428697</v>
      </c>
      <c r="K135" s="24">
        <v>103.82102151409001</v>
      </c>
    </row>
    <row r="136" spans="2:11">
      <c r="B136" s="22" t="s">
        <v>1778</v>
      </c>
      <c r="C136" s="22" t="s">
        <v>1779</v>
      </c>
      <c r="D136" s="22">
        <v>545166</v>
      </c>
      <c r="E136" s="22" t="s">
        <v>1780</v>
      </c>
      <c r="F136" s="22" t="s">
        <v>1781</v>
      </c>
      <c r="G136" s="22" t="s">
        <v>1276</v>
      </c>
      <c r="H136" s="22" t="s">
        <v>1257</v>
      </c>
      <c r="I136" s="22" t="s">
        <v>1258</v>
      </c>
      <c r="J136" s="24">
        <v>1.38925044778224</v>
      </c>
      <c r="K136" s="24">
        <v>103.899527879229</v>
      </c>
    </row>
    <row r="137" spans="2:11">
      <c r="B137" s="22" t="s">
        <v>1782</v>
      </c>
      <c r="C137" s="22" t="s">
        <v>1783</v>
      </c>
      <c r="D137" s="22">
        <v>797636</v>
      </c>
      <c r="E137" s="22" t="s">
        <v>1784</v>
      </c>
      <c r="F137" s="22" t="s">
        <v>1785</v>
      </c>
      <c r="G137" s="22" t="s">
        <v>1276</v>
      </c>
      <c r="H137" s="22" t="s">
        <v>1298</v>
      </c>
      <c r="I137" s="22" t="s">
        <v>1258</v>
      </c>
      <c r="J137" s="24">
        <v>1.3925400930811</v>
      </c>
      <c r="K137" s="24">
        <v>103.874984869551</v>
      </c>
    </row>
    <row r="138" spans="2:11">
      <c r="B138" s="22" t="s">
        <v>1786</v>
      </c>
      <c r="C138" s="22" t="s">
        <v>1787</v>
      </c>
      <c r="D138" s="22">
        <v>649332</v>
      </c>
      <c r="E138" s="22" t="s">
        <v>1788</v>
      </c>
      <c r="F138" s="22" t="s">
        <v>1789</v>
      </c>
      <c r="G138" s="22" t="s">
        <v>566</v>
      </c>
      <c r="H138" s="22" t="s">
        <v>1303</v>
      </c>
      <c r="I138" s="22" t="s">
        <v>1258</v>
      </c>
      <c r="J138" s="24">
        <v>1.3476028524467301</v>
      </c>
      <c r="K138" s="24">
        <v>103.721459527674</v>
      </c>
    </row>
    <row r="139" spans="2:11">
      <c r="B139" s="22" t="s">
        <v>1790</v>
      </c>
      <c r="C139" s="22" t="s">
        <v>1791</v>
      </c>
      <c r="D139" s="22">
        <v>739067</v>
      </c>
      <c r="E139" s="22" t="s">
        <v>1537</v>
      </c>
      <c r="F139" s="22" t="s">
        <v>1792</v>
      </c>
      <c r="G139" s="22" t="s">
        <v>805</v>
      </c>
      <c r="H139" s="22" t="s">
        <v>1257</v>
      </c>
      <c r="I139" s="22" t="s">
        <v>1258</v>
      </c>
      <c r="J139" s="24">
        <v>1.4324093573252501</v>
      </c>
      <c r="K139" s="24">
        <v>103.786035065192</v>
      </c>
    </row>
    <row r="140" spans="2:11">
      <c r="B140" s="22" t="s">
        <v>1793</v>
      </c>
      <c r="C140" s="22" t="s">
        <v>1794</v>
      </c>
      <c r="D140" s="22">
        <v>309437</v>
      </c>
      <c r="E140" s="22" t="s">
        <v>1795</v>
      </c>
      <c r="F140" s="22" t="s">
        <v>1796</v>
      </c>
      <c r="G140" s="22" t="s">
        <v>1293</v>
      </c>
      <c r="H140" s="22" t="s">
        <v>1257</v>
      </c>
      <c r="I140" s="22" t="s">
        <v>1258</v>
      </c>
      <c r="J140" s="24">
        <v>1.3206340835184001</v>
      </c>
      <c r="K140" s="24">
        <v>103.828164966953</v>
      </c>
    </row>
    <row r="141" spans="2:11">
      <c r="B141" s="22" t="s">
        <v>1797</v>
      </c>
      <c r="C141" s="22" t="s">
        <v>1798</v>
      </c>
      <c r="D141" s="22">
        <v>689762</v>
      </c>
      <c r="E141" s="22" t="s">
        <v>1404</v>
      </c>
      <c r="F141" s="22" t="s">
        <v>1799</v>
      </c>
      <c r="G141" s="22" t="s">
        <v>482</v>
      </c>
      <c r="H141" s="22" t="s">
        <v>1303</v>
      </c>
      <c r="I141" s="22" t="s">
        <v>1258</v>
      </c>
      <c r="J141" s="24">
        <v>1.3814312398769799</v>
      </c>
      <c r="K141" s="24">
        <v>103.74715367100001</v>
      </c>
    </row>
    <row r="142" spans="2:11">
      <c r="B142" s="22" t="s">
        <v>1800</v>
      </c>
      <c r="C142" s="22" t="s">
        <v>1801</v>
      </c>
      <c r="D142" s="22">
        <v>544799</v>
      </c>
      <c r="E142" s="22" t="s">
        <v>1802</v>
      </c>
      <c r="F142" s="22" t="s">
        <v>1803</v>
      </c>
      <c r="G142" s="22" t="s">
        <v>1276</v>
      </c>
      <c r="H142" s="22" t="s">
        <v>1298</v>
      </c>
      <c r="I142" s="22" t="s">
        <v>1258</v>
      </c>
      <c r="J142" s="24">
        <v>1.3952854446337699</v>
      </c>
      <c r="K142" s="24">
        <v>103.889416413501</v>
      </c>
    </row>
    <row r="143" spans="2:11">
      <c r="B143" s="22" t="s">
        <v>1804</v>
      </c>
      <c r="C143" s="22" t="s">
        <v>1805</v>
      </c>
      <c r="D143" s="22">
        <v>359337</v>
      </c>
      <c r="E143" s="22" t="s">
        <v>1806</v>
      </c>
      <c r="F143" s="22" t="s">
        <v>1807</v>
      </c>
      <c r="G143" s="22" t="s">
        <v>787</v>
      </c>
      <c r="H143" s="22" t="s">
        <v>1267</v>
      </c>
      <c r="I143" s="22" t="s">
        <v>1258</v>
      </c>
      <c r="J143" s="24">
        <v>1.3314025530886799</v>
      </c>
      <c r="K143" s="24">
        <v>103.865117134385</v>
      </c>
    </row>
    <row r="144" spans="2:11">
      <c r="B144" s="22" t="s">
        <v>1808</v>
      </c>
      <c r="C144" s="22" t="s">
        <v>1809</v>
      </c>
      <c r="D144" s="22">
        <v>469701</v>
      </c>
      <c r="E144" s="22" t="s">
        <v>1455</v>
      </c>
      <c r="F144" s="22" t="s">
        <v>1810</v>
      </c>
      <c r="G144" s="22" t="s">
        <v>351</v>
      </c>
      <c r="H144" s="22" t="s">
        <v>1298</v>
      </c>
      <c r="I144" s="22" t="s">
        <v>1258</v>
      </c>
      <c r="J144" s="24">
        <v>1.3351714044028</v>
      </c>
      <c r="K144" s="24">
        <v>103.940544723873</v>
      </c>
    </row>
    <row r="145" spans="2:11">
      <c r="B145" s="22" t="s">
        <v>1811</v>
      </c>
      <c r="C145" s="22" t="s">
        <v>1812</v>
      </c>
      <c r="D145" s="22">
        <v>659401</v>
      </c>
      <c r="E145" s="22" t="s">
        <v>1813</v>
      </c>
      <c r="F145" s="22" t="s">
        <v>1589</v>
      </c>
      <c r="G145" s="22" t="s">
        <v>394</v>
      </c>
      <c r="H145" s="22" t="s">
        <v>1303</v>
      </c>
      <c r="I145" s="22" t="s">
        <v>1258</v>
      </c>
      <c r="J145" s="24">
        <v>1.3641612648316801</v>
      </c>
      <c r="K145" s="24">
        <v>103.749251925758</v>
      </c>
    </row>
    <row r="146" spans="2:11">
      <c r="B146" s="22" t="s">
        <v>1814</v>
      </c>
      <c r="C146" s="22" t="s">
        <v>1815</v>
      </c>
      <c r="D146" s="22">
        <v>556742</v>
      </c>
      <c r="E146" s="22" t="s">
        <v>1816</v>
      </c>
      <c r="F146" s="22" t="s">
        <v>1817</v>
      </c>
      <c r="G146" s="22" t="s">
        <v>745</v>
      </c>
      <c r="H146" s="22" t="s">
        <v>1267</v>
      </c>
      <c r="I146" s="22" t="s">
        <v>1258</v>
      </c>
      <c r="J146" s="24">
        <v>1.34930766795555</v>
      </c>
      <c r="K146" s="24">
        <v>103.862309899986</v>
      </c>
    </row>
    <row r="147" spans="2:11">
      <c r="B147" s="22" t="s">
        <v>1818</v>
      </c>
      <c r="C147" s="22" t="s">
        <v>1819</v>
      </c>
      <c r="D147" s="22">
        <v>529706</v>
      </c>
      <c r="E147" s="22" t="s">
        <v>1820</v>
      </c>
      <c r="F147" s="22" t="s">
        <v>1821</v>
      </c>
      <c r="G147" s="22" t="s">
        <v>751</v>
      </c>
      <c r="H147" s="22" t="s">
        <v>1298</v>
      </c>
      <c r="I147" s="22" t="s">
        <v>1258</v>
      </c>
      <c r="J147" s="24">
        <v>1.3493499436849601</v>
      </c>
      <c r="K147" s="24">
        <v>103.937920511812</v>
      </c>
    </row>
    <row r="148" spans="2:11">
      <c r="B148" s="22" t="s">
        <v>1822</v>
      </c>
      <c r="C148" s="22" t="s">
        <v>1823</v>
      </c>
      <c r="D148" s="22">
        <v>308274</v>
      </c>
      <c r="E148" s="22" t="s">
        <v>1824</v>
      </c>
      <c r="F148" s="22" t="s">
        <v>1825</v>
      </c>
      <c r="G148" s="22" t="s">
        <v>1293</v>
      </c>
      <c r="H148" s="22" t="s">
        <v>1267</v>
      </c>
      <c r="I148" s="22" t="s">
        <v>1349</v>
      </c>
      <c r="J148" s="24">
        <v>1.3236531349015199</v>
      </c>
      <c r="K148" s="24">
        <v>103.828498974985</v>
      </c>
    </row>
    <row r="149" spans="2:11">
      <c r="B149" s="22" t="s">
        <v>1826</v>
      </c>
      <c r="C149" s="22" t="s">
        <v>1827</v>
      </c>
      <c r="D149" s="22">
        <v>309331</v>
      </c>
      <c r="E149" s="22" t="s">
        <v>1828</v>
      </c>
      <c r="F149" s="22" t="s">
        <v>1829</v>
      </c>
      <c r="G149" s="22" t="s">
        <v>1293</v>
      </c>
      <c r="H149" s="22" t="s">
        <v>1267</v>
      </c>
      <c r="I149" s="22" t="s">
        <v>1258</v>
      </c>
      <c r="J149" s="24">
        <v>1.31781476118551</v>
      </c>
      <c r="K149" s="24">
        <v>103.84563333452201</v>
      </c>
    </row>
    <row r="150" spans="2:11">
      <c r="B150" s="22" t="s">
        <v>1830</v>
      </c>
      <c r="C150" s="22" t="s">
        <v>1831</v>
      </c>
      <c r="D150" s="22">
        <v>387724</v>
      </c>
      <c r="E150" s="22" t="s">
        <v>1832</v>
      </c>
      <c r="F150" s="22" t="s">
        <v>1833</v>
      </c>
      <c r="G150" s="22" t="s">
        <v>1289</v>
      </c>
      <c r="H150" s="22" t="s">
        <v>1267</v>
      </c>
      <c r="I150" s="22" t="s">
        <v>1258</v>
      </c>
      <c r="J150" s="24">
        <v>1.3243609624169099</v>
      </c>
      <c r="K150" s="24">
        <v>103.881658715222</v>
      </c>
    </row>
    <row r="151" spans="2:11">
      <c r="B151" s="22" t="s">
        <v>1834</v>
      </c>
      <c r="C151" s="22" t="s">
        <v>1835</v>
      </c>
      <c r="D151" s="22">
        <v>455789</v>
      </c>
      <c r="E151" s="22" t="s">
        <v>1836</v>
      </c>
      <c r="F151" s="22" t="s">
        <v>1837</v>
      </c>
      <c r="G151" s="22" t="s">
        <v>351</v>
      </c>
      <c r="H151" s="22" t="s">
        <v>1298</v>
      </c>
      <c r="I151" s="22" t="s">
        <v>1258</v>
      </c>
      <c r="J151" s="24">
        <v>1.3187827923537501</v>
      </c>
      <c r="K151" s="24">
        <v>103.917372254203</v>
      </c>
    </row>
    <row r="152" spans="2:11">
      <c r="B152" s="22" t="s">
        <v>1838</v>
      </c>
      <c r="C152" s="22" t="s">
        <v>1839</v>
      </c>
      <c r="D152" s="22">
        <v>198423</v>
      </c>
      <c r="E152" s="22" t="s">
        <v>1840</v>
      </c>
      <c r="F152" s="22" t="s">
        <v>1841</v>
      </c>
      <c r="G152" s="22" t="s">
        <v>1289</v>
      </c>
      <c r="H152" s="22" t="s">
        <v>1267</v>
      </c>
      <c r="I152" s="22" t="s">
        <v>1258</v>
      </c>
      <c r="J152" s="24">
        <v>1.3038595986255901</v>
      </c>
      <c r="K152" s="24">
        <v>103.856955133139</v>
      </c>
    </row>
    <row r="153" spans="2:11">
      <c r="B153" s="22" t="s">
        <v>1842</v>
      </c>
      <c r="C153" s="22" t="s">
        <v>1843</v>
      </c>
      <c r="D153" s="22">
        <v>529565</v>
      </c>
      <c r="E153" s="22" t="s">
        <v>1714</v>
      </c>
      <c r="F153" s="22" t="s">
        <v>1844</v>
      </c>
      <c r="G153" s="22" t="s">
        <v>751</v>
      </c>
      <c r="H153" s="22" t="s">
        <v>1298</v>
      </c>
      <c r="I153" s="22" t="s">
        <v>1258</v>
      </c>
      <c r="J153" s="24">
        <v>1.3604878602560699</v>
      </c>
      <c r="K153" s="24">
        <v>103.948768900518</v>
      </c>
    </row>
    <row r="154" spans="2:11">
      <c r="B154" s="22" t="s">
        <v>1845</v>
      </c>
      <c r="C154" s="22" t="s">
        <v>1846</v>
      </c>
      <c r="D154" s="22">
        <v>529426</v>
      </c>
      <c r="E154" s="22" t="s">
        <v>1714</v>
      </c>
      <c r="F154" s="22" t="s">
        <v>1847</v>
      </c>
      <c r="G154" s="22" t="s">
        <v>751</v>
      </c>
      <c r="H154" s="22" t="s">
        <v>1298</v>
      </c>
      <c r="I154" s="22" t="s">
        <v>1258</v>
      </c>
      <c r="J154" s="24">
        <v>1.34977870805929</v>
      </c>
      <c r="K154" s="24">
        <v>103.944004684986</v>
      </c>
    </row>
    <row r="155" spans="2:11">
      <c r="B155" s="22" t="s">
        <v>1848</v>
      </c>
      <c r="C155" s="22" t="s">
        <v>1849</v>
      </c>
      <c r="D155" s="22">
        <v>437259</v>
      </c>
      <c r="E155" s="22" t="s">
        <v>1658</v>
      </c>
      <c r="F155" s="22" t="s">
        <v>1658</v>
      </c>
      <c r="G155" s="22" t="s">
        <v>616</v>
      </c>
      <c r="H155" s="22" t="s">
        <v>1298</v>
      </c>
      <c r="I155" s="22" t="s">
        <v>1258</v>
      </c>
      <c r="J155" s="24">
        <v>1.3052408426426501</v>
      </c>
      <c r="K155" s="24">
        <v>103.900092702031</v>
      </c>
    </row>
    <row r="156" spans="2:11">
      <c r="B156" s="22" t="s">
        <v>1850</v>
      </c>
      <c r="C156" s="22" t="s">
        <v>1851</v>
      </c>
      <c r="D156" s="22">
        <v>449761</v>
      </c>
      <c r="E156" s="22" t="s">
        <v>1852</v>
      </c>
      <c r="F156" s="22" t="s">
        <v>1853</v>
      </c>
      <c r="G156" s="22" t="s">
        <v>616</v>
      </c>
      <c r="H156" s="22" t="s">
        <v>1298</v>
      </c>
      <c r="I156" s="22" t="s">
        <v>1258</v>
      </c>
      <c r="J156" s="24">
        <v>1.3046089808575101</v>
      </c>
      <c r="K156" s="24">
        <v>103.911502213437</v>
      </c>
    </row>
    <row r="157" spans="2:11">
      <c r="B157" s="22" t="s">
        <v>1854</v>
      </c>
      <c r="C157" s="22" t="s">
        <v>1855</v>
      </c>
      <c r="D157" s="22">
        <v>569299</v>
      </c>
      <c r="E157" s="22" t="s">
        <v>1856</v>
      </c>
      <c r="F157" s="22" t="s">
        <v>1857</v>
      </c>
      <c r="G157" s="22" t="s">
        <v>18</v>
      </c>
      <c r="H157" s="22" t="s">
        <v>1267</v>
      </c>
      <c r="I157" s="22" t="s">
        <v>1258</v>
      </c>
      <c r="J157" s="24">
        <v>1.3656501854690299</v>
      </c>
      <c r="K157" s="24">
        <v>103.851009800453</v>
      </c>
    </row>
    <row r="158" spans="2:11">
      <c r="B158" s="22" t="s">
        <v>1858</v>
      </c>
      <c r="C158" s="22" t="s">
        <v>1859</v>
      </c>
      <c r="D158" s="22">
        <v>688261</v>
      </c>
      <c r="E158" s="22" t="s">
        <v>1860</v>
      </c>
      <c r="F158" s="22" t="s">
        <v>1861</v>
      </c>
      <c r="G158" s="22" t="s">
        <v>482</v>
      </c>
      <c r="H158" s="22" t="s">
        <v>1303</v>
      </c>
      <c r="I158" s="22" t="s">
        <v>1258</v>
      </c>
      <c r="J158" s="24">
        <v>1.38364996834457</v>
      </c>
      <c r="K158" s="24">
        <v>103.75329185701599</v>
      </c>
    </row>
    <row r="159" spans="2:11">
      <c r="B159" s="22" t="s">
        <v>1862</v>
      </c>
      <c r="C159" s="22" t="s">
        <v>1863</v>
      </c>
      <c r="D159" s="22">
        <v>479239</v>
      </c>
      <c r="E159" s="22" t="s">
        <v>1864</v>
      </c>
      <c r="F159" s="22" t="s">
        <v>1865</v>
      </c>
      <c r="G159" s="22" t="s">
        <v>351</v>
      </c>
      <c r="H159" s="22" t="s">
        <v>1298</v>
      </c>
      <c r="I159" s="22" t="s">
        <v>1258</v>
      </c>
      <c r="J159" s="24">
        <v>1.3310961100193099</v>
      </c>
      <c r="K159" s="24">
        <v>103.911005345855</v>
      </c>
    </row>
    <row r="160" spans="2:11">
      <c r="B160" s="22" t="s">
        <v>1866</v>
      </c>
      <c r="C160" s="22" t="s">
        <v>1867</v>
      </c>
      <c r="D160" s="22">
        <v>469300</v>
      </c>
      <c r="E160" s="22" t="s">
        <v>1868</v>
      </c>
      <c r="F160" s="22" t="s">
        <v>1869</v>
      </c>
      <c r="G160" s="22" t="s">
        <v>351</v>
      </c>
      <c r="H160" s="22" t="s">
        <v>1298</v>
      </c>
      <c r="I160" s="22" t="s">
        <v>1258</v>
      </c>
      <c r="J160" s="24">
        <v>1.3172034166306399</v>
      </c>
      <c r="K160" s="24">
        <v>103.94575943784</v>
      </c>
    </row>
    <row r="161" spans="2:11">
      <c r="B161" s="22" t="s">
        <v>1870</v>
      </c>
      <c r="C161" s="22" t="s">
        <v>1871</v>
      </c>
      <c r="D161" s="22">
        <v>569730</v>
      </c>
      <c r="E161" s="22" t="s">
        <v>1872</v>
      </c>
      <c r="F161" s="22" t="s">
        <v>1873</v>
      </c>
      <c r="G161" s="22" t="s">
        <v>18</v>
      </c>
      <c r="H161" s="22" t="s">
        <v>1267</v>
      </c>
      <c r="I161" s="22" t="s">
        <v>1258</v>
      </c>
      <c r="J161" s="24">
        <v>1.3600326374662299</v>
      </c>
      <c r="K161" s="24">
        <v>103.85382604832699</v>
      </c>
    </row>
    <row r="162" spans="2:11">
      <c r="B162" s="22" t="s">
        <v>1874</v>
      </c>
      <c r="C162" s="22" t="s">
        <v>1875</v>
      </c>
      <c r="D162" s="22">
        <v>688268</v>
      </c>
      <c r="E162" s="22" t="s">
        <v>1576</v>
      </c>
      <c r="F162" s="22" t="s">
        <v>1876</v>
      </c>
      <c r="G162" s="22" t="s">
        <v>482</v>
      </c>
      <c r="H162" s="22" t="s">
        <v>1303</v>
      </c>
      <c r="I162" s="22" t="s">
        <v>1258</v>
      </c>
      <c r="J162" s="24">
        <v>1.40278303219036</v>
      </c>
      <c r="K162" s="24">
        <v>103.746801233973</v>
      </c>
    </row>
    <row r="163" spans="2:11">
      <c r="B163" s="22" t="s">
        <v>1877</v>
      </c>
      <c r="C163" s="22" t="s">
        <v>1878</v>
      </c>
      <c r="D163" s="22">
        <v>828728</v>
      </c>
      <c r="E163" s="22" t="s">
        <v>1658</v>
      </c>
      <c r="F163" s="22" t="s">
        <v>1658</v>
      </c>
      <c r="G163" s="22" t="s">
        <v>630</v>
      </c>
      <c r="H163" s="22" t="s">
        <v>1298</v>
      </c>
      <c r="I163" s="22" t="s">
        <v>1258</v>
      </c>
      <c r="J163" s="24">
        <v>1.4068620201629101</v>
      </c>
      <c r="K163" s="24">
        <v>103.899078423093</v>
      </c>
    </row>
    <row r="164" spans="2:11">
      <c r="B164" s="22" t="s">
        <v>1879</v>
      </c>
      <c r="C164" s="22" t="s">
        <v>1880</v>
      </c>
      <c r="D164" s="22">
        <v>828802</v>
      </c>
      <c r="E164" s="22" t="s">
        <v>1881</v>
      </c>
      <c r="F164" s="22" t="s">
        <v>1882</v>
      </c>
      <c r="G164" s="22" t="s">
        <v>630</v>
      </c>
      <c r="H164" s="22" t="s">
        <v>1298</v>
      </c>
      <c r="I164" s="22" t="s">
        <v>1258</v>
      </c>
      <c r="J164" s="24">
        <v>1.39889261226315</v>
      </c>
      <c r="K164" s="24">
        <v>103.918585924582</v>
      </c>
    </row>
    <row r="165" spans="2:11">
      <c r="B165" s="22" t="s">
        <v>1883</v>
      </c>
      <c r="C165" s="22" t="s">
        <v>1884</v>
      </c>
      <c r="D165" s="22">
        <v>757702</v>
      </c>
      <c r="E165" s="22" t="s">
        <v>1664</v>
      </c>
      <c r="F165" s="22" t="s">
        <v>1885</v>
      </c>
      <c r="G165" s="22" t="s">
        <v>680</v>
      </c>
      <c r="H165" s="22" t="s">
        <v>1257</v>
      </c>
      <c r="I165" s="22" t="s">
        <v>1258</v>
      </c>
      <c r="J165" s="24">
        <v>1.45168517614776</v>
      </c>
      <c r="K165" s="24">
        <v>103.82251620808699</v>
      </c>
    </row>
    <row r="166" spans="2:11">
      <c r="B166" s="22" t="s">
        <v>1886</v>
      </c>
      <c r="C166" s="22" t="s">
        <v>1887</v>
      </c>
      <c r="D166" s="22">
        <v>649223</v>
      </c>
      <c r="E166" s="22" t="s">
        <v>1888</v>
      </c>
      <c r="F166" s="22" t="s">
        <v>1889</v>
      </c>
      <c r="G166" s="22" t="s">
        <v>566</v>
      </c>
      <c r="H166" s="22" t="s">
        <v>1303</v>
      </c>
      <c r="I166" s="22" t="s">
        <v>1258</v>
      </c>
      <c r="J166" s="24">
        <v>1.3447121176891501</v>
      </c>
      <c r="K166" s="24">
        <v>103.698964212988</v>
      </c>
    </row>
    <row r="167" spans="2:11">
      <c r="B167" s="22" t="s">
        <v>1890</v>
      </c>
      <c r="C167" s="22" t="s">
        <v>1891</v>
      </c>
      <c r="D167" s="22">
        <v>679946</v>
      </c>
      <c r="E167" s="22" t="s">
        <v>1892</v>
      </c>
      <c r="F167" s="22" t="s">
        <v>1893</v>
      </c>
      <c r="G167" s="22" t="s">
        <v>460</v>
      </c>
      <c r="H167" s="22" t="s">
        <v>1303</v>
      </c>
      <c r="I167" s="22" t="s">
        <v>1258</v>
      </c>
      <c r="J167" s="24">
        <v>1.3890714583075801</v>
      </c>
      <c r="K167" s="24">
        <v>103.766075434817</v>
      </c>
    </row>
    <row r="168" spans="2:11">
      <c r="B168" s="22" t="s">
        <v>1894</v>
      </c>
      <c r="C168" s="22" t="s">
        <v>1895</v>
      </c>
      <c r="D168" s="22">
        <v>677742</v>
      </c>
      <c r="E168" s="22" t="s">
        <v>1896</v>
      </c>
      <c r="F168" s="22" t="s">
        <v>1897</v>
      </c>
      <c r="G168" s="22" t="s">
        <v>460</v>
      </c>
      <c r="H168" s="22" t="s">
        <v>1303</v>
      </c>
      <c r="I168" s="22" t="s">
        <v>1258</v>
      </c>
      <c r="J168" s="24">
        <v>1.3836758200335999</v>
      </c>
      <c r="K168" s="24">
        <v>103.76024043431801</v>
      </c>
    </row>
    <row r="169" spans="2:11">
      <c r="B169" s="22" t="s">
        <v>1898</v>
      </c>
      <c r="C169" s="22" t="s">
        <v>1899</v>
      </c>
      <c r="D169" s="22">
        <v>649188</v>
      </c>
      <c r="E169" s="22" t="s">
        <v>1900</v>
      </c>
      <c r="F169" s="22" t="s">
        <v>1901</v>
      </c>
      <c r="G169" s="22" t="s">
        <v>566</v>
      </c>
      <c r="H169" s="22" t="s">
        <v>1303</v>
      </c>
      <c r="I169" s="22" t="s">
        <v>1258</v>
      </c>
      <c r="J169" s="24">
        <v>1.34715462510442</v>
      </c>
      <c r="K169" s="24">
        <v>103.700526720098</v>
      </c>
    </row>
    <row r="170" spans="2:11">
      <c r="B170" s="22" t="s">
        <v>1902</v>
      </c>
      <c r="C170" s="22" t="s">
        <v>1903</v>
      </c>
      <c r="D170" s="22">
        <v>519075</v>
      </c>
      <c r="E170" s="22" t="s">
        <v>1343</v>
      </c>
      <c r="F170" s="22" t="s">
        <v>1904</v>
      </c>
      <c r="G170" s="22" t="s">
        <v>619</v>
      </c>
      <c r="H170" s="22" t="s">
        <v>1298</v>
      </c>
      <c r="I170" s="22" t="s">
        <v>1258</v>
      </c>
      <c r="J170" s="24">
        <v>1.3655571466855301</v>
      </c>
      <c r="K170" s="24">
        <v>103.960918869319</v>
      </c>
    </row>
    <row r="171" spans="2:11">
      <c r="B171" s="22" t="s">
        <v>1905</v>
      </c>
      <c r="C171" s="22" t="s">
        <v>1906</v>
      </c>
      <c r="D171" s="22">
        <v>738079</v>
      </c>
      <c r="E171" s="22" t="s">
        <v>1738</v>
      </c>
      <c r="F171" s="22" t="s">
        <v>1907</v>
      </c>
      <c r="G171" s="22" t="s">
        <v>805</v>
      </c>
      <c r="H171" s="22" t="s">
        <v>1257</v>
      </c>
      <c r="I171" s="22" t="s">
        <v>1258</v>
      </c>
      <c r="J171" s="24">
        <v>1.4327362072504899</v>
      </c>
      <c r="K171" s="24">
        <v>103.79023031392001</v>
      </c>
    </row>
    <row r="172" spans="2:11">
      <c r="B172" s="22" t="s">
        <v>1908</v>
      </c>
      <c r="C172" s="22" t="s">
        <v>1909</v>
      </c>
      <c r="D172" s="22">
        <v>738853</v>
      </c>
      <c r="E172" s="22" t="s">
        <v>1537</v>
      </c>
      <c r="F172" s="22" t="s">
        <v>1910</v>
      </c>
      <c r="G172" s="22" t="s">
        <v>805</v>
      </c>
      <c r="H172" s="22" t="s">
        <v>1257</v>
      </c>
      <c r="I172" s="22" t="s">
        <v>1258</v>
      </c>
      <c r="J172" s="24">
        <v>1.4365510859423201</v>
      </c>
      <c r="K172" s="24">
        <v>103.79157054650901</v>
      </c>
    </row>
    <row r="173" spans="2:11">
      <c r="B173" s="22" t="s">
        <v>1911</v>
      </c>
      <c r="C173" s="22" t="s">
        <v>1912</v>
      </c>
      <c r="D173" s="22">
        <v>738240</v>
      </c>
      <c r="E173" s="22" t="s">
        <v>1502</v>
      </c>
      <c r="F173" s="22" t="s">
        <v>1913</v>
      </c>
      <c r="G173" s="22" t="s">
        <v>805</v>
      </c>
      <c r="H173" s="22" t="s">
        <v>1257</v>
      </c>
      <c r="I173" s="22" t="s">
        <v>1258</v>
      </c>
      <c r="J173" s="24">
        <v>1.4348517938023599</v>
      </c>
      <c r="K173" s="24">
        <v>103.79741434351</v>
      </c>
    </row>
    <row r="174" spans="2:11">
      <c r="B174" s="22" t="s">
        <v>1914</v>
      </c>
      <c r="C174" s="22" t="s">
        <v>1915</v>
      </c>
      <c r="D174" s="22">
        <v>538882</v>
      </c>
      <c r="E174" s="22" t="s">
        <v>1916</v>
      </c>
      <c r="F174" s="22" t="s">
        <v>1917</v>
      </c>
      <c r="G174" s="22" t="s">
        <v>531</v>
      </c>
      <c r="H174" s="22" t="s">
        <v>1267</v>
      </c>
      <c r="I174" s="22" t="s">
        <v>1258</v>
      </c>
      <c r="J174" s="24">
        <v>1.35790893589535</v>
      </c>
      <c r="K174" s="24">
        <v>103.890472887906</v>
      </c>
    </row>
    <row r="175" spans="2:11">
      <c r="B175" s="22" t="s">
        <v>1918</v>
      </c>
      <c r="C175" s="22" t="s">
        <v>1919</v>
      </c>
      <c r="D175" s="22">
        <v>649036</v>
      </c>
      <c r="E175" s="22" t="s">
        <v>1556</v>
      </c>
      <c r="F175" s="22" t="s">
        <v>1920</v>
      </c>
      <c r="G175" s="22" t="s">
        <v>566</v>
      </c>
      <c r="H175" s="22" t="s">
        <v>1303</v>
      </c>
      <c r="I175" s="22" t="s">
        <v>1258</v>
      </c>
      <c r="J175" s="24">
        <v>1.3427063966922499</v>
      </c>
      <c r="K175" s="24">
        <v>103.68758847868099</v>
      </c>
    </row>
    <row r="176" spans="2:11">
      <c r="B176" s="22" t="s">
        <v>1921</v>
      </c>
      <c r="C176" s="22" t="s">
        <v>1922</v>
      </c>
      <c r="D176" s="22">
        <v>538784</v>
      </c>
      <c r="E176" s="22" t="s">
        <v>1645</v>
      </c>
      <c r="F176" s="22" t="s">
        <v>1923</v>
      </c>
      <c r="G176" s="22" t="s">
        <v>531</v>
      </c>
      <c r="H176" s="22" t="s">
        <v>1257</v>
      </c>
      <c r="I176" s="22" t="s">
        <v>1258</v>
      </c>
      <c r="J176" s="24">
        <v>1.3713954894193101</v>
      </c>
      <c r="K176" s="24">
        <v>103.88308076749099</v>
      </c>
    </row>
    <row r="177" spans="2:11">
      <c r="B177" s="22" t="s">
        <v>1924</v>
      </c>
      <c r="C177" s="22" t="s">
        <v>1925</v>
      </c>
      <c r="D177" s="22">
        <v>768611</v>
      </c>
      <c r="E177" s="22" t="s">
        <v>1926</v>
      </c>
      <c r="F177" s="22" t="s">
        <v>1927</v>
      </c>
      <c r="G177" s="22" t="s">
        <v>848</v>
      </c>
      <c r="H177" s="22" t="s">
        <v>1257</v>
      </c>
      <c r="I177" s="22" t="s">
        <v>1258</v>
      </c>
      <c r="J177" s="24">
        <v>1.4334718692506401</v>
      </c>
      <c r="K177" s="24">
        <v>103.83775531944799</v>
      </c>
    </row>
    <row r="178" spans="2:11">
      <c r="B178" s="22" t="s">
        <v>1928</v>
      </c>
      <c r="C178" s="22" t="s">
        <v>1929</v>
      </c>
      <c r="D178" s="22">
        <v>556108</v>
      </c>
      <c r="E178" s="22" t="s">
        <v>1930</v>
      </c>
      <c r="F178" s="22" t="s">
        <v>1931</v>
      </c>
      <c r="G178" s="22" t="s">
        <v>745</v>
      </c>
      <c r="H178" s="22" t="s">
        <v>1267</v>
      </c>
      <c r="I178" s="22" t="s">
        <v>1258</v>
      </c>
      <c r="J178" s="24">
        <v>1.34864575840923</v>
      </c>
      <c r="K178" s="24">
        <v>103.868595527042</v>
      </c>
    </row>
    <row r="179" spans="2:11">
      <c r="B179" s="22" t="s">
        <v>1932</v>
      </c>
      <c r="C179" s="22" t="s">
        <v>1933</v>
      </c>
      <c r="D179" s="22">
        <v>689100</v>
      </c>
      <c r="E179" s="22" t="s">
        <v>1934</v>
      </c>
      <c r="F179" s="22" t="s">
        <v>1935</v>
      </c>
      <c r="G179" s="22" t="s">
        <v>482</v>
      </c>
      <c r="H179" s="22" t="s">
        <v>1303</v>
      </c>
      <c r="I179" s="22" t="s">
        <v>1258</v>
      </c>
      <c r="J179" s="24">
        <v>1.39676600905037</v>
      </c>
      <c r="K179" s="24">
        <v>103.750985967346</v>
      </c>
    </row>
    <row r="180" spans="2:11">
      <c r="B180" s="22" t="s">
        <v>1936</v>
      </c>
      <c r="C180" s="22" t="s">
        <v>1937</v>
      </c>
      <c r="D180" s="22">
        <v>538720</v>
      </c>
      <c r="E180" s="22" t="s">
        <v>1938</v>
      </c>
      <c r="F180" s="22" t="s">
        <v>1939</v>
      </c>
      <c r="G180" s="22" t="s">
        <v>531</v>
      </c>
      <c r="H180" s="22" t="s">
        <v>1257</v>
      </c>
      <c r="I180" s="22" t="s">
        <v>1258</v>
      </c>
      <c r="J180" s="24">
        <v>1.3778227088538</v>
      </c>
      <c r="K180" s="24">
        <v>103.885568719387</v>
      </c>
    </row>
    <row r="181" spans="2:11">
      <c r="B181" s="22" t="s">
        <v>1940</v>
      </c>
      <c r="C181" s="22" t="s">
        <v>1941</v>
      </c>
      <c r="D181" s="22">
        <v>768679</v>
      </c>
      <c r="E181" s="22" t="s">
        <v>1261</v>
      </c>
      <c r="F181" s="22" t="s">
        <v>1942</v>
      </c>
      <c r="G181" s="22" t="s">
        <v>848</v>
      </c>
      <c r="H181" s="22" t="s">
        <v>1257</v>
      </c>
      <c r="I181" s="22" t="s">
        <v>1258</v>
      </c>
      <c r="J181" s="24">
        <v>1.4339761733496399</v>
      </c>
      <c r="K181" s="24">
        <v>103.834050796658</v>
      </c>
    </row>
    <row r="182" spans="2:11">
      <c r="B182" s="22" t="s">
        <v>1943</v>
      </c>
      <c r="C182" s="22" t="s">
        <v>1944</v>
      </c>
      <c r="D182" s="22">
        <v>469623</v>
      </c>
      <c r="E182" s="22" t="s">
        <v>1945</v>
      </c>
      <c r="F182" s="22" t="s">
        <v>1946</v>
      </c>
      <c r="G182" s="22" t="s">
        <v>351</v>
      </c>
      <c r="H182" s="22" t="s">
        <v>1298</v>
      </c>
      <c r="I182" s="22" t="s">
        <v>1258</v>
      </c>
      <c r="J182" s="24">
        <v>1.33388930344069</v>
      </c>
      <c r="K182" s="24">
        <v>103.932144857355</v>
      </c>
    </row>
    <row r="183" spans="2:11">
      <c r="B183" s="22" t="s">
        <v>1947</v>
      </c>
      <c r="C183" s="22" t="s">
        <v>1948</v>
      </c>
      <c r="D183" s="22">
        <v>609558</v>
      </c>
      <c r="E183" s="22" t="s">
        <v>1949</v>
      </c>
      <c r="F183" s="22" t="s">
        <v>1950</v>
      </c>
      <c r="G183" s="22" t="s">
        <v>557</v>
      </c>
      <c r="H183" s="22" t="s">
        <v>1303</v>
      </c>
      <c r="I183" s="22" t="s">
        <v>1258</v>
      </c>
      <c r="J183" s="24">
        <v>1.3429198162201601</v>
      </c>
      <c r="K183" s="24">
        <v>103.74086114887901</v>
      </c>
    </row>
    <row r="184" spans="2:11">
      <c r="B184" s="22" t="s">
        <v>1951</v>
      </c>
      <c r="C184" s="22" t="s">
        <v>1952</v>
      </c>
      <c r="D184" s="22">
        <v>529393</v>
      </c>
      <c r="E184" s="22" t="s">
        <v>1388</v>
      </c>
      <c r="F184" s="22" t="s">
        <v>1658</v>
      </c>
      <c r="G184" s="22" t="s">
        <v>751</v>
      </c>
      <c r="H184" s="22" t="s">
        <v>1298</v>
      </c>
      <c r="I184" s="22" t="s">
        <v>1258</v>
      </c>
      <c r="J184" s="24">
        <v>1.35129177656981</v>
      </c>
      <c r="K184" s="24">
        <v>103.950461927088</v>
      </c>
    </row>
    <row r="185" spans="2:11">
      <c r="B185" s="22" t="s">
        <v>1953</v>
      </c>
      <c r="C185" s="22" t="s">
        <v>1954</v>
      </c>
      <c r="D185" s="22">
        <v>169485</v>
      </c>
      <c r="E185" s="22" t="s">
        <v>1955</v>
      </c>
      <c r="F185" s="22" t="s">
        <v>1956</v>
      </c>
      <c r="G185" s="22" t="s">
        <v>431</v>
      </c>
      <c r="H185" s="22" t="s">
        <v>1267</v>
      </c>
      <c r="I185" s="22" t="s">
        <v>1258</v>
      </c>
      <c r="J185" s="24">
        <v>1.2842115385547399</v>
      </c>
      <c r="K185" s="24">
        <v>103.82595188463701</v>
      </c>
    </row>
    <row r="186" spans="2:11">
      <c r="B186" s="22" t="s">
        <v>1957</v>
      </c>
      <c r="C186" s="22" t="s">
        <v>1958</v>
      </c>
      <c r="D186" s="22">
        <v>679002</v>
      </c>
      <c r="E186" s="22" t="s">
        <v>1959</v>
      </c>
      <c r="F186" s="22" t="s">
        <v>1960</v>
      </c>
      <c r="G186" s="22" t="s">
        <v>460</v>
      </c>
      <c r="H186" s="22" t="s">
        <v>1303</v>
      </c>
      <c r="I186" s="22" t="s">
        <v>1258</v>
      </c>
      <c r="J186" s="24">
        <v>1.37954887512229</v>
      </c>
      <c r="K186" s="24">
        <v>103.769313521752</v>
      </c>
    </row>
    <row r="187" spans="2:11">
      <c r="B187" s="22" t="s">
        <v>1961</v>
      </c>
      <c r="C187" s="22" t="s">
        <v>1962</v>
      </c>
      <c r="D187" s="22">
        <v>556095</v>
      </c>
      <c r="E187" s="22" t="s">
        <v>1963</v>
      </c>
      <c r="F187" s="22" t="s">
        <v>1964</v>
      </c>
      <c r="G187" s="22" t="s">
        <v>745</v>
      </c>
      <c r="H187" s="22" t="s">
        <v>1267</v>
      </c>
      <c r="I187" s="22" t="s">
        <v>1258</v>
      </c>
      <c r="J187" s="24">
        <v>1.3602607247601901</v>
      </c>
      <c r="K187" s="24">
        <v>103.86971251738299</v>
      </c>
    </row>
  </sheetData>
  <sheetProtection sheet="1" objects="1" scenarios="1"/>
  <pageMargins left="0.7" right="0.7" top="0.75" bottom="0.75" header="0.3" footer="0.3"/>
  <pageSetup paperSize="9"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4839F-65A8-CD4F-AAE5-49FB8ED9332A}">
  <sheetPr codeName="Sheet8"/>
  <dimension ref="B2:F157"/>
  <sheetViews>
    <sheetView showGridLines="0" topLeftCell="AQ56" zoomScale="112" workbookViewId="0">
      <selection activeCell="K96" sqref="K96"/>
    </sheetView>
  </sheetViews>
  <sheetFormatPr defaultColWidth="11" defaultRowHeight="15.75"/>
  <cols>
    <col min="1" max="1" width="2.5" customWidth="1"/>
    <col min="2" max="2" width="31" customWidth="1"/>
    <col min="3" max="3" width="35" customWidth="1"/>
    <col min="4" max="4" width="13" style="25" customWidth="1"/>
    <col min="5" max="5" width="13.375" customWidth="1"/>
    <col min="6" max="6" width="13" customWidth="1"/>
  </cols>
  <sheetData>
    <row r="2" spans="2:6">
      <c r="B2" s="19" t="s">
        <v>1965</v>
      </c>
      <c r="C2" s="19" t="s">
        <v>51</v>
      </c>
      <c r="D2" s="26" t="s">
        <v>308</v>
      </c>
      <c r="E2" s="19" t="s">
        <v>309</v>
      </c>
      <c r="F2" s="19" t="s">
        <v>310</v>
      </c>
    </row>
    <row r="3" spans="2:6">
      <c r="B3" s="20" t="s">
        <v>1966</v>
      </c>
      <c r="C3" s="20" t="s">
        <v>1967</v>
      </c>
      <c r="D3" s="27" t="s">
        <v>1968</v>
      </c>
      <c r="E3" s="23">
        <v>1.2750063</v>
      </c>
      <c r="F3" s="23">
        <v>103.84099070000001</v>
      </c>
    </row>
    <row r="4" spans="2:6">
      <c r="B4" s="20" t="s">
        <v>1969</v>
      </c>
      <c r="C4" s="20" t="s">
        <v>1970</v>
      </c>
      <c r="D4" s="27">
        <v>238895</v>
      </c>
      <c r="E4" s="23">
        <v>1.30101436404056</v>
      </c>
      <c r="F4" s="23">
        <v>103.83836066448499</v>
      </c>
    </row>
    <row r="5" spans="2:6">
      <c r="B5" s="20" t="s">
        <v>1971</v>
      </c>
      <c r="C5" s="20" t="s">
        <v>1972</v>
      </c>
      <c r="D5" s="27">
        <v>339509</v>
      </c>
      <c r="E5" s="23">
        <v>1.3104736675733999</v>
      </c>
      <c r="F5" s="23">
        <v>103.86431321816001</v>
      </c>
    </row>
    <row r="6" spans="2:6">
      <c r="B6" s="20" t="s">
        <v>1973</v>
      </c>
      <c r="C6" s="20" t="s">
        <v>1974</v>
      </c>
      <c r="D6" s="27">
        <v>300001</v>
      </c>
      <c r="E6" s="23">
        <v>1.3255959483931099</v>
      </c>
      <c r="F6" s="23">
        <v>103.842571612968</v>
      </c>
    </row>
    <row r="7" spans="2:6">
      <c r="B7" s="20" t="s">
        <v>1975</v>
      </c>
      <c r="C7" s="20" t="s">
        <v>1976</v>
      </c>
      <c r="D7" s="27">
        <v>188735</v>
      </c>
      <c r="E7" s="23">
        <v>1.2981408343975001</v>
      </c>
      <c r="F7" s="23">
        <v>103.85563533924901</v>
      </c>
    </row>
    <row r="8" spans="2:6">
      <c r="B8" s="20" t="s">
        <v>1977</v>
      </c>
      <c r="C8" s="20" t="s">
        <v>1978</v>
      </c>
      <c r="D8" s="27">
        <v>188021</v>
      </c>
      <c r="E8" s="23">
        <v>1.2991128747587299</v>
      </c>
      <c r="F8" s="23">
        <v>103.855411173758</v>
      </c>
    </row>
    <row r="9" spans="2:6">
      <c r="B9" s="20" t="s">
        <v>1979</v>
      </c>
      <c r="C9" s="20" t="s">
        <v>1980</v>
      </c>
      <c r="D9" s="27">
        <v>188437</v>
      </c>
      <c r="E9" s="23">
        <v>1.30095171530648</v>
      </c>
      <c r="F9" s="23">
        <v>103.855172625542</v>
      </c>
    </row>
    <row r="10" spans="2:6">
      <c r="B10" s="20" t="s">
        <v>1981</v>
      </c>
      <c r="C10" s="20" t="s">
        <v>1982</v>
      </c>
      <c r="D10" s="27">
        <v>178905</v>
      </c>
      <c r="E10" s="23">
        <v>1.29307884763132</v>
      </c>
      <c r="F10" s="23">
        <v>103.851261982149</v>
      </c>
    </row>
    <row r="11" spans="2:6">
      <c r="B11" s="20" t="s">
        <v>1983</v>
      </c>
      <c r="C11" s="20" t="s">
        <v>1984</v>
      </c>
      <c r="D11" s="27">
        <v>239695</v>
      </c>
      <c r="E11" s="23">
        <v>1.30146393496315</v>
      </c>
      <c r="F11" s="23">
        <v>103.836463810773</v>
      </c>
    </row>
    <row r="12" spans="2:6">
      <c r="B12" s="20" t="s">
        <v>1985</v>
      </c>
      <c r="C12" s="20" t="s">
        <v>1986</v>
      </c>
      <c r="D12" s="27">
        <v>238843</v>
      </c>
      <c r="E12" s="23">
        <v>1.3014504553708801</v>
      </c>
      <c r="F12" s="23">
        <v>103.840034074858</v>
      </c>
    </row>
    <row r="13" spans="2:6">
      <c r="B13" s="20" t="s">
        <v>1987</v>
      </c>
      <c r="C13" s="20" t="s">
        <v>1988</v>
      </c>
      <c r="D13" s="27">
        <v>208539</v>
      </c>
      <c r="E13" s="23">
        <v>1.3113827185663001</v>
      </c>
      <c r="F13" s="23">
        <v>103.856626855768</v>
      </c>
    </row>
    <row r="14" spans="2:6">
      <c r="B14" s="20" t="s">
        <v>1989</v>
      </c>
      <c r="C14" s="20" t="s">
        <v>1990</v>
      </c>
      <c r="D14" s="27" t="s">
        <v>1991</v>
      </c>
      <c r="E14" s="23">
        <v>1.29260349413333</v>
      </c>
      <c r="F14" s="23">
        <v>103.854316064564</v>
      </c>
    </row>
    <row r="15" spans="2:6">
      <c r="B15" s="20" t="s">
        <v>1992</v>
      </c>
      <c r="C15" s="20" t="s">
        <v>1993</v>
      </c>
      <c r="D15" s="27">
        <v>189356</v>
      </c>
      <c r="E15" s="23">
        <v>1.29953434891664</v>
      </c>
      <c r="F15" s="23">
        <v>103.85840168774</v>
      </c>
    </row>
    <row r="16" spans="2:6">
      <c r="B16" s="20" t="s">
        <v>1994</v>
      </c>
      <c r="C16" s="20" t="s">
        <v>1995</v>
      </c>
      <c r="D16" s="27">
        <v>228213</v>
      </c>
      <c r="E16" s="23">
        <v>1.3073046889106199</v>
      </c>
      <c r="F16" s="23">
        <v>103.833818438639</v>
      </c>
    </row>
    <row r="17" spans="2:6">
      <c r="B17" s="20" t="s">
        <v>1996</v>
      </c>
      <c r="C17" s="20" t="s">
        <v>1997</v>
      </c>
      <c r="D17" s="27">
        <v>179105</v>
      </c>
      <c r="E17" s="23">
        <v>1.29134759697794</v>
      </c>
      <c r="F17" s="23">
        <v>103.849989790085</v>
      </c>
    </row>
    <row r="18" spans="2:6">
      <c r="B18" s="20" t="s">
        <v>1998</v>
      </c>
      <c r="C18" s="20" t="s">
        <v>1999</v>
      </c>
      <c r="D18" s="27">
        <v>237994</v>
      </c>
      <c r="E18" s="23">
        <v>1.29342272650003</v>
      </c>
      <c r="F18" s="23">
        <v>103.83202214665501</v>
      </c>
    </row>
    <row r="19" spans="2:6">
      <c r="B19" s="20" t="s">
        <v>2000</v>
      </c>
      <c r="C19" s="20" t="s">
        <v>2001</v>
      </c>
      <c r="D19" s="27">
        <v>310460</v>
      </c>
      <c r="E19" s="23">
        <v>1.33201387005935</v>
      </c>
      <c r="F19" s="23">
        <v>103.84984949662</v>
      </c>
    </row>
    <row r="20" spans="2:6">
      <c r="B20" s="20" t="s">
        <v>2002</v>
      </c>
      <c r="C20" s="20" t="s">
        <v>2003</v>
      </c>
      <c r="D20" s="27">
        <v>238801</v>
      </c>
      <c r="E20" s="23">
        <v>1.3039928685609901</v>
      </c>
      <c r="F20" s="23">
        <v>103.83198890379499</v>
      </c>
    </row>
    <row r="21" spans="2:6">
      <c r="B21" s="20" t="s">
        <v>2004</v>
      </c>
      <c r="C21" s="20" t="s">
        <v>2005</v>
      </c>
      <c r="D21" s="27">
        <v>579837</v>
      </c>
      <c r="E21" s="23">
        <v>1.3501724318020101</v>
      </c>
      <c r="F21" s="23">
        <v>103.84855370325801</v>
      </c>
    </row>
    <row r="22" spans="2:6">
      <c r="B22" s="20" t="s">
        <v>2006</v>
      </c>
      <c r="C22" s="20" t="s">
        <v>2007</v>
      </c>
      <c r="D22" s="27">
        <v>238857</v>
      </c>
      <c r="E22" s="23">
        <v>1.3029831225958</v>
      </c>
      <c r="F22" s="23">
        <v>103.83628392344301</v>
      </c>
    </row>
    <row r="23" spans="2:6">
      <c r="B23" s="20" t="s">
        <v>2008</v>
      </c>
      <c r="C23" s="20" t="s">
        <v>2009</v>
      </c>
      <c r="D23" s="27">
        <v>238881</v>
      </c>
      <c r="E23" s="23">
        <v>1.3050872271085201</v>
      </c>
      <c r="F23" s="23">
        <v>103.830722581168</v>
      </c>
    </row>
    <row r="24" spans="2:6">
      <c r="B24" s="20" t="s">
        <v>2010</v>
      </c>
      <c r="C24" s="20" t="s">
        <v>2011</v>
      </c>
      <c r="D24" s="27">
        <v>238863</v>
      </c>
      <c r="E24" s="23">
        <v>1.3044637897474001</v>
      </c>
      <c r="F24" s="23">
        <v>103.83400515852399</v>
      </c>
    </row>
    <row r="25" spans="2:6">
      <c r="B25" s="20" t="s">
        <v>2012</v>
      </c>
      <c r="C25" s="20" t="s">
        <v>2013</v>
      </c>
      <c r="D25" s="27" t="s">
        <v>2014</v>
      </c>
      <c r="E25" s="23">
        <v>1.28466203640592</v>
      </c>
      <c r="F25" s="23">
        <v>103.861005919029</v>
      </c>
    </row>
    <row r="26" spans="2:6">
      <c r="B26" s="20" t="s">
        <v>2015</v>
      </c>
      <c r="C26" s="20" t="s">
        <v>2016</v>
      </c>
      <c r="D26" s="27" t="s">
        <v>2017</v>
      </c>
      <c r="E26" s="23">
        <v>1.2842349602702701</v>
      </c>
      <c r="F26" s="23">
        <v>103.85898228297</v>
      </c>
    </row>
    <row r="27" spans="2:6">
      <c r="B27" s="20" t="s">
        <v>2018</v>
      </c>
      <c r="C27" s="20" t="s">
        <v>2019</v>
      </c>
      <c r="D27" s="27" t="s">
        <v>2020</v>
      </c>
      <c r="E27" s="23">
        <v>1.2800311338564601</v>
      </c>
      <c r="F27" s="23">
        <v>103.85428486326801</v>
      </c>
    </row>
    <row r="28" spans="2:6">
      <c r="B28" s="20" t="s">
        <v>2021</v>
      </c>
      <c r="C28" s="20" t="s">
        <v>2022</v>
      </c>
      <c r="D28" s="27" t="s">
        <v>2023</v>
      </c>
      <c r="E28" s="23">
        <v>1.2915948049433299</v>
      </c>
      <c r="F28" s="23">
        <v>103.85704871565601</v>
      </c>
    </row>
    <row r="29" spans="2:6">
      <c r="B29" s="20" t="s">
        <v>2024</v>
      </c>
      <c r="C29" s="20" t="s">
        <v>2025</v>
      </c>
      <c r="D29" s="27" t="s">
        <v>2026</v>
      </c>
      <c r="E29" s="23">
        <v>1.29267926922552</v>
      </c>
      <c r="F29" s="23">
        <v>103.860302888543</v>
      </c>
    </row>
    <row r="30" spans="2:6">
      <c r="B30" s="20" t="s">
        <v>2027</v>
      </c>
      <c r="C30" s="20" t="s">
        <v>2028</v>
      </c>
      <c r="D30" s="27">
        <v>238872</v>
      </c>
      <c r="E30" s="23">
        <v>1.3022727300848</v>
      </c>
      <c r="F30" s="23">
        <v>103.834899517575</v>
      </c>
    </row>
    <row r="31" spans="2:6">
      <c r="B31" s="20" t="s">
        <v>2029</v>
      </c>
      <c r="C31" s="20" t="s">
        <v>2030</v>
      </c>
      <c r="D31" s="27">
        <v>238896</v>
      </c>
      <c r="E31" s="23">
        <v>1.3008389083924501</v>
      </c>
      <c r="F31" s="23">
        <v>103.839434733899</v>
      </c>
    </row>
    <row r="32" spans="2:6">
      <c r="B32" s="20" t="s">
        <v>2031</v>
      </c>
      <c r="C32" s="20" t="s">
        <v>2032</v>
      </c>
      <c r="D32" s="27">
        <v>238851</v>
      </c>
      <c r="E32" s="23">
        <v>1.3016011695754399</v>
      </c>
      <c r="F32" s="23">
        <v>103.83886888651899</v>
      </c>
    </row>
    <row r="33" spans="2:6">
      <c r="B33" s="20" t="s">
        <v>2033</v>
      </c>
      <c r="C33" s="20" t="s">
        <v>2034</v>
      </c>
      <c r="D33" s="27">
        <v>238841</v>
      </c>
      <c r="E33" s="23">
        <v>1.3012572940996501</v>
      </c>
      <c r="F33" s="23">
        <v>103.84115014458401</v>
      </c>
    </row>
    <row r="34" spans="2:6">
      <c r="B34" s="20" t="s">
        <v>2035</v>
      </c>
      <c r="C34" s="20" t="s">
        <v>2036</v>
      </c>
      <c r="D34" s="27">
        <v>238852</v>
      </c>
      <c r="E34" s="23">
        <v>1.30178778502846</v>
      </c>
      <c r="F34" s="23">
        <v>103.838659766022</v>
      </c>
    </row>
    <row r="35" spans="2:6">
      <c r="B35" s="20" t="s">
        <v>2037</v>
      </c>
      <c r="C35" s="20" t="s">
        <v>2038</v>
      </c>
      <c r="D35" s="27">
        <v>238871</v>
      </c>
      <c r="E35" s="23">
        <v>1.30665484543191</v>
      </c>
      <c r="F35" s="23">
        <v>103.829588045188</v>
      </c>
    </row>
    <row r="36" spans="2:6">
      <c r="B36" s="20" t="s">
        <v>2039</v>
      </c>
      <c r="C36" s="20" t="s">
        <v>2040</v>
      </c>
      <c r="D36" s="27" t="s">
        <v>2041</v>
      </c>
      <c r="E36" s="23">
        <v>1.28564781446701</v>
      </c>
      <c r="F36" s="23">
        <v>103.843861556498</v>
      </c>
    </row>
    <row r="37" spans="2:6">
      <c r="B37" s="20" t="s">
        <v>2042</v>
      </c>
      <c r="C37" s="20" t="s">
        <v>2043</v>
      </c>
      <c r="D37" s="27" t="s">
        <v>2044</v>
      </c>
      <c r="E37" s="23">
        <v>1.28404487854559</v>
      </c>
      <c r="F37" s="23">
        <v>103.842590753293</v>
      </c>
    </row>
    <row r="38" spans="2:6">
      <c r="B38" s="20" t="s">
        <v>2045</v>
      </c>
      <c r="C38" s="20" t="s">
        <v>2046</v>
      </c>
      <c r="D38" s="27">
        <v>238839</v>
      </c>
      <c r="E38" s="23">
        <v>1.3008207176923501</v>
      </c>
      <c r="F38" s="23">
        <v>103.845067272938</v>
      </c>
    </row>
    <row r="39" spans="2:6">
      <c r="B39" s="20" t="s">
        <v>2047</v>
      </c>
      <c r="C39" s="20" t="s">
        <v>2048</v>
      </c>
      <c r="D39" s="27">
        <v>179101</v>
      </c>
      <c r="E39" s="23">
        <v>1.2939767099287101</v>
      </c>
      <c r="F39" s="23">
        <v>103.853333627297</v>
      </c>
    </row>
    <row r="40" spans="2:6">
      <c r="B40" s="20" t="s">
        <v>2049</v>
      </c>
      <c r="C40" s="20" t="s">
        <v>2050</v>
      </c>
      <c r="D40" s="27">
        <v>228209</v>
      </c>
      <c r="E40" s="23">
        <v>1.3057994299354301</v>
      </c>
      <c r="F40" s="23">
        <v>103.83307470621899</v>
      </c>
    </row>
    <row r="41" spans="2:6">
      <c r="B41" s="20" t="s">
        <v>2051</v>
      </c>
      <c r="C41" s="20" t="s">
        <v>2052</v>
      </c>
      <c r="D41" s="27">
        <v>188504</v>
      </c>
      <c r="E41" s="23">
        <v>1.3029065877425801</v>
      </c>
      <c r="F41" s="23">
        <v>103.853031869482</v>
      </c>
    </row>
    <row r="42" spans="2:6">
      <c r="B42" s="20" t="s">
        <v>2053</v>
      </c>
      <c r="C42" s="20" t="s">
        <v>2054</v>
      </c>
      <c r="D42" s="27" t="s">
        <v>2055</v>
      </c>
      <c r="E42" s="23">
        <v>1.28649701803051</v>
      </c>
      <c r="F42" s="23">
        <v>103.844628721032</v>
      </c>
    </row>
    <row r="43" spans="2:6">
      <c r="B43" s="20" t="s">
        <v>2056</v>
      </c>
      <c r="C43" s="20" t="s">
        <v>2057</v>
      </c>
      <c r="D43" s="27">
        <v>189767</v>
      </c>
      <c r="E43" s="23">
        <v>1.2949880439205601</v>
      </c>
      <c r="F43" s="23">
        <v>103.856276242094</v>
      </c>
    </row>
    <row r="44" spans="2:6">
      <c r="B44" s="20" t="s">
        <v>2058</v>
      </c>
      <c r="C44" s="20" t="s">
        <v>2059</v>
      </c>
      <c r="D44" s="27" t="s">
        <v>2060</v>
      </c>
      <c r="E44" s="23">
        <v>1.27822949964567</v>
      </c>
      <c r="F44" s="23">
        <v>103.850812513482</v>
      </c>
    </row>
    <row r="45" spans="2:6">
      <c r="B45" s="20" t="s">
        <v>2061</v>
      </c>
      <c r="C45" s="20" t="s">
        <v>2062</v>
      </c>
      <c r="D45" s="27">
        <v>187948</v>
      </c>
      <c r="E45" s="23">
        <v>1.30046735366415</v>
      </c>
      <c r="F45" s="23">
        <v>103.85055606194901</v>
      </c>
    </row>
    <row r="46" spans="2:6">
      <c r="B46" s="20" t="s">
        <v>2063</v>
      </c>
      <c r="C46" s="20" t="s">
        <v>2064</v>
      </c>
      <c r="D46" s="27" t="s">
        <v>2065</v>
      </c>
      <c r="E46" s="23">
        <v>1.29350132535558</v>
      </c>
      <c r="F46" s="23">
        <v>103.857307495824</v>
      </c>
    </row>
    <row r="47" spans="2:6">
      <c r="B47" s="20" t="s">
        <v>2066</v>
      </c>
      <c r="C47" s="20" t="s">
        <v>2067</v>
      </c>
      <c r="D47" s="27">
        <v>247933</v>
      </c>
      <c r="E47" s="23">
        <v>1.3048534210210501</v>
      </c>
      <c r="F47" s="23">
        <v>103.823883490852</v>
      </c>
    </row>
    <row r="48" spans="2:6">
      <c r="B48" s="20" t="s">
        <v>2068</v>
      </c>
      <c r="C48" s="20" t="s">
        <v>2069</v>
      </c>
      <c r="D48" s="27" t="s">
        <v>2070</v>
      </c>
      <c r="E48" s="23">
        <v>1.2755961982077</v>
      </c>
      <c r="F48" s="23">
        <v>103.842393171342</v>
      </c>
    </row>
    <row r="49" spans="2:6">
      <c r="B49" s="20" t="s">
        <v>2071</v>
      </c>
      <c r="C49" s="20" t="s">
        <v>2072</v>
      </c>
      <c r="D49" s="27">
        <v>210661</v>
      </c>
      <c r="E49" s="23">
        <v>1.3067109827872501</v>
      </c>
      <c r="F49" s="23">
        <v>103.85013440636</v>
      </c>
    </row>
    <row r="50" spans="2:6">
      <c r="B50" s="20" t="s">
        <v>2073</v>
      </c>
      <c r="C50" s="20" t="s">
        <v>2074</v>
      </c>
      <c r="D50" s="27">
        <v>179803</v>
      </c>
      <c r="E50" s="23">
        <v>1.2911850365844699</v>
      </c>
      <c r="F50" s="23">
        <v>103.851184338699</v>
      </c>
    </row>
    <row r="51" spans="2:6">
      <c r="B51" s="20" t="s">
        <v>2075</v>
      </c>
      <c r="C51" s="20" t="s">
        <v>2076</v>
      </c>
      <c r="D51" s="27">
        <v>238859</v>
      </c>
      <c r="E51" s="23">
        <v>1.30387230879994</v>
      </c>
      <c r="F51" s="23">
        <v>103.835857545469</v>
      </c>
    </row>
    <row r="52" spans="2:6">
      <c r="B52" s="20" t="s">
        <v>2077</v>
      </c>
      <c r="C52" s="20" t="s">
        <v>2078</v>
      </c>
      <c r="D52" s="27">
        <v>168732</v>
      </c>
      <c r="E52" s="23">
        <v>1.28645889472825</v>
      </c>
      <c r="F52" s="23">
        <v>103.827015256194</v>
      </c>
    </row>
    <row r="53" spans="2:6">
      <c r="B53" s="20" t="s">
        <v>2079</v>
      </c>
      <c r="C53" s="20" t="s">
        <v>2080</v>
      </c>
      <c r="D53" s="27">
        <v>358472</v>
      </c>
      <c r="E53" s="23">
        <v>1.33202729656296</v>
      </c>
      <c r="F53" s="23">
        <v>103.86865948819499</v>
      </c>
    </row>
    <row r="54" spans="2:6">
      <c r="B54" s="20" t="s">
        <v>2081</v>
      </c>
      <c r="C54" s="20" t="s">
        <v>2082</v>
      </c>
      <c r="D54" s="27">
        <v>576385</v>
      </c>
      <c r="E54" s="23">
        <v>1.3543628272344901</v>
      </c>
      <c r="F54" s="23">
        <v>103.83030941613001</v>
      </c>
    </row>
    <row r="55" spans="2:6">
      <c r="B55" s="20" t="s">
        <v>2083</v>
      </c>
      <c r="C55" s="20" t="s">
        <v>2084</v>
      </c>
      <c r="D55" s="27">
        <v>307591</v>
      </c>
      <c r="E55" s="23">
        <v>1.3171945098855899</v>
      </c>
      <c r="F55" s="23">
        <v>103.843611443038</v>
      </c>
    </row>
    <row r="56" spans="2:6">
      <c r="B56" s="20" t="s">
        <v>2085</v>
      </c>
      <c r="C56" s="20" t="s">
        <v>2086</v>
      </c>
      <c r="D56" s="27">
        <v>575630</v>
      </c>
      <c r="E56" s="23">
        <v>1.35319495337208</v>
      </c>
      <c r="F56" s="23">
        <v>103.835564729862</v>
      </c>
    </row>
    <row r="57" spans="2:6">
      <c r="B57" s="20" t="s">
        <v>2087</v>
      </c>
      <c r="C57" s="20" t="s">
        <v>2088</v>
      </c>
      <c r="D57" s="27">
        <v>307683</v>
      </c>
      <c r="E57" s="23">
        <v>1.31978949204523</v>
      </c>
      <c r="F57" s="23">
        <v>103.844033569199</v>
      </c>
    </row>
    <row r="58" spans="2:6">
      <c r="B58" s="20" t="s">
        <v>2089</v>
      </c>
      <c r="C58" s="20" t="s">
        <v>2090</v>
      </c>
      <c r="D58" s="27">
        <v>238880</v>
      </c>
      <c r="E58" s="23">
        <v>1.3046762873025199</v>
      </c>
      <c r="F58" s="23">
        <v>103.830642027577</v>
      </c>
    </row>
    <row r="59" spans="2:6">
      <c r="B59" s="20" t="s">
        <v>2091</v>
      </c>
      <c r="C59" s="20" t="s">
        <v>2092</v>
      </c>
      <c r="D59" s="27">
        <v>238877</v>
      </c>
      <c r="E59" s="23">
        <v>1.30370477426147</v>
      </c>
      <c r="F59" s="23">
        <v>103.833205752808</v>
      </c>
    </row>
    <row r="60" spans="2:6">
      <c r="B60" s="20" t="s">
        <v>2093</v>
      </c>
      <c r="C60" s="20" t="s">
        <v>2094</v>
      </c>
      <c r="D60" s="27">
        <v>329982</v>
      </c>
      <c r="E60" s="23">
        <v>1.3269450448432401</v>
      </c>
      <c r="F60" s="23">
        <v>103.846554377679</v>
      </c>
    </row>
    <row r="61" spans="2:6">
      <c r="B61" s="20" t="s">
        <v>2095</v>
      </c>
      <c r="C61" s="20" t="s">
        <v>2096</v>
      </c>
      <c r="D61" s="27">
        <v>469661</v>
      </c>
      <c r="E61" s="23">
        <v>1.3247161999999999</v>
      </c>
      <c r="F61" s="23">
        <v>103.9267681</v>
      </c>
    </row>
    <row r="62" spans="2:6">
      <c r="B62" s="20" t="s">
        <v>2097</v>
      </c>
      <c r="C62" s="20" t="s">
        <v>2098</v>
      </c>
      <c r="D62" s="27">
        <v>529509</v>
      </c>
      <c r="E62" s="23">
        <v>1.35227804040128</v>
      </c>
      <c r="F62" s="23">
        <v>103.94372769412099</v>
      </c>
    </row>
    <row r="63" spans="2:6">
      <c r="B63" s="20" t="s">
        <v>2099</v>
      </c>
      <c r="C63" s="20" t="s">
        <v>2100</v>
      </c>
      <c r="D63" s="27">
        <v>528523</v>
      </c>
      <c r="E63" s="23">
        <v>1.35218046898785</v>
      </c>
      <c r="F63" s="23">
        <v>103.94059800151901</v>
      </c>
    </row>
    <row r="64" spans="2:6">
      <c r="B64" s="20" t="s">
        <v>2101</v>
      </c>
      <c r="C64" s="20" t="s">
        <v>2102</v>
      </c>
      <c r="D64" s="27">
        <v>486038</v>
      </c>
      <c r="E64" s="23">
        <v>1.33408363820793</v>
      </c>
      <c r="F64" s="23">
        <v>103.962946043413</v>
      </c>
    </row>
    <row r="65" spans="2:6">
      <c r="B65" s="20" t="s">
        <v>2103</v>
      </c>
      <c r="C65" s="20" t="s">
        <v>2104</v>
      </c>
      <c r="D65" s="27">
        <v>519599</v>
      </c>
      <c r="E65" s="23">
        <v>1.3765903645694999</v>
      </c>
      <c r="F65" s="23">
        <v>103.95568944948199</v>
      </c>
    </row>
    <row r="66" spans="2:6">
      <c r="B66" s="20" t="s">
        <v>2105</v>
      </c>
      <c r="C66" s="20" t="s">
        <v>2096</v>
      </c>
      <c r="D66" s="27">
        <v>469661</v>
      </c>
      <c r="E66" s="23">
        <v>1.3261273</v>
      </c>
      <c r="F66" s="23">
        <v>103.9269658</v>
      </c>
    </row>
    <row r="67" spans="2:6">
      <c r="B67" s="20" t="s">
        <v>2106</v>
      </c>
      <c r="C67" s="20" t="s">
        <v>2107</v>
      </c>
      <c r="D67" s="27">
        <v>528833</v>
      </c>
      <c r="E67" s="23">
        <v>1.3427059235557599</v>
      </c>
      <c r="F67" s="23">
        <v>103.953024618234</v>
      </c>
    </row>
    <row r="68" spans="2:6">
      <c r="B68" s="20" t="s">
        <v>2108</v>
      </c>
      <c r="C68" s="20" t="s">
        <v>2109</v>
      </c>
      <c r="D68" s="27">
        <v>819666</v>
      </c>
      <c r="E68" s="23">
        <v>1.36006289399606</v>
      </c>
      <c r="F68" s="23">
        <v>103.989989170512</v>
      </c>
    </row>
    <row r="69" spans="2:6">
      <c r="B69" s="20" t="s">
        <v>2110</v>
      </c>
      <c r="C69" s="20" t="s">
        <v>2111</v>
      </c>
      <c r="D69" s="27">
        <v>437844</v>
      </c>
      <c r="E69" s="23">
        <v>1.30382040183737</v>
      </c>
      <c r="F69" s="23">
        <v>103.901040040407</v>
      </c>
    </row>
    <row r="70" spans="2:6">
      <c r="B70" s="20" t="s">
        <v>2112</v>
      </c>
      <c r="C70" s="20" t="s">
        <v>2113</v>
      </c>
      <c r="D70" s="27">
        <v>423371</v>
      </c>
      <c r="E70" s="23">
        <v>1.30477683917233</v>
      </c>
      <c r="F70" s="23">
        <v>103.904617722414</v>
      </c>
    </row>
    <row r="71" spans="2:6">
      <c r="B71" s="20" t="s">
        <v>2114</v>
      </c>
      <c r="C71" s="20" t="s">
        <v>2115</v>
      </c>
      <c r="D71" s="27">
        <v>397628</v>
      </c>
      <c r="E71" s="23">
        <v>1.30307515150401</v>
      </c>
      <c r="F71" s="23">
        <v>103.873149707591</v>
      </c>
    </row>
    <row r="72" spans="2:6">
      <c r="B72" s="20" t="s">
        <v>2116</v>
      </c>
      <c r="C72" s="20" t="s">
        <v>2117</v>
      </c>
      <c r="D72" s="27">
        <v>397693</v>
      </c>
      <c r="E72" s="23">
        <v>1.3022217738128199</v>
      </c>
      <c r="F72" s="23">
        <v>103.876152665088</v>
      </c>
    </row>
    <row r="73" spans="2:6">
      <c r="B73" s="20" t="s">
        <v>2118</v>
      </c>
      <c r="C73" s="20" t="s">
        <v>2119</v>
      </c>
      <c r="D73" s="27">
        <v>428802</v>
      </c>
      <c r="E73" s="23">
        <v>1.3052230620304199</v>
      </c>
      <c r="F73" s="23">
        <v>103.905043928938</v>
      </c>
    </row>
    <row r="74" spans="2:6">
      <c r="B74" s="20" t="s">
        <v>2120</v>
      </c>
      <c r="C74" s="20" t="s">
        <v>2121</v>
      </c>
      <c r="D74" s="27">
        <v>449269</v>
      </c>
      <c r="E74" s="23">
        <v>1.3010697550631101</v>
      </c>
      <c r="F74" s="23">
        <v>103.905279491524</v>
      </c>
    </row>
    <row r="75" spans="2:6">
      <c r="B75" s="20" t="s">
        <v>2122</v>
      </c>
      <c r="C75" s="20" t="s">
        <v>2123</v>
      </c>
      <c r="D75" s="27">
        <v>409051</v>
      </c>
      <c r="E75" s="23">
        <v>1.31881486980278</v>
      </c>
      <c r="F75" s="23">
        <v>103.89258077824201</v>
      </c>
    </row>
    <row r="76" spans="2:6">
      <c r="B76" s="20" t="s">
        <v>2124</v>
      </c>
      <c r="C76" s="20" t="s">
        <v>2125</v>
      </c>
      <c r="D76" s="27">
        <v>428769</v>
      </c>
      <c r="E76" s="23">
        <v>1.3043259990489899</v>
      </c>
      <c r="F76" s="23">
        <v>103.90405112030599</v>
      </c>
    </row>
    <row r="77" spans="2:6">
      <c r="B77" s="20" t="s">
        <v>2126</v>
      </c>
      <c r="C77" s="20" t="s">
        <v>2127</v>
      </c>
      <c r="D77" s="27">
        <v>408600</v>
      </c>
      <c r="E77" s="23">
        <v>1.3189966690366299</v>
      </c>
      <c r="F77" s="23">
        <v>103.894894915962</v>
      </c>
    </row>
    <row r="78" spans="2:6">
      <c r="B78" s="20" t="s">
        <v>2128</v>
      </c>
      <c r="C78" s="20" t="s">
        <v>2129</v>
      </c>
      <c r="D78" s="27" t="s">
        <v>2130</v>
      </c>
      <c r="E78" s="23">
        <v>1.3463353580898401</v>
      </c>
      <c r="F78" s="23">
        <v>103.933979581362</v>
      </c>
    </row>
    <row r="79" spans="2:6">
      <c r="B79" s="20" t="s">
        <v>2131</v>
      </c>
      <c r="C79" s="20" t="s">
        <v>2132</v>
      </c>
      <c r="D79" s="27">
        <v>529510</v>
      </c>
      <c r="E79" s="23">
        <v>1.3525936136283701</v>
      </c>
      <c r="F79" s="23">
        <v>103.944785968039</v>
      </c>
    </row>
    <row r="80" spans="2:6">
      <c r="B80" s="20" t="s">
        <v>2133</v>
      </c>
      <c r="C80" s="20" t="s">
        <v>2134</v>
      </c>
      <c r="D80" s="27">
        <v>518457</v>
      </c>
      <c r="E80" s="23">
        <v>1.37228761596577</v>
      </c>
      <c r="F80" s="23">
        <v>103.94973390567201</v>
      </c>
    </row>
    <row r="81" spans="2:6">
      <c r="B81" s="20" t="s">
        <v>2135</v>
      </c>
      <c r="C81" s="20" t="s">
        <v>2136</v>
      </c>
      <c r="D81" s="27">
        <v>409286</v>
      </c>
      <c r="E81" s="23">
        <v>1.31470866320366</v>
      </c>
      <c r="F81" s="23">
        <v>103.893508573389</v>
      </c>
    </row>
    <row r="82" spans="2:6">
      <c r="B82" s="20" t="s">
        <v>2137</v>
      </c>
      <c r="C82" s="20" t="s">
        <v>2138</v>
      </c>
      <c r="D82" s="27">
        <v>510623</v>
      </c>
      <c r="E82" s="23">
        <v>1.37790533095468</v>
      </c>
      <c r="F82" s="23">
        <v>103.94233582068</v>
      </c>
    </row>
    <row r="83" spans="2:6">
      <c r="B83" s="20" t="s">
        <v>2139</v>
      </c>
      <c r="C83" s="20" t="s">
        <v>2140</v>
      </c>
      <c r="D83" s="27">
        <v>510259</v>
      </c>
      <c r="E83" s="23">
        <v>1.3670663419724201</v>
      </c>
      <c r="F83" s="23">
        <v>103.964635610477</v>
      </c>
    </row>
    <row r="84" spans="2:6">
      <c r="B84" s="20" t="s">
        <v>2141</v>
      </c>
      <c r="C84" s="20" t="s">
        <v>2142</v>
      </c>
      <c r="D84" s="27">
        <v>730888</v>
      </c>
      <c r="E84" s="23">
        <v>1.4371185608553501</v>
      </c>
      <c r="F84" s="23">
        <v>103.79531606477499</v>
      </c>
    </row>
    <row r="85" spans="2:6">
      <c r="B85" s="20" t="s">
        <v>2143</v>
      </c>
      <c r="C85" s="20" t="s">
        <v>2144</v>
      </c>
      <c r="D85" s="27">
        <v>730677</v>
      </c>
      <c r="E85" s="23">
        <v>1.4404200856242499</v>
      </c>
      <c r="F85" s="23">
        <v>103.80154176904701</v>
      </c>
    </row>
    <row r="86" spans="2:6">
      <c r="B86" s="20" t="s">
        <v>2145</v>
      </c>
      <c r="C86" s="20" t="s">
        <v>2146</v>
      </c>
      <c r="D86" s="27">
        <v>569933</v>
      </c>
      <c r="E86" s="23">
        <v>1.3692551135095301</v>
      </c>
      <c r="F86" s="23">
        <v>103.848464053097</v>
      </c>
    </row>
    <row r="87" spans="2:6">
      <c r="B87" s="20" t="s">
        <v>2147</v>
      </c>
      <c r="C87" s="20" t="s">
        <v>2148</v>
      </c>
      <c r="D87" s="27">
        <v>750133</v>
      </c>
      <c r="E87" s="23">
        <v>1.4434954452798501</v>
      </c>
      <c r="F87" s="23">
        <v>103.83034536921301</v>
      </c>
    </row>
    <row r="88" spans="2:6">
      <c r="B88" s="20" t="s">
        <v>2149</v>
      </c>
      <c r="C88" s="20" t="s">
        <v>2150</v>
      </c>
      <c r="D88" s="27">
        <v>738099</v>
      </c>
      <c r="E88" s="23">
        <v>1.4359000790146801</v>
      </c>
      <c r="F88" s="23">
        <v>103.78579581634401</v>
      </c>
    </row>
    <row r="89" spans="2:6">
      <c r="B89" s="20" t="s">
        <v>2151</v>
      </c>
      <c r="C89" s="20" t="s">
        <v>2152</v>
      </c>
      <c r="D89" s="27">
        <v>730900</v>
      </c>
      <c r="E89" s="23">
        <v>1.43515024446739</v>
      </c>
      <c r="F89" s="23">
        <v>103.786816106255</v>
      </c>
    </row>
    <row r="90" spans="2:6">
      <c r="B90" s="20" t="s">
        <v>2153</v>
      </c>
      <c r="C90" s="20" t="s">
        <v>2154</v>
      </c>
      <c r="D90" s="27">
        <v>569841</v>
      </c>
      <c r="E90" s="23">
        <v>1.3719372913178101</v>
      </c>
      <c r="F90" s="23">
        <v>103.845949444498</v>
      </c>
    </row>
    <row r="91" spans="2:6">
      <c r="B91" s="20" t="s">
        <v>2155</v>
      </c>
      <c r="C91" s="20" t="s">
        <v>2156</v>
      </c>
      <c r="D91" s="27" t="s">
        <v>2157</v>
      </c>
      <c r="E91" s="23">
        <v>1.3728776</v>
      </c>
      <c r="F91" s="23">
        <v>103.845145</v>
      </c>
    </row>
    <row r="92" spans="2:6">
      <c r="B92" s="20" t="s">
        <v>2158</v>
      </c>
      <c r="C92" s="20" t="s">
        <v>2159</v>
      </c>
      <c r="D92" s="27">
        <v>569814</v>
      </c>
      <c r="E92" s="23">
        <v>1.3717855857582899</v>
      </c>
      <c r="F92" s="23">
        <v>103.847837565378</v>
      </c>
    </row>
    <row r="93" spans="2:6">
      <c r="B93" s="20" t="s">
        <v>2004</v>
      </c>
      <c r="C93" s="20" t="s">
        <v>2160</v>
      </c>
      <c r="D93" s="27">
        <v>579837</v>
      </c>
      <c r="E93" s="23">
        <v>1.3501724318020101</v>
      </c>
      <c r="F93" s="23">
        <v>103.84855370325801</v>
      </c>
    </row>
    <row r="94" spans="2:6">
      <c r="B94" s="20" t="s">
        <v>2161</v>
      </c>
      <c r="C94" s="20" t="s">
        <v>2162</v>
      </c>
      <c r="D94" s="27">
        <v>768897</v>
      </c>
      <c r="E94" s="23">
        <v>1.4331228398318001</v>
      </c>
      <c r="F94" s="23">
        <v>103.84166098599</v>
      </c>
    </row>
    <row r="95" spans="2:6">
      <c r="B95" s="20" t="s">
        <v>2163</v>
      </c>
      <c r="C95" s="20" t="s">
        <v>2164</v>
      </c>
      <c r="D95" s="27">
        <v>738623</v>
      </c>
      <c r="E95" s="23">
        <v>1.4335431813753401</v>
      </c>
      <c r="F95" s="23">
        <v>103.77988189197001</v>
      </c>
    </row>
    <row r="96" spans="2:6">
      <c r="B96" s="20" t="s">
        <v>2165</v>
      </c>
      <c r="C96" s="20" t="s">
        <v>2166</v>
      </c>
      <c r="D96" s="27">
        <v>768019</v>
      </c>
      <c r="E96" s="23">
        <v>1.4282256092268799</v>
      </c>
      <c r="F96" s="23">
        <v>103.83641999239801</v>
      </c>
    </row>
    <row r="97" spans="2:6">
      <c r="B97" s="20" t="s">
        <v>2167</v>
      </c>
      <c r="C97" s="20" t="s">
        <v>2168</v>
      </c>
      <c r="D97" s="27">
        <v>758459</v>
      </c>
      <c r="E97" s="23">
        <v>1.4418532526462899</v>
      </c>
      <c r="F97" s="23">
        <v>103.824832415833</v>
      </c>
    </row>
    <row r="98" spans="2:6">
      <c r="B98" s="20" t="s">
        <v>2169</v>
      </c>
      <c r="C98" s="20" t="s">
        <v>2170</v>
      </c>
      <c r="D98" s="27">
        <v>757713</v>
      </c>
      <c r="E98" s="23">
        <v>1.44823113453257</v>
      </c>
      <c r="F98" s="23">
        <v>103.819523749458</v>
      </c>
    </row>
    <row r="99" spans="2:6">
      <c r="B99" s="20" t="s">
        <v>2171</v>
      </c>
      <c r="C99" s="20" t="s">
        <v>2172</v>
      </c>
      <c r="D99" s="27">
        <v>730548</v>
      </c>
      <c r="E99" s="23">
        <v>1.4308011390122</v>
      </c>
      <c r="F99" s="23">
        <v>103.79410479596601</v>
      </c>
    </row>
    <row r="100" spans="2:6">
      <c r="B100" s="20" t="s">
        <v>2173</v>
      </c>
      <c r="C100" s="20" t="s">
        <v>2174</v>
      </c>
      <c r="D100" s="27">
        <v>768698</v>
      </c>
      <c r="E100" s="23">
        <v>1.4179896912229799</v>
      </c>
      <c r="F100" s="23">
        <v>103.841317292608</v>
      </c>
    </row>
    <row r="101" spans="2:6">
      <c r="B101" s="20" t="s">
        <v>2175</v>
      </c>
      <c r="C101" s="20" t="s">
        <v>2176</v>
      </c>
      <c r="D101" s="27">
        <v>730768</v>
      </c>
      <c r="E101" s="23">
        <v>1.44564787003157</v>
      </c>
      <c r="F101" s="23">
        <v>103.79816228580501</v>
      </c>
    </row>
    <row r="102" spans="2:6">
      <c r="B102" s="20" t="s">
        <v>2177</v>
      </c>
      <c r="C102" s="20" t="s">
        <v>2178</v>
      </c>
      <c r="D102" s="27">
        <v>730883</v>
      </c>
      <c r="E102" s="23">
        <v>1.44275334327795</v>
      </c>
      <c r="F102" s="23">
        <v>103.790548015512</v>
      </c>
    </row>
    <row r="103" spans="2:6">
      <c r="B103" s="20" t="s">
        <v>2179</v>
      </c>
      <c r="C103" s="20" t="s">
        <v>2180</v>
      </c>
      <c r="D103" s="27">
        <v>828761</v>
      </c>
      <c r="E103" s="23">
        <v>1.40637933605759</v>
      </c>
      <c r="F103" s="23">
        <v>103.90217224828901</v>
      </c>
    </row>
    <row r="104" spans="2:6">
      <c r="B104" s="20" t="s">
        <v>2181</v>
      </c>
      <c r="C104" s="20" t="s">
        <v>2182</v>
      </c>
      <c r="D104" s="27">
        <v>545078</v>
      </c>
      <c r="E104" s="23">
        <v>1.3920531415670601</v>
      </c>
      <c r="F104" s="23">
        <v>103.89507054384001</v>
      </c>
    </row>
    <row r="105" spans="2:6">
      <c r="B105" s="20" t="s">
        <v>2183</v>
      </c>
      <c r="C105" s="20" t="s">
        <v>2184</v>
      </c>
      <c r="D105" s="27">
        <v>538766</v>
      </c>
      <c r="E105" s="23">
        <v>1.3724830873451099</v>
      </c>
      <c r="F105" s="23">
        <v>103.89378814134901</v>
      </c>
    </row>
    <row r="106" spans="2:6">
      <c r="B106" s="20" t="s">
        <v>2185</v>
      </c>
      <c r="C106" s="20" t="s">
        <v>2186</v>
      </c>
      <c r="D106" s="27">
        <v>530205</v>
      </c>
      <c r="E106" s="23">
        <v>1.3595445089040099</v>
      </c>
      <c r="F106" s="23">
        <v>103.885169070198</v>
      </c>
    </row>
    <row r="107" spans="2:6">
      <c r="B107" s="20" t="s">
        <v>2187</v>
      </c>
      <c r="C107" s="20" t="s">
        <v>2188</v>
      </c>
      <c r="D107" s="27">
        <v>556083</v>
      </c>
      <c r="E107" s="23">
        <v>1.3507693525784501</v>
      </c>
      <c r="F107" s="23">
        <v>103.872296143862</v>
      </c>
    </row>
    <row r="108" spans="2:6">
      <c r="B108" s="20" t="s">
        <v>2189</v>
      </c>
      <c r="C108" s="20" t="s">
        <v>2190</v>
      </c>
      <c r="D108" s="27">
        <v>530991</v>
      </c>
      <c r="E108" s="23">
        <v>1.3843342661565501</v>
      </c>
      <c r="F108" s="23">
        <v>103.881623070164</v>
      </c>
    </row>
    <row r="109" spans="2:6">
      <c r="B109" s="20" t="s">
        <v>2191</v>
      </c>
      <c r="C109" s="20" t="s">
        <v>2192</v>
      </c>
      <c r="D109" s="27">
        <v>807011</v>
      </c>
      <c r="E109" s="23">
        <v>1.38739539397015</v>
      </c>
      <c r="F109" s="23">
        <v>103.86913597817301</v>
      </c>
    </row>
    <row r="110" spans="2:6">
      <c r="B110" s="20" t="s">
        <v>2193</v>
      </c>
      <c r="C110" s="20" t="s">
        <v>2194</v>
      </c>
      <c r="D110" s="27" t="s">
        <v>2195</v>
      </c>
      <c r="E110" s="23">
        <v>1.3717779999999999</v>
      </c>
      <c r="F110" s="23">
        <v>103.89305899999999</v>
      </c>
    </row>
    <row r="111" spans="2:6">
      <c r="B111" s="20" t="s">
        <v>2196</v>
      </c>
      <c r="C111" s="20" t="s">
        <v>2197</v>
      </c>
      <c r="D111" s="27">
        <v>538719</v>
      </c>
      <c r="E111" s="23">
        <v>1.3793178349914501</v>
      </c>
      <c r="F111" s="23">
        <v>103.88784708944</v>
      </c>
    </row>
    <row r="112" spans="2:6">
      <c r="B112" s="20" t="s">
        <v>2198</v>
      </c>
      <c r="C112" s="20" t="s">
        <v>2199</v>
      </c>
      <c r="D112" s="27">
        <v>530377</v>
      </c>
      <c r="E112" s="23">
        <v>1.3622059187714599</v>
      </c>
      <c r="F112" s="23">
        <v>103.894742116488</v>
      </c>
    </row>
    <row r="113" spans="2:6">
      <c r="B113" s="20" t="s">
        <v>2200</v>
      </c>
      <c r="C113" s="20" t="s">
        <v>2201</v>
      </c>
      <c r="D113" s="27">
        <v>556679</v>
      </c>
      <c r="E113" s="23">
        <v>1.3651149057279699</v>
      </c>
      <c r="F113" s="23">
        <v>103.86515950144199</v>
      </c>
    </row>
    <row r="114" spans="2:6">
      <c r="B114" s="20" t="s">
        <v>2202</v>
      </c>
      <c r="C114" s="20" t="s">
        <v>2203</v>
      </c>
      <c r="D114" s="27">
        <v>820407</v>
      </c>
      <c r="E114" s="23">
        <v>1.4167612715632401</v>
      </c>
      <c r="F114" s="23">
        <v>103.902074379502</v>
      </c>
    </row>
    <row r="115" spans="2:6">
      <c r="B115" s="20" t="s">
        <v>2204</v>
      </c>
      <c r="C115" s="20" t="s">
        <v>2205</v>
      </c>
      <c r="D115" s="27">
        <v>820681</v>
      </c>
      <c r="E115" s="23">
        <v>1.4027801572569301</v>
      </c>
      <c r="F115" s="23">
        <v>103.913215101343</v>
      </c>
    </row>
    <row r="116" spans="2:6">
      <c r="B116" s="20" t="s">
        <v>2206</v>
      </c>
      <c r="C116" s="20" t="s">
        <v>2207</v>
      </c>
      <c r="D116" s="27">
        <v>820168</v>
      </c>
      <c r="E116" s="23">
        <v>1.39423719717117</v>
      </c>
      <c r="F116" s="23">
        <v>103.913047323223</v>
      </c>
    </row>
    <row r="117" spans="2:6">
      <c r="B117" s="20" t="s">
        <v>2208</v>
      </c>
      <c r="C117" s="20" t="s">
        <v>2209</v>
      </c>
      <c r="D117" s="27">
        <v>545082</v>
      </c>
      <c r="E117" s="23">
        <v>1.3921977783844901</v>
      </c>
      <c r="F117" s="23">
        <v>103.904471600025</v>
      </c>
    </row>
    <row r="118" spans="2:6">
      <c r="B118" s="20" t="s">
        <v>2210</v>
      </c>
      <c r="C118" s="20" t="s">
        <v>2211</v>
      </c>
      <c r="D118" s="27">
        <v>540118</v>
      </c>
      <c r="E118" s="23">
        <v>1.3855042077553099</v>
      </c>
      <c r="F118" s="23">
        <v>103.901988424927</v>
      </c>
    </row>
    <row r="119" spans="2:6">
      <c r="B119" s="20" t="s">
        <v>2212</v>
      </c>
      <c r="C119" s="20" t="s">
        <v>2213</v>
      </c>
      <c r="D119" s="27">
        <v>797653</v>
      </c>
      <c r="E119" s="23">
        <v>1.3914701537462799</v>
      </c>
      <c r="F119" s="23">
        <v>103.876125507257</v>
      </c>
    </row>
    <row r="120" spans="2:6">
      <c r="B120" s="20" t="s">
        <v>2214</v>
      </c>
      <c r="C120" s="20" t="s">
        <v>2215</v>
      </c>
      <c r="D120" s="27">
        <v>534626</v>
      </c>
      <c r="E120" s="23">
        <v>1.3534808227714701</v>
      </c>
      <c r="F120" s="23">
        <v>103.878828134896</v>
      </c>
    </row>
    <row r="121" spans="2:6">
      <c r="B121" s="20" t="s">
        <v>2216</v>
      </c>
      <c r="C121" s="20" t="s">
        <v>2217</v>
      </c>
      <c r="D121" s="27">
        <v>588177</v>
      </c>
      <c r="E121" s="23">
        <v>1.34241264188642</v>
      </c>
      <c r="F121" s="23">
        <v>103.776539385406</v>
      </c>
    </row>
    <row r="122" spans="2:6">
      <c r="B122" s="20" t="s">
        <v>2218</v>
      </c>
      <c r="C122" s="20" t="s">
        <v>2219</v>
      </c>
      <c r="D122" s="27">
        <v>588176</v>
      </c>
      <c r="E122" s="23">
        <v>1.34180018619223</v>
      </c>
      <c r="F122" s="23">
        <v>103.776259359854</v>
      </c>
    </row>
    <row r="123" spans="2:6">
      <c r="B123" s="20" t="s">
        <v>2220</v>
      </c>
      <c r="C123" s="20" t="s">
        <v>2221</v>
      </c>
      <c r="D123" s="27">
        <v>677743</v>
      </c>
      <c r="E123" s="23">
        <v>1.3798829140411399</v>
      </c>
      <c r="F123" s="23">
        <v>103.764377765935</v>
      </c>
    </row>
    <row r="124" spans="2:6">
      <c r="B124" s="20" t="s">
        <v>2222</v>
      </c>
      <c r="C124" s="20" t="s">
        <v>2223</v>
      </c>
      <c r="D124" s="27">
        <v>588996</v>
      </c>
      <c r="E124" s="23">
        <v>1.3386316527744999</v>
      </c>
      <c r="F124" s="23">
        <v>103.778585430975</v>
      </c>
    </row>
    <row r="125" spans="2:6">
      <c r="B125" s="20" t="s">
        <v>2224</v>
      </c>
      <c r="C125" s="20" t="s">
        <v>2225</v>
      </c>
      <c r="D125" s="27">
        <v>670445</v>
      </c>
      <c r="E125" s="23">
        <v>1.3835746994289599</v>
      </c>
      <c r="F125" s="23">
        <v>103.77086845963299</v>
      </c>
    </row>
    <row r="126" spans="2:6">
      <c r="B126" s="20" t="s">
        <v>2226</v>
      </c>
      <c r="C126" s="20" t="s">
        <v>2227</v>
      </c>
      <c r="D126" s="27">
        <v>671524</v>
      </c>
      <c r="E126" s="23">
        <v>1.3854056928327101</v>
      </c>
      <c r="F126" s="23">
        <v>103.76622846818501</v>
      </c>
    </row>
    <row r="127" spans="2:6">
      <c r="B127" s="20" t="s">
        <v>2228</v>
      </c>
      <c r="C127" s="20" t="s">
        <v>2229</v>
      </c>
      <c r="D127" s="27">
        <v>678278</v>
      </c>
      <c r="E127" s="23">
        <v>1.3784116514421401</v>
      </c>
      <c r="F127" s="23">
        <v>103.76382945872</v>
      </c>
    </row>
    <row r="128" spans="2:6">
      <c r="B128" s="20" t="s">
        <v>2230</v>
      </c>
      <c r="C128" s="20" t="s">
        <v>2231</v>
      </c>
      <c r="D128" s="27">
        <v>667979</v>
      </c>
      <c r="E128" s="23">
        <v>1.3626745082802401</v>
      </c>
      <c r="F128" s="23">
        <v>103.76417292006001</v>
      </c>
    </row>
    <row r="129" spans="2:6">
      <c r="B129" s="20" t="s">
        <v>2232</v>
      </c>
      <c r="C129" s="20" t="s">
        <v>2233</v>
      </c>
      <c r="D129" s="27">
        <v>677899</v>
      </c>
      <c r="E129" s="23">
        <v>1.3805512797308701</v>
      </c>
      <c r="F129" s="23">
        <v>103.76010697482199</v>
      </c>
    </row>
    <row r="130" spans="2:6">
      <c r="B130" s="20" t="s">
        <v>2234</v>
      </c>
      <c r="C130" s="20" t="s">
        <v>2235</v>
      </c>
      <c r="D130" s="27">
        <v>680253</v>
      </c>
      <c r="E130" s="23">
        <v>1.37736607441394</v>
      </c>
      <c r="F130" s="23">
        <v>103.744393648768</v>
      </c>
    </row>
    <row r="131" spans="2:6">
      <c r="B131" s="20" t="s">
        <v>2236</v>
      </c>
      <c r="C131" s="20" t="s">
        <v>2237</v>
      </c>
      <c r="D131" s="27">
        <v>680533</v>
      </c>
      <c r="E131" s="23">
        <v>1.3920738867617</v>
      </c>
      <c r="F131" s="23">
        <v>103.743099573442</v>
      </c>
    </row>
    <row r="132" spans="2:6">
      <c r="B132" s="20" t="s">
        <v>2238</v>
      </c>
      <c r="C132" s="20" t="s">
        <v>2239</v>
      </c>
      <c r="D132" s="27">
        <v>689812</v>
      </c>
      <c r="E132" s="23">
        <v>1.38506992325619</v>
      </c>
      <c r="F132" s="23">
        <v>103.745238868238</v>
      </c>
    </row>
    <row r="133" spans="2:6">
      <c r="B133" s="20" t="s">
        <v>2240</v>
      </c>
      <c r="C133" s="20" t="s">
        <v>2241</v>
      </c>
      <c r="D133" s="27">
        <v>678040</v>
      </c>
      <c r="E133" s="23">
        <v>1.35773050150178</v>
      </c>
      <c r="F133" s="23">
        <v>103.76813772484699</v>
      </c>
    </row>
    <row r="134" spans="2:6">
      <c r="B134" s="20" t="s">
        <v>2242</v>
      </c>
      <c r="C134" s="20" t="s">
        <v>2243</v>
      </c>
      <c r="D134" s="27">
        <v>680475</v>
      </c>
      <c r="E134" s="23">
        <v>1.37789727709418</v>
      </c>
      <c r="F134" s="23">
        <v>103.739015486021</v>
      </c>
    </row>
    <row r="135" spans="2:6">
      <c r="B135" s="20" t="s">
        <v>2244</v>
      </c>
      <c r="C135" s="20" t="s">
        <v>2245</v>
      </c>
      <c r="D135" s="27">
        <v>680137</v>
      </c>
      <c r="E135" s="23">
        <v>1.38004752975397</v>
      </c>
      <c r="F135" s="23">
        <v>103.75248384119899</v>
      </c>
    </row>
    <row r="136" spans="2:6">
      <c r="B136" s="20" t="s">
        <v>2246</v>
      </c>
      <c r="C136" s="20" t="s">
        <v>2247</v>
      </c>
      <c r="D136" s="27">
        <v>658713</v>
      </c>
      <c r="E136" s="23">
        <v>1.3503754162610899</v>
      </c>
      <c r="F136" s="23">
        <v>103.74912389291001</v>
      </c>
    </row>
    <row r="137" spans="2:6">
      <c r="B137" s="20" t="s">
        <v>2248</v>
      </c>
      <c r="C137" s="20" t="s">
        <v>2249</v>
      </c>
      <c r="D137" s="27">
        <v>689578</v>
      </c>
      <c r="E137" s="23">
        <v>1.3970574151614099</v>
      </c>
      <c r="F137" s="23">
        <v>103.746662121143</v>
      </c>
    </row>
    <row r="138" spans="2:6">
      <c r="B138" s="20" t="s">
        <v>2250</v>
      </c>
      <c r="C138" s="20" t="s">
        <v>2251</v>
      </c>
      <c r="D138" s="27">
        <v>680624</v>
      </c>
      <c r="E138" s="23">
        <v>1.3983694266537601</v>
      </c>
      <c r="F138" s="23">
        <v>103.747188486453</v>
      </c>
    </row>
    <row r="139" spans="2:6">
      <c r="B139" s="20" t="s">
        <v>2252</v>
      </c>
      <c r="C139" s="20" t="s">
        <v>2253</v>
      </c>
      <c r="D139" s="27">
        <v>129905</v>
      </c>
      <c r="E139" s="23">
        <v>1.31200212030821</v>
      </c>
      <c r="F139" s="23">
        <v>103.764986676365</v>
      </c>
    </row>
    <row r="140" spans="2:6">
      <c r="B140" s="20" t="s">
        <v>2254</v>
      </c>
      <c r="C140" s="20" t="s">
        <v>2255</v>
      </c>
      <c r="D140" s="27">
        <v>122441</v>
      </c>
      <c r="E140" s="23">
        <v>1.3148961963936601</v>
      </c>
      <c r="F140" s="23">
        <v>103.764423054189</v>
      </c>
    </row>
    <row r="141" spans="2:6">
      <c r="B141" s="20" t="s">
        <v>2256</v>
      </c>
      <c r="C141" s="20" t="s">
        <v>2257</v>
      </c>
      <c r="D141" s="27">
        <v>609601</v>
      </c>
      <c r="E141" s="23">
        <v>1.3348752611800601</v>
      </c>
      <c r="F141" s="23">
        <v>103.74689477300799</v>
      </c>
    </row>
    <row r="142" spans="2:6">
      <c r="B142" s="20" t="s">
        <v>2258</v>
      </c>
      <c r="C142" s="20" t="s">
        <v>2259</v>
      </c>
      <c r="D142" s="27">
        <v>608549</v>
      </c>
      <c r="E142" s="23">
        <v>1.33305999269581</v>
      </c>
      <c r="F142" s="23">
        <v>103.743503708169</v>
      </c>
    </row>
    <row r="143" spans="2:6">
      <c r="B143" s="20" t="s">
        <v>2260</v>
      </c>
      <c r="C143" s="20" t="s">
        <v>2261</v>
      </c>
      <c r="D143" s="27">
        <v>608532</v>
      </c>
      <c r="E143" s="23">
        <v>1.3341576755686699</v>
      </c>
      <c r="F143" s="23">
        <v>103.742766484424</v>
      </c>
    </row>
    <row r="144" spans="2:6">
      <c r="B144" s="20" t="s">
        <v>2262</v>
      </c>
      <c r="C144" s="20" t="s">
        <v>2263</v>
      </c>
      <c r="D144" s="27">
        <v>648886</v>
      </c>
      <c r="E144" s="23">
        <v>1.3394520043632001</v>
      </c>
      <c r="F144" s="23">
        <v>103.706685012926</v>
      </c>
    </row>
    <row r="145" spans="2:6">
      <c r="B145" s="20" t="s">
        <v>2264</v>
      </c>
      <c r="C145" s="20" t="s">
        <v>2265</v>
      </c>
      <c r="D145" s="27">
        <v>640638</v>
      </c>
      <c r="E145" s="23">
        <v>1.34169239214292</v>
      </c>
      <c r="F145" s="23">
        <v>103.697174842118</v>
      </c>
    </row>
    <row r="146" spans="2:6">
      <c r="B146" s="20" t="s">
        <v>2266</v>
      </c>
      <c r="C146" s="20" t="s">
        <v>2267</v>
      </c>
      <c r="D146" s="27">
        <v>138617</v>
      </c>
      <c r="E146" s="23">
        <v>1.30681500712523</v>
      </c>
      <c r="F146" s="23">
        <v>103.788462732266</v>
      </c>
    </row>
    <row r="147" spans="2:6">
      <c r="B147" s="20" t="s">
        <v>2268</v>
      </c>
      <c r="C147" s="20" t="s">
        <v>2269</v>
      </c>
      <c r="D147" s="27">
        <v>159971</v>
      </c>
      <c r="E147" s="23">
        <v>1.2872832093059201</v>
      </c>
      <c r="F147" s="23">
        <v>103.805283367958</v>
      </c>
    </row>
    <row r="148" spans="2:6">
      <c r="B148" s="20" t="s">
        <v>2270</v>
      </c>
      <c r="C148" s="20" t="s">
        <v>2271</v>
      </c>
      <c r="D148" s="27">
        <v>159952</v>
      </c>
      <c r="E148" s="23">
        <v>1.2889347797449699</v>
      </c>
      <c r="F148" s="23">
        <v>103.805607779399</v>
      </c>
    </row>
    <row r="149" spans="2:6">
      <c r="B149" s="20" t="s">
        <v>2272</v>
      </c>
      <c r="C149" s="20" t="s">
        <v>2273</v>
      </c>
      <c r="D149" s="27">
        <v>640221</v>
      </c>
      <c r="E149" s="23">
        <v>1.3463737640787701</v>
      </c>
      <c r="F149" s="23">
        <v>103.712472819666</v>
      </c>
    </row>
    <row r="150" spans="2:6">
      <c r="B150" s="20" t="s">
        <v>2274</v>
      </c>
      <c r="C150" s="20" t="s">
        <v>2275</v>
      </c>
      <c r="D150" s="27">
        <v>129581</v>
      </c>
      <c r="E150" s="23">
        <v>1.3142704392229401</v>
      </c>
      <c r="F150" s="23">
        <v>103.765147487482</v>
      </c>
    </row>
    <row r="151" spans="2:6">
      <c r="B151" s="20" t="s">
        <v>2276</v>
      </c>
      <c r="C151" s="20" t="s">
        <v>2277</v>
      </c>
      <c r="D151" s="27">
        <v>629117</v>
      </c>
      <c r="E151" s="23">
        <v>1.3534959358198799</v>
      </c>
      <c r="F151" s="23">
        <v>103.940139392679</v>
      </c>
    </row>
    <row r="152" spans="2:6">
      <c r="B152" s="20" t="s">
        <v>2278</v>
      </c>
      <c r="C152" s="20" t="s">
        <v>2279</v>
      </c>
      <c r="D152" s="27">
        <v>640762</v>
      </c>
      <c r="E152" s="23">
        <v>1.3487416466288</v>
      </c>
      <c r="F152" s="23">
        <v>103.697739629738</v>
      </c>
    </row>
    <row r="153" spans="2:6">
      <c r="B153" s="20" t="s">
        <v>2280</v>
      </c>
      <c r="C153" s="20" t="s">
        <v>2281</v>
      </c>
      <c r="D153" s="27">
        <v>138639</v>
      </c>
      <c r="E153" s="23">
        <v>1.3054076556996199</v>
      </c>
      <c r="F153" s="23">
        <v>103.788446680148</v>
      </c>
    </row>
    <row r="154" spans="2:6">
      <c r="B154" s="20" t="s">
        <v>2282</v>
      </c>
      <c r="C154" s="20" t="s">
        <v>2283</v>
      </c>
      <c r="D154" s="27">
        <v>610399</v>
      </c>
      <c r="E154" s="23">
        <v>1.3348448747125901</v>
      </c>
      <c r="F154" s="23">
        <v>103.72046202427801</v>
      </c>
    </row>
    <row r="155" spans="2:6">
      <c r="B155" s="20" t="s">
        <v>2284</v>
      </c>
      <c r="C155" s="20" t="s">
        <v>2285</v>
      </c>
      <c r="D155" s="27">
        <v>127371</v>
      </c>
      <c r="E155" s="23">
        <v>1.30358622534992</v>
      </c>
      <c r="F155" s="23">
        <v>103.76610375397</v>
      </c>
    </row>
    <row r="156" spans="2:6">
      <c r="B156" s="20" t="s">
        <v>2286</v>
      </c>
      <c r="C156" s="20" t="s">
        <v>2287</v>
      </c>
      <c r="D156" s="27">
        <v>149053</v>
      </c>
      <c r="E156" s="23">
        <v>1.2876179255874001</v>
      </c>
      <c r="F156" s="23">
        <v>103.80339114045501</v>
      </c>
    </row>
    <row r="157" spans="2:6">
      <c r="B157" s="20" t="s">
        <v>2288</v>
      </c>
      <c r="C157" s="20" t="s">
        <v>2289</v>
      </c>
      <c r="D157" s="27" t="s">
        <v>2290</v>
      </c>
      <c r="E157" s="23">
        <v>1.2769999999999999</v>
      </c>
      <c r="F157" s="23">
        <v>103.8458</v>
      </c>
    </row>
  </sheetData>
  <sheetProtection sheet="1" objects="1" scenarios="1"/>
  <phoneticPr fontId="19" type="noConversion"/>
  <pageMargins left="0.7" right="0.7" top="0.75" bottom="0.75" header="0.3" footer="0.3"/>
  <pageSetup paperSize="9" orientation="portrait" horizontalDpi="0" verticalDpi="0"/>
  <ignoredErrors>
    <ignoredError sqref="D78 D110 D157 D3 D14 D25:D29 D36:D48 D91" numberStoredAsText="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9735B-603B-491F-AB20-76F4C01A6C29}">
  <sheetPr codeName="Sheet13"/>
  <dimension ref="B2:J123"/>
  <sheetViews>
    <sheetView showGridLines="0" topLeftCell="A72" zoomScale="83" zoomScaleNormal="120" workbookViewId="0">
      <selection activeCell="K98" sqref="K98"/>
    </sheetView>
  </sheetViews>
  <sheetFormatPr defaultColWidth="8.875" defaultRowHeight="15.75"/>
  <cols>
    <col min="1" max="1" width="4.375" customWidth="1"/>
    <col min="2" max="2" width="24.625" customWidth="1"/>
    <col min="3" max="3" width="22.875" customWidth="1"/>
    <col min="4" max="4" width="22.5" customWidth="1"/>
    <col min="5" max="5" width="36.875" customWidth="1"/>
    <col min="6" max="6" width="16.875" customWidth="1"/>
    <col min="7" max="7" width="20" customWidth="1"/>
    <col min="8" max="8" width="14.875" customWidth="1"/>
    <col min="9" max="9" width="7.875" customWidth="1"/>
    <col min="10" max="10" width="8.875" customWidth="1"/>
    <col min="11" max="11" width="18.875" customWidth="1"/>
  </cols>
  <sheetData>
    <row r="2" spans="2:6">
      <c r="B2" s="10" t="s">
        <v>2291</v>
      </c>
      <c r="E2" s="10" t="s">
        <v>2292</v>
      </c>
    </row>
    <row r="3" spans="2:6">
      <c r="B3" s="12" t="s">
        <v>2293</v>
      </c>
      <c r="C3" s="12" t="s">
        <v>2294</v>
      </c>
      <c r="E3" s="12" t="s">
        <v>2295</v>
      </c>
      <c r="F3" s="12" t="s">
        <v>2294</v>
      </c>
    </row>
    <row r="4" spans="2:6">
      <c r="B4" s="11">
        <v>750</v>
      </c>
      <c r="C4" s="11">
        <v>40000</v>
      </c>
      <c r="E4" s="51">
        <v>1500</v>
      </c>
      <c r="F4" s="51">
        <v>80000</v>
      </c>
    </row>
    <row r="5" spans="2:6">
      <c r="B5" s="11">
        <v>1000</v>
      </c>
      <c r="C5" s="11">
        <v>37500</v>
      </c>
      <c r="E5" s="51">
        <v>2000</v>
      </c>
      <c r="F5" s="51">
        <v>75000</v>
      </c>
    </row>
    <row r="6" spans="2:6">
      <c r="B6" s="11">
        <v>1250</v>
      </c>
      <c r="C6" s="11">
        <v>35000</v>
      </c>
      <c r="E6" s="51">
        <v>2500</v>
      </c>
      <c r="F6" s="51">
        <v>70000</v>
      </c>
    </row>
    <row r="7" spans="2:6">
      <c r="B7" s="11">
        <v>1500</v>
      </c>
      <c r="C7" s="11">
        <v>32500</v>
      </c>
      <c r="E7" s="51">
        <v>3000</v>
      </c>
      <c r="F7" s="51">
        <v>65000</v>
      </c>
    </row>
    <row r="8" spans="2:6">
      <c r="B8" s="11">
        <v>1750</v>
      </c>
      <c r="C8" s="11">
        <v>30000</v>
      </c>
      <c r="E8" s="51">
        <v>3500</v>
      </c>
      <c r="F8" s="51">
        <v>60000</v>
      </c>
    </row>
    <row r="9" spans="2:6">
      <c r="B9" s="11">
        <v>2000</v>
      </c>
      <c r="C9" s="11">
        <v>27500</v>
      </c>
      <c r="E9" s="51">
        <v>4000</v>
      </c>
      <c r="F9" s="51">
        <v>55000</v>
      </c>
    </row>
    <row r="10" spans="2:6">
      <c r="B10" s="11">
        <v>2250</v>
      </c>
      <c r="C10" s="11">
        <v>25000</v>
      </c>
      <c r="E10" s="51">
        <v>4500</v>
      </c>
      <c r="F10" s="51">
        <v>50000</v>
      </c>
    </row>
    <row r="11" spans="2:6">
      <c r="B11" s="11">
        <v>2500</v>
      </c>
      <c r="C11" s="11">
        <v>22500</v>
      </c>
      <c r="E11" s="51">
        <v>5000</v>
      </c>
      <c r="F11" s="51">
        <v>45000</v>
      </c>
    </row>
    <row r="12" spans="2:6">
      <c r="B12" s="11">
        <v>2750</v>
      </c>
      <c r="C12" s="11">
        <v>20000</v>
      </c>
      <c r="E12" s="51">
        <v>5500</v>
      </c>
      <c r="F12" s="51">
        <v>40000</v>
      </c>
    </row>
    <row r="13" spans="2:6">
      <c r="B13" s="11">
        <v>3000</v>
      </c>
      <c r="C13" s="11">
        <v>17500</v>
      </c>
      <c r="E13" s="51">
        <v>6000</v>
      </c>
      <c r="F13" s="51">
        <v>35000</v>
      </c>
    </row>
    <row r="14" spans="2:6">
      <c r="B14" s="11">
        <v>3250</v>
      </c>
      <c r="C14" s="11">
        <v>15000</v>
      </c>
      <c r="E14" s="51">
        <v>6500</v>
      </c>
      <c r="F14" s="51">
        <v>30000</v>
      </c>
    </row>
    <row r="15" spans="2:6">
      <c r="B15" s="11">
        <v>3500</v>
      </c>
      <c r="C15" s="11">
        <v>12500</v>
      </c>
      <c r="E15" s="51">
        <v>7000</v>
      </c>
      <c r="F15" s="51">
        <v>25000</v>
      </c>
    </row>
    <row r="16" spans="2:6">
      <c r="B16" s="11">
        <v>3750</v>
      </c>
      <c r="C16" s="11">
        <v>10000</v>
      </c>
      <c r="E16" s="51">
        <v>7500</v>
      </c>
      <c r="F16" s="51">
        <v>20000</v>
      </c>
    </row>
    <row r="17" spans="2:10">
      <c r="B17" s="11">
        <v>4000</v>
      </c>
      <c r="C17" s="11">
        <v>7500</v>
      </c>
      <c r="E17" s="51">
        <v>8000</v>
      </c>
      <c r="F17" s="51">
        <v>15000</v>
      </c>
    </row>
    <row r="18" spans="2:10">
      <c r="B18" s="11">
        <v>4250</v>
      </c>
      <c r="C18" s="11">
        <v>5000</v>
      </c>
      <c r="E18" s="51">
        <v>8500</v>
      </c>
      <c r="F18" s="51">
        <v>10000</v>
      </c>
    </row>
    <row r="19" spans="2:10">
      <c r="B19" s="11">
        <v>4500</v>
      </c>
      <c r="C19" s="11">
        <v>2500</v>
      </c>
      <c r="E19" s="51">
        <v>9000</v>
      </c>
      <c r="F19" s="51">
        <v>5000</v>
      </c>
    </row>
    <row r="20" spans="2:10">
      <c r="F20" s="28"/>
    </row>
    <row r="21" spans="2:10">
      <c r="B21" s="10" t="s">
        <v>2296</v>
      </c>
      <c r="F21" s="28"/>
    </row>
    <row r="22" spans="2:10">
      <c r="B22" s="12" t="s">
        <v>2297</v>
      </c>
      <c r="C22" s="12" t="s">
        <v>2298</v>
      </c>
      <c r="D22" s="12" t="s">
        <v>2299</v>
      </c>
      <c r="F22" s="28"/>
    </row>
    <row r="23" spans="2:10">
      <c r="B23" s="35" t="s">
        <v>395</v>
      </c>
      <c r="C23" s="53">
        <v>40000</v>
      </c>
      <c r="D23" s="53">
        <v>80000</v>
      </c>
      <c r="F23" s="28"/>
    </row>
    <row r="24" spans="2:10">
      <c r="B24" s="35" t="s">
        <v>318</v>
      </c>
      <c r="C24" s="53">
        <v>40000</v>
      </c>
      <c r="D24" s="53">
        <v>80000</v>
      </c>
      <c r="F24" s="28"/>
    </row>
    <row r="25" spans="2:10">
      <c r="B25" s="35" t="s">
        <v>20</v>
      </c>
      <c r="C25" s="53">
        <v>40000</v>
      </c>
      <c r="D25" s="53">
        <v>80000</v>
      </c>
      <c r="F25" s="28"/>
    </row>
    <row r="26" spans="2:10">
      <c r="B26" s="35" t="s">
        <v>341</v>
      </c>
      <c r="C26" s="53">
        <v>25000</v>
      </c>
      <c r="D26" s="53">
        <v>50000</v>
      </c>
      <c r="F26" s="28"/>
    </row>
    <row r="27" spans="2:10">
      <c r="F27" s="28"/>
    </row>
    <row r="28" spans="2:10">
      <c r="F28" s="28"/>
    </row>
    <row r="29" spans="2:10">
      <c r="F29" s="28"/>
    </row>
    <row r="30" spans="2:10">
      <c r="B30" s="10" t="s">
        <v>2300</v>
      </c>
      <c r="F30" s="28"/>
      <c r="G30" s="10" t="s">
        <v>2301</v>
      </c>
    </row>
    <row r="31" spans="2:10">
      <c r="B31" s="71" t="s">
        <v>2302</v>
      </c>
      <c r="C31" s="71" t="s">
        <v>2303</v>
      </c>
      <c r="D31" s="71" t="s">
        <v>3</v>
      </c>
      <c r="E31" s="71" t="s">
        <v>146</v>
      </c>
      <c r="F31" s="28"/>
      <c r="G31" s="12" t="s">
        <v>2302</v>
      </c>
      <c r="H31" s="12" t="s">
        <v>2303</v>
      </c>
      <c r="I31" s="12" t="s">
        <v>3</v>
      </c>
      <c r="J31" s="12" t="s">
        <v>146</v>
      </c>
    </row>
    <row r="32" spans="2:10">
      <c r="B32" s="35" t="s">
        <v>2304</v>
      </c>
      <c r="C32" s="35" t="s">
        <v>2305</v>
      </c>
      <c r="D32" s="70">
        <v>7000</v>
      </c>
      <c r="E32" s="70">
        <v>14000</v>
      </c>
      <c r="F32" s="28"/>
      <c r="G32" s="35" t="s">
        <v>2306</v>
      </c>
      <c r="H32" s="35" t="s">
        <v>2305</v>
      </c>
      <c r="I32" s="70">
        <v>4500</v>
      </c>
      <c r="J32" s="70">
        <v>9000</v>
      </c>
    </row>
    <row r="33" spans="2:10">
      <c r="B33" s="35" t="s">
        <v>2307</v>
      </c>
      <c r="C33" s="35" t="s">
        <v>2308</v>
      </c>
      <c r="D33" s="35">
        <v>20</v>
      </c>
      <c r="E33" s="35">
        <v>20</v>
      </c>
      <c r="F33" s="28"/>
      <c r="G33" s="35" t="s">
        <v>2309</v>
      </c>
      <c r="H33" s="35" t="s">
        <v>2308</v>
      </c>
      <c r="I33" s="35">
        <v>20</v>
      </c>
      <c r="J33" s="35">
        <v>20</v>
      </c>
    </row>
    <row r="34" spans="2:10">
      <c r="B34" s="35" t="s">
        <v>2310</v>
      </c>
      <c r="C34" s="35" t="s">
        <v>2311</v>
      </c>
      <c r="D34" s="35">
        <v>35</v>
      </c>
      <c r="E34" s="35">
        <v>21</v>
      </c>
      <c r="F34" s="28"/>
      <c r="G34" s="35" t="s">
        <v>2312</v>
      </c>
      <c r="H34" s="35" t="s">
        <v>2311</v>
      </c>
      <c r="I34" s="35">
        <v>35</v>
      </c>
      <c r="J34" s="35" t="s">
        <v>299</v>
      </c>
    </row>
    <row r="35" spans="2:10">
      <c r="F35" s="28"/>
    </row>
    <row r="36" spans="2:10">
      <c r="C36" s="52"/>
      <c r="D36" s="52"/>
      <c r="F36" s="28"/>
    </row>
    <row r="37" spans="2:10">
      <c r="C37" s="52"/>
      <c r="D37" s="52"/>
      <c r="F37" s="28"/>
    </row>
    <row r="38" spans="2:10">
      <c r="C38" s="52"/>
      <c r="D38" s="52"/>
      <c r="F38" s="28"/>
    </row>
    <row r="39" spans="2:10">
      <c r="C39" s="52"/>
      <c r="D39" s="52"/>
      <c r="F39" s="28"/>
    </row>
    <row r="40" spans="2:10">
      <c r="F40" s="28"/>
    </row>
    <row r="41" spans="2:10">
      <c r="F41" s="28"/>
    </row>
    <row r="42" spans="2:10">
      <c r="F42" s="28"/>
    </row>
    <row r="43" spans="2:10">
      <c r="F43" s="28"/>
    </row>
    <row r="44" spans="2:10">
      <c r="F44" s="28"/>
    </row>
    <row r="45" spans="2:10">
      <c r="F45" s="28"/>
    </row>
    <row r="46" spans="2:10">
      <c r="F46" s="28"/>
    </row>
    <row r="47" spans="2:10">
      <c r="F47" s="28"/>
    </row>
    <row r="48" spans="2:10">
      <c r="F48" s="28"/>
    </row>
    <row r="49" spans="2:6">
      <c r="F49" s="28"/>
    </row>
    <row r="50" spans="2:6">
      <c r="F50" s="28"/>
    </row>
    <row r="53" spans="2:6">
      <c r="B53" t="s">
        <v>2313</v>
      </c>
      <c r="C53" t="s">
        <v>3</v>
      </c>
    </row>
    <row r="54" spans="2:6">
      <c r="F54" s="13"/>
    </row>
    <row r="55" spans="2:6">
      <c r="F55" s="13"/>
    </row>
    <row r="56" spans="2:6">
      <c r="F56" s="13"/>
    </row>
    <row r="58" spans="2:6">
      <c r="B58" t="s">
        <v>2314</v>
      </c>
      <c r="C58" s="50">
        <v>6000</v>
      </c>
    </row>
    <row r="59" spans="2:6">
      <c r="B59" t="s">
        <v>2315</v>
      </c>
      <c r="C59">
        <v>35</v>
      </c>
    </row>
    <row r="60" spans="2:6">
      <c r="B60" t="s">
        <v>2316</v>
      </c>
      <c r="C60" t="s">
        <v>11</v>
      </c>
    </row>
    <row r="61" spans="2:6">
      <c r="B61" t="s">
        <v>2317</v>
      </c>
      <c r="C61" t="s">
        <v>149</v>
      </c>
    </row>
    <row r="62" spans="2:6">
      <c r="B62" t="s">
        <v>2318</v>
      </c>
      <c r="C62" t="s">
        <v>318</v>
      </c>
      <c r="D62" t="s">
        <v>2319</v>
      </c>
    </row>
    <row r="64" spans="2:6">
      <c r="B64" s="13" t="s">
        <v>2320</v>
      </c>
      <c r="C64" t="s">
        <v>2321</v>
      </c>
      <c r="D64" t="s">
        <v>2322</v>
      </c>
      <c r="F64" s="13"/>
    </row>
    <row r="65" spans="2:6">
      <c r="C65" s="13"/>
      <c r="F65" s="13"/>
    </row>
    <row r="66" spans="2:6">
      <c r="B66" t="s">
        <v>2323</v>
      </c>
      <c r="C66" t="s">
        <v>2324</v>
      </c>
      <c r="D66" s="15" t="s">
        <v>2325</v>
      </c>
    </row>
    <row r="67" spans="2:6">
      <c r="D67" s="15" t="s">
        <v>2326</v>
      </c>
      <c r="F67" s="14"/>
    </row>
    <row r="68" spans="2:6">
      <c r="B68" t="s">
        <v>2327</v>
      </c>
      <c r="C68" t="s">
        <v>2328</v>
      </c>
      <c r="F68" s="13"/>
    </row>
    <row r="70" spans="2:6">
      <c r="B70" t="s">
        <v>2329</v>
      </c>
      <c r="C70" t="s">
        <v>2330</v>
      </c>
    </row>
    <row r="71" spans="2:6">
      <c r="B71" t="s">
        <v>2331</v>
      </c>
      <c r="C71" t="s">
        <v>2332</v>
      </c>
    </row>
    <row r="72" spans="2:6">
      <c r="F72" s="14"/>
    </row>
    <row r="73" spans="2:6">
      <c r="B73" t="s">
        <v>2333</v>
      </c>
      <c r="C73" s="13" t="s">
        <v>2334</v>
      </c>
      <c r="D73" s="15" t="s">
        <v>2335</v>
      </c>
      <c r="F73" s="13"/>
    </row>
    <row r="74" spans="2:6">
      <c r="D74" s="15" t="s">
        <v>2336</v>
      </c>
    </row>
    <row r="75" spans="2:6">
      <c r="D75" s="15" t="s">
        <v>2337</v>
      </c>
    </row>
    <row r="76" spans="2:6">
      <c r="D76" s="15" t="s">
        <v>2338</v>
      </c>
    </row>
    <row r="78" spans="2:6">
      <c r="C78" s="13" t="s">
        <v>2339</v>
      </c>
      <c r="D78" s="15" t="s">
        <v>2340</v>
      </c>
    </row>
    <row r="79" spans="2:6">
      <c r="C79" s="13"/>
      <c r="D79" s="15"/>
    </row>
    <row r="80" spans="2:6">
      <c r="C80" s="13"/>
      <c r="D80" s="15" t="s">
        <v>2341</v>
      </c>
    </row>
    <row r="81" spans="2:7">
      <c r="C81" s="13"/>
      <c r="D81" s="15" t="s">
        <v>2342</v>
      </c>
    </row>
    <row r="82" spans="2:7">
      <c r="C82" s="13"/>
      <c r="D82" s="15"/>
    </row>
    <row r="83" spans="2:7">
      <c r="C83" s="13" t="s">
        <v>2343</v>
      </c>
      <c r="D83" s="15" t="s">
        <v>2344</v>
      </c>
    </row>
    <row r="86" spans="2:7" ht="21">
      <c r="C86" s="41" t="s">
        <v>2345</v>
      </c>
    </row>
    <row r="87" spans="2:7">
      <c r="B87" t="s">
        <v>2346</v>
      </c>
      <c r="C87" t="s">
        <v>2347</v>
      </c>
    </row>
    <row r="89" spans="2:7" ht="21">
      <c r="B89" s="44" t="s">
        <v>3</v>
      </c>
      <c r="D89" s="42"/>
    </row>
    <row r="90" spans="2:7">
      <c r="G90" t="s">
        <v>2348</v>
      </c>
    </row>
    <row r="91" spans="2:7">
      <c r="B91" t="s">
        <v>2349</v>
      </c>
      <c r="D91" t="s">
        <v>2350</v>
      </c>
      <c r="G91" t="s">
        <v>11</v>
      </c>
    </row>
    <row r="92" spans="2:7">
      <c r="G92" t="s">
        <v>149</v>
      </c>
    </row>
    <row r="93" spans="2:7">
      <c r="B93" s="18" t="s">
        <v>2351</v>
      </c>
      <c r="C93" s="43">
        <v>15000</v>
      </c>
      <c r="D93" s="18" t="s">
        <v>2352</v>
      </c>
      <c r="E93" s="43">
        <v>10000</v>
      </c>
    </row>
    <row r="94" spans="2:7">
      <c r="B94" t="s">
        <v>34</v>
      </c>
      <c r="C94" s="47" t="s">
        <v>160</v>
      </c>
      <c r="D94" t="s">
        <v>2353</v>
      </c>
      <c r="E94" s="47" t="s">
        <v>160</v>
      </c>
    </row>
    <row r="95" spans="2:7">
      <c r="B95" t="s">
        <v>2354</v>
      </c>
      <c r="C95" s="47" t="s">
        <v>160</v>
      </c>
      <c r="D95" t="s">
        <v>2354</v>
      </c>
      <c r="E95" s="47" t="s">
        <v>160</v>
      </c>
    </row>
    <row r="96" spans="2:7" ht="20.25" customHeight="1">
      <c r="B96" t="s">
        <v>2355</v>
      </c>
      <c r="C96" s="47" t="s">
        <v>160</v>
      </c>
      <c r="D96" t="s">
        <v>2355</v>
      </c>
      <c r="E96" s="47" t="s">
        <v>160</v>
      </c>
    </row>
    <row r="97" spans="2:5">
      <c r="B97" t="s">
        <v>2356</v>
      </c>
      <c r="C97" s="47" t="s">
        <v>160</v>
      </c>
      <c r="D97" t="s">
        <v>2356</v>
      </c>
      <c r="E97" s="47" t="s">
        <v>160</v>
      </c>
    </row>
    <row r="98" spans="2:5" ht="45" customHeight="1">
      <c r="B98" t="s">
        <v>2357</v>
      </c>
      <c r="C98" s="47" t="s">
        <v>160</v>
      </c>
      <c r="D98" t="s">
        <v>2358</v>
      </c>
      <c r="E98" s="47" t="s">
        <v>160</v>
      </c>
    </row>
    <row r="99" spans="2:5" ht="94.5">
      <c r="B99" s="48" t="s">
        <v>2359</v>
      </c>
      <c r="C99" s="49" t="s">
        <v>160</v>
      </c>
      <c r="D99" s="48" t="s">
        <v>2360</v>
      </c>
      <c r="E99" s="49" t="s">
        <v>160</v>
      </c>
    </row>
    <row r="100" spans="2:5" ht="141.75">
      <c r="B100" s="17" t="s">
        <v>41</v>
      </c>
      <c r="C100" s="47" t="s">
        <v>160</v>
      </c>
      <c r="D100" s="17" t="s">
        <v>2361</v>
      </c>
      <c r="E100" s="47" t="s">
        <v>160</v>
      </c>
    </row>
    <row r="101" spans="2:5">
      <c r="B101" s="45" t="s">
        <v>2362</v>
      </c>
      <c r="D101" s="45" t="s">
        <v>2363</v>
      </c>
      <c r="E101" s="47" t="s">
        <v>160</v>
      </c>
    </row>
    <row r="104" spans="2:5" ht="21">
      <c r="B104" s="44" t="s">
        <v>146</v>
      </c>
    </row>
    <row r="106" spans="2:5">
      <c r="B106" t="s">
        <v>2349</v>
      </c>
      <c r="D106" t="s">
        <v>2350</v>
      </c>
    </row>
    <row r="108" spans="2:5">
      <c r="B108" s="18" t="s">
        <v>2351</v>
      </c>
      <c r="C108" s="43">
        <v>30000</v>
      </c>
      <c r="D108" s="18" t="s">
        <v>2352</v>
      </c>
      <c r="E108" s="43">
        <v>20000</v>
      </c>
    </row>
    <row r="109" spans="2:5">
      <c r="B109" t="s">
        <v>2353</v>
      </c>
      <c r="C109" t="s">
        <v>160</v>
      </c>
      <c r="D109" t="s">
        <v>2353</v>
      </c>
      <c r="E109" t="s">
        <v>160</v>
      </c>
    </row>
    <row r="110" spans="2:5">
      <c r="B110" t="s">
        <v>2354</v>
      </c>
      <c r="C110" t="s">
        <v>160</v>
      </c>
      <c r="D110" t="s">
        <v>2354</v>
      </c>
      <c r="E110" t="s">
        <v>160</v>
      </c>
    </row>
    <row r="111" spans="2:5">
      <c r="B111" t="s">
        <v>2355</v>
      </c>
      <c r="C111" t="s">
        <v>160</v>
      </c>
      <c r="D111" t="s">
        <v>2355</v>
      </c>
      <c r="E111" t="s">
        <v>160</v>
      </c>
    </row>
    <row r="112" spans="2:5">
      <c r="B112" s="13" t="s">
        <v>2364</v>
      </c>
      <c r="C112" t="s">
        <v>160</v>
      </c>
      <c r="D112" s="13" t="s">
        <v>2364</v>
      </c>
      <c r="E112" t="s">
        <v>160</v>
      </c>
    </row>
    <row r="113" spans="2:9">
      <c r="B113" s="13" t="s">
        <v>2365</v>
      </c>
      <c r="C113" t="s">
        <v>160</v>
      </c>
      <c r="D113" s="13" t="s">
        <v>2365</v>
      </c>
      <c r="E113" t="s">
        <v>160</v>
      </c>
    </row>
    <row r="114" spans="2:9">
      <c r="B114" s="13" t="s">
        <v>2366</v>
      </c>
      <c r="C114" t="s">
        <v>160</v>
      </c>
      <c r="D114" s="13" t="s">
        <v>2366</v>
      </c>
      <c r="E114" t="s">
        <v>160</v>
      </c>
    </row>
    <row r="115" spans="2:9" ht="94.5">
      <c r="B115" s="17" t="s">
        <v>2367</v>
      </c>
      <c r="C115" t="s">
        <v>160</v>
      </c>
      <c r="D115" s="17" t="s">
        <v>2360</v>
      </c>
      <c r="E115" t="s">
        <v>160</v>
      </c>
    </row>
    <row r="116" spans="2:9" ht="141.75">
      <c r="B116" s="17" t="s">
        <v>41</v>
      </c>
      <c r="C116" t="s">
        <v>160</v>
      </c>
      <c r="D116" s="17" t="s">
        <v>2361</v>
      </c>
      <c r="E116" t="s">
        <v>160</v>
      </c>
    </row>
    <row r="117" spans="2:9" ht="39.950000000000003" customHeight="1">
      <c r="C117" s="13"/>
      <c r="E117" s="13"/>
    </row>
    <row r="118" spans="2:9">
      <c r="C118" s="13"/>
      <c r="E118" s="13"/>
    </row>
    <row r="119" spans="2:9">
      <c r="C119" s="13"/>
      <c r="E119" s="13"/>
      <c r="I119" s="46"/>
    </row>
    <row r="121" spans="2:9" ht="15.95" customHeight="1">
      <c r="B121" s="16"/>
      <c r="C121" s="13"/>
      <c r="E121" s="13"/>
    </row>
    <row r="122" spans="2:9">
      <c r="C122" s="17"/>
      <c r="E122" s="17"/>
    </row>
    <row r="123" spans="2:9" ht="158.25" customHeight="1"/>
  </sheetData>
  <sheetProtection sheet="1" objects="1" scenarios="1"/>
  <pageMargins left="0.7" right="0.7" top="0.75" bottom="0.75" header="0.3" footer="0.3"/>
  <pageSetup paperSize="9"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ADCDE-14C5-FA47-8EE6-39FBFB286617}">
  <sheetPr codeName="Sheet18"/>
  <dimension ref="B2:P69"/>
  <sheetViews>
    <sheetView showGridLines="0" tabSelected="1" topLeftCell="A37" zoomScaleNormal="100" workbookViewId="0">
      <selection activeCell="K48" sqref="K48"/>
    </sheetView>
  </sheetViews>
  <sheetFormatPr defaultColWidth="11" defaultRowHeight="15.75"/>
  <cols>
    <col min="1" max="1" width="2.625" customWidth="1"/>
    <col min="2" max="2" width="25.5" bestFit="1" customWidth="1"/>
    <col min="3" max="3" width="18.5" customWidth="1"/>
    <col min="4" max="8" width="13" bestFit="1" customWidth="1"/>
    <col min="9" max="11" width="8.875" bestFit="1" customWidth="1"/>
    <col min="12" max="13" width="8.375" bestFit="1" customWidth="1"/>
    <col min="14" max="16" width="8.875" bestFit="1" customWidth="1"/>
    <col min="17" max="17" width="3.125" bestFit="1" customWidth="1"/>
  </cols>
  <sheetData>
    <row r="2" spans="2:16">
      <c r="B2" s="137" t="s">
        <v>2368</v>
      </c>
    </row>
    <row r="3" spans="2:16">
      <c r="B3" s="18" t="s">
        <v>2369</v>
      </c>
    </row>
    <row r="5" spans="2:16">
      <c r="B5" s="203" t="s">
        <v>2370</v>
      </c>
      <c r="C5" s="204">
        <v>5</v>
      </c>
      <c r="D5" s="204">
        <v>10</v>
      </c>
      <c r="E5" s="204">
        <v>15</v>
      </c>
      <c r="F5" s="204">
        <v>20</v>
      </c>
      <c r="G5" s="204">
        <v>25</v>
      </c>
      <c r="I5" s="143"/>
      <c r="J5" s="143"/>
    </row>
    <row r="6" spans="2:16">
      <c r="B6" s="204" t="s">
        <v>2371</v>
      </c>
      <c r="C6" s="205">
        <f>AVERAGEIF('Resale flat dataset (DV)'!$Z$3:$Z$322,"&lt;="&amp;'Trade-off Analysis'!$C$5,'Resale flat dataset (DV)'!$L$3:$L$322)</f>
        <v>599436.31999999995</v>
      </c>
      <c r="D6" s="205">
        <f>AVERAGEIFS('Resale flat dataset (DV)'!$L$3:$L$322,'Resale flat dataset (DV)'!$Z$3:$Z$322,"&gt;"&amp;'Trade-off Analysis'!C5,'Resale flat dataset (DV)'!$Z$3:$Z$322,"&lt;="&amp;'Trade-off Analysis'!D5)</f>
        <v>563202.05524861882</v>
      </c>
      <c r="E6" s="205">
        <f>AVERAGEIFS('Resale flat dataset (DV)'!$L$3:$L$322,'Resale flat dataset (DV)'!$Z$3:$Z$322,"&gt;"&amp;'Trade-off Analysis'!D5,'Resale flat dataset (DV)'!$Z$3:$Z$322,"&lt;="&amp;'Trade-off Analysis'!E5)</f>
        <v>552548.24691358022</v>
      </c>
      <c r="F6" s="205">
        <f>AVERAGEIFS('Resale flat dataset (DV)'!$L$3:$L$322,'Resale flat dataset (DV)'!$Z$3:$Z$322,"&gt;"&amp;'Trade-off Analysis'!E5,'Resale flat dataset (DV)'!$Z$3:$Z$322,"&lt;="&amp;'Trade-off Analysis'!F5)</f>
        <v>487857.14285714284</v>
      </c>
      <c r="G6" s="205">
        <f>AVERAGEIFS('Resale flat dataset (DV)'!$L$3:$L$322,'Resale flat dataset (DV)'!$Z$3:$Z$322,"&gt;"&amp;'Trade-off Analysis'!F5,'Resale flat dataset (DV)'!$Z$3:$Z$322,"&lt;="&amp;'Trade-off Analysis'!G5)</f>
        <v>348000</v>
      </c>
      <c r="I6" s="54"/>
      <c r="J6" s="54"/>
    </row>
    <row r="7" spans="2:16">
      <c r="I7" s="54"/>
      <c r="J7" s="54"/>
    </row>
    <row r="9" spans="2:16">
      <c r="B9" s="18"/>
    </row>
    <row r="14" spans="2:16">
      <c r="H14" s="54"/>
    </row>
    <row r="15" spans="2:16">
      <c r="K15" s="143"/>
      <c r="L15" s="143"/>
      <c r="M15" s="143"/>
      <c r="N15" s="143"/>
      <c r="O15" s="143"/>
      <c r="P15" s="143"/>
    </row>
    <row r="16" spans="2:16">
      <c r="B16" s="18"/>
      <c r="K16" s="54"/>
      <c r="L16" s="54"/>
      <c r="M16" s="54"/>
      <c r="N16" s="54"/>
      <c r="O16" s="54"/>
      <c r="P16" s="54"/>
    </row>
    <row r="17" spans="2:16">
      <c r="K17" s="54"/>
      <c r="L17" s="54"/>
      <c r="M17" s="54"/>
      <c r="N17" s="54"/>
      <c r="O17" s="54"/>
      <c r="P17" s="54"/>
    </row>
    <row r="27" spans="2:16">
      <c r="B27" s="20" t="s">
        <v>2372</v>
      </c>
      <c r="C27" s="84">
        <f>CORREL($C$5:$G$5,$C$6:$G$6)</f>
        <v>-0.92148410976010697</v>
      </c>
    </row>
    <row r="29" spans="2:16">
      <c r="B29" s="18"/>
    </row>
    <row r="31" spans="2:16">
      <c r="B31" s="137" t="s">
        <v>2373</v>
      </c>
    </row>
    <row r="32" spans="2:16">
      <c r="B32" s="18" t="s">
        <v>2374</v>
      </c>
    </row>
    <row r="34" spans="2:10">
      <c r="B34" t="s">
        <v>2375</v>
      </c>
      <c r="C34" s="88">
        <v>300000</v>
      </c>
      <c r="D34" s="13"/>
      <c r="E34" s="13"/>
      <c r="F34" s="13"/>
      <c r="G34" s="13"/>
    </row>
    <row r="35" spans="2:10">
      <c r="B35" t="s">
        <v>2376</v>
      </c>
      <c r="C35" s="230">
        <v>2.5999999999999999E-2</v>
      </c>
      <c r="D35" s="236"/>
      <c r="E35" s="236"/>
      <c r="F35" s="236"/>
      <c r="G35" s="236"/>
    </row>
    <row r="36" spans="2:10">
      <c r="B36" t="s">
        <v>250</v>
      </c>
      <c r="C36">
        <v>5</v>
      </c>
    </row>
    <row r="38" spans="2:10" ht="31.5">
      <c r="B38" s="233" t="s">
        <v>250</v>
      </c>
      <c r="C38" s="234" t="s">
        <v>2377</v>
      </c>
    </row>
    <row r="39" spans="2:10">
      <c r="B39" s="1"/>
      <c r="C39" s="235">
        <f>-PMT(C35/12,C36*12,C34)</f>
        <v>5337.4467857802047</v>
      </c>
    </row>
    <row r="40" spans="2:10">
      <c r="B40" s="232">
        <v>5</v>
      </c>
      <c r="C40" s="11">
        <f t="dataTable" ref="C40:C44" dt2D="0" dtr="0" r1="C36"/>
        <v>5337.4467857802047</v>
      </c>
    </row>
    <row r="41" spans="2:10">
      <c r="B41" s="232">
        <v>10</v>
      </c>
      <c r="C41" s="11">
        <v>2841.7596643473521</v>
      </c>
    </row>
    <row r="42" spans="2:10">
      <c r="B42" s="232">
        <v>15</v>
      </c>
      <c r="C42" s="11">
        <v>2014.5205323960329</v>
      </c>
    </row>
    <row r="43" spans="2:10">
      <c r="B43" s="232">
        <v>20</v>
      </c>
      <c r="C43" s="11">
        <v>1604.364156083562</v>
      </c>
    </row>
    <row r="44" spans="2:10" ht="15.75" customHeight="1">
      <c r="B44" s="232">
        <v>25</v>
      </c>
      <c r="C44" s="11">
        <v>1361.0085215899026</v>
      </c>
      <c r="D44" s="231"/>
      <c r="E44" s="231"/>
      <c r="G44" s="231"/>
      <c r="H44" s="293"/>
      <c r="I44" s="293"/>
      <c r="J44" s="293"/>
    </row>
    <row r="45" spans="2:10">
      <c r="D45" s="28"/>
      <c r="E45" s="28"/>
      <c r="H45" s="28"/>
      <c r="I45" s="28"/>
      <c r="J45" s="28"/>
    </row>
    <row r="46" spans="2:10">
      <c r="B46" s="227" t="s">
        <v>2372</v>
      </c>
      <c r="C46" s="237">
        <f>CORREL(B40:B44,C40:C44)</f>
        <v>-0.90048025190064984</v>
      </c>
      <c r="D46" s="16"/>
      <c r="E46" s="16"/>
      <c r="G46" s="16"/>
      <c r="H46" s="16"/>
      <c r="I46" s="16"/>
      <c r="J46" s="16"/>
    </row>
    <row r="47" spans="2:10">
      <c r="D47" s="16"/>
      <c r="E47" s="16"/>
      <c r="G47" s="16"/>
      <c r="H47" s="16"/>
      <c r="I47" s="16"/>
      <c r="J47" s="16"/>
    </row>
    <row r="48" spans="2:10">
      <c r="D48" s="16"/>
      <c r="G48" s="16"/>
      <c r="H48" s="16"/>
      <c r="I48" s="16"/>
      <c r="J48" s="16"/>
    </row>
    <row r="49" spans="4:10">
      <c r="D49" s="16"/>
      <c r="G49" s="16"/>
      <c r="H49" s="16"/>
      <c r="I49" s="16"/>
      <c r="J49" s="16"/>
    </row>
    <row r="50" spans="4:10">
      <c r="D50" s="16"/>
      <c r="G50" s="16"/>
      <c r="H50" s="16"/>
      <c r="I50" s="16"/>
      <c r="J50" s="16"/>
    </row>
    <row r="66" spans="2:2">
      <c r="B66" s="18"/>
    </row>
    <row r="67" spans="2:2">
      <c r="B67" s="18"/>
    </row>
    <row r="68" spans="2:2">
      <c r="B68" s="18"/>
    </row>
    <row r="69" spans="2:2">
      <c r="B69" s="18"/>
    </row>
  </sheetData>
  <mergeCells count="1">
    <mergeCell ref="H44:J44"/>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2EF6-3555-4CB8-88D9-4953B60ECEAE}">
  <sheetPr codeName="Sheet11"/>
  <dimension ref="B2:N23"/>
  <sheetViews>
    <sheetView showGridLines="0" zoomScale="85" zoomScaleNormal="85" workbookViewId="0">
      <selection activeCell="Z26" sqref="Z26"/>
    </sheetView>
  </sheetViews>
  <sheetFormatPr defaultColWidth="8.875" defaultRowHeight="15.75"/>
  <cols>
    <col min="1" max="1" width="3" customWidth="1"/>
    <col min="2" max="2" width="15.875" customWidth="1"/>
    <col min="3" max="3" width="9.125" bestFit="1" customWidth="1"/>
  </cols>
  <sheetData>
    <row r="2" spans="2:12">
      <c r="B2" t="s">
        <v>2378</v>
      </c>
    </row>
    <row r="3" spans="2:12">
      <c r="B3" t="s">
        <v>2379</v>
      </c>
      <c r="D3" t="s">
        <v>2380</v>
      </c>
      <c r="E3" s="13">
        <v>10</v>
      </c>
      <c r="F3" s="13">
        <v>15</v>
      </c>
      <c r="G3" s="13">
        <v>20</v>
      </c>
      <c r="H3" s="13">
        <v>25</v>
      </c>
      <c r="I3" s="13">
        <v>30</v>
      </c>
    </row>
    <row r="4" spans="2:12">
      <c r="B4" t="s">
        <v>2381</v>
      </c>
      <c r="E4" s="176">
        <v>0.01</v>
      </c>
      <c r="F4" s="176">
        <v>0.02</v>
      </c>
      <c r="G4" s="176">
        <v>0.03</v>
      </c>
      <c r="H4" s="176">
        <v>0.04</v>
      </c>
      <c r="I4" s="176">
        <v>0.05</v>
      </c>
    </row>
    <row r="8" spans="2:12">
      <c r="B8" t="s">
        <v>2382</v>
      </c>
    </row>
    <row r="9" spans="2:12">
      <c r="B9" t="s">
        <v>2383</v>
      </c>
    </row>
    <row r="11" spans="2:12">
      <c r="B11" t="s">
        <v>2384</v>
      </c>
      <c r="H11" s="176"/>
    </row>
    <row r="12" spans="2:12">
      <c r="H12" t="s">
        <v>2385</v>
      </c>
      <c r="I12" t="s">
        <v>2386</v>
      </c>
      <c r="J12" t="s">
        <v>2387</v>
      </c>
      <c r="K12" t="s">
        <v>2388</v>
      </c>
    </row>
    <row r="13" spans="2:12">
      <c r="B13" t="s">
        <v>2389</v>
      </c>
      <c r="G13" t="s">
        <v>2390</v>
      </c>
      <c r="H13" s="191">
        <v>0.33</v>
      </c>
      <c r="I13" s="176">
        <v>0.5</v>
      </c>
      <c r="J13" s="191">
        <v>0.6</v>
      </c>
      <c r="K13" s="191">
        <v>0.7</v>
      </c>
      <c r="L13" s="191">
        <v>0.8</v>
      </c>
    </row>
    <row r="14" spans="2:12">
      <c r="G14" t="s">
        <v>2391</v>
      </c>
      <c r="H14" s="191">
        <v>0.33</v>
      </c>
      <c r="I14" s="176">
        <v>0.3</v>
      </c>
      <c r="J14" s="191">
        <v>0.3</v>
      </c>
      <c r="K14" s="191">
        <v>0.25</v>
      </c>
      <c r="L14" s="191">
        <v>0.1</v>
      </c>
    </row>
    <row r="15" spans="2:12">
      <c r="B15" s="13" t="s">
        <v>2392</v>
      </c>
      <c r="G15" t="s">
        <v>2393</v>
      </c>
      <c r="H15" s="191">
        <v>0.33</v>
      </c>
      <c r="I15" s="176">
        <v>0.2</v>
      </c>
      <c r="J15" s="191">
        <v>0.1</v>
      </c>
      <c r="K15" s="191">
        <v>0.05</v>
      </c>
      <c r="L15" s="191">
        <v>0.05</v>
      </c>
    </row>
    <row r="16" spans="2:12">
      <c r="B16" s="13">
        <v>1</v>
      </c>
      <c r="C16" s="182">
        <v>0.6</v>
      </c>
      <c r="D16" s="182"/>
      <c r="E16" s="182"/>
      <c r="F16" s="182"/>
    </row>
    <row r="17" spans="2:14">
      <c r="B17" s="13">
        <v>2</v>
      </c>
      <c r="C17" s="182">
        <v>0.3</v>
      </c>
      <c r="D17" s="182"/>
      <c r="E17" s="182"/>
      <c r="F17" s="182"/>
    </row>
    <row r="18" spans="2:14">
      <c r="B18" s="13">
        <v>3</v>
      </c>
      <c r="C18" s="182">
        <v>0.1</v>
      </c>
      <c r="D18" s="182">
        <v>0.15</v>
      </c>
      <c r="E18" s="182"/>
      <c r="F18" s="182"/>
    </row>
    <row r="19" spans="2:14">
      <c r="H19" t="s">
        <v>2390</v>
      </c>
      <c r="I19" t="s">
        <v>2391</v>
      </c>
      <c r="J19" t="s">
        <v>2393</v>
      </c>
      <c r="K19" t="s">
        <v>2385</v>
      </c>
      <c r="L19" t="s">
        <v>2386</v>
      </c>
      <c r="M19" t="s">
        <v>2387</v>
      </c>
      <c r="N19" t="s">
        <v>2388</v>
      </c>
    </row>
    <row r="20" spans="2:14">
      <c r="H20">
        <v>1</v>
      </c>
      <c r="I20">
        <v>6</v>
      </c>
      <c r="J20">
        <v>3</v>
      </c>
      <c r="K20">
        <f>(H20*H13)+(I20*H$14)+(J20*H$15)</f>
        <v>3.3</v>
      </c>
      <c r="L20">
        <f>(H20*I$13)+(I20*I$14)+(J20*I$15)</f>
        <v>2.9</v>
      </c>
      <c r="M20">
        <f>(H20*J$13)+(I20*J$14)+(J20*J$15)</f>
        <v>2.7</v>
      </c>
      <c r="N20">
        <f>(H20*K$13)+(I20*K$14)+(J20*K$15)</f>
        <v>2.35</v>
      </c>
    </row>
    <row r="21" spans="2:14">
      <c r="G21" s="18"/>
      <c r="H21" s="18">
        <v>2</v>
      </c>
      <c r="I21" s="18">
        <v>3</v>
      </c>
      <c r="J21" s="18">
        <v>4</v>
      </c>
      <c r="K21">
        <f>(H21*H$13)+(I21*H$14)+(J21*H$15)</f>
        <v>2.9699999999999998</v>
      </c>
      <c r="L21">
        <f>(H21*I$13)+(I21*I$14)+(J21*I$15)</f>
        <v>2.7</v>
      </c>
      <c r="M21">
        <f>(H21*J$13)+(I21*J$14)+(J21*J$15)</f>
        <v>2.4999999999999996</v>
      </c>
      <c r="N21">
        <f>(H21*K$13)+(I21*K$14)+(J21*K$15)</f>
        <v>2.35</v>
      </c>
    </row>
    <row r="22" spans="2:14">
      <c r="H22">
        <v>5</v>
      </c>
      <c r="I22">
        <v>15</v>
      </c>
      <c r="J22">
        <v>30</v>
      </c>
      <c r="K22">
        <f>(H22*H$13)+(I22*H$14)+(J22*H$15)</f>
        <v>16.5</v>
      </c>
      <c r="L22">
        <f>(H22*I$13)+(I22*I$14)+(J22*I$15)</f>
        <v>13</v>
      </c>
      <c r="M22">
        <f>(H22*J$13)+(I22*J$14)+(J22*J$15)</f>
        <v>10.5</v>
      </c>
      <c r="N22">
        <f>(H22*K$13)+(I22*K$14)+(J22*K$15)</f>
        <v>8.75</v>
      </c>
    </row>
    <row r="23" spans="2:14">
      <c r="H23">
        <v>10</v>
      </c>
      <c r="I23">
        <v>20</v>
      </c>
      <c r="J23">
        <v>30</v>
      </c>
      <c r="K23">
        <f>(H23*H$13)+(I23*H$14)+(J23*H$15)</f>
        <v>19.8</v>
      </c>
      <c r="L23">
        <f>(H23*I$13)+(I23*I$14)+(J23*I$15)</f>
        <v>17</v>
      </c>
      <c r="M23">
        <f>(H23*J$13)+(I23*J$14)+(J23*J$15)</f>
        <v>15</v>
      </c>
      <c r="N23">
        <f>(H23*K$13)+(I23*K$14)+(J23*K$15)</f>
        <v>13.5</v>
      </c>
    </row>
  </sheetData>
  <phoneticPr fontId="19"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User Interface</vt:lpstr>
      <vt:lpstr>HDB Reco Model Diagrams</vt:lpstr>
      <vt:lpstr>Loan Model Diagrams</vt:lpstr>
      <vt:lpstr>Output</vt:lpstr>
      <vt:lpstr>Data Validation Tables UI</vt:lpstr>
      <vt:lpstr>HDB Recommender</vt:lpstr>
      <vt:lpstr>HDB Lease Calculator</vt:lpstr>
      <vt:lpstr>Data Validation Tables M2</vt:lpstr>
      <vt:lpstr>Resale flat dataset</vt:lpstr>
      <vt:lpstr>Resale flat dataset (DV)</vt:lpstr>
      <vt:lpstr>MRT station dataset</vt:lpstr>
      <vt:lpstr>Schools dataset</vt:lpstr>
      <vt:lpstr>Mall Dataset</vt:lpstr>
      <vt:lpstr>Housing Grants Criterias</vt:lpstr>
      <vt:lpstr>Trade-off Analysis</vt:lpstr>
      <vt:lpstr>Sensitivity Analysis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Hansel Loh</dc:creator>
  <cp:keywords/>
  <dc:description/>
  <cp:lastModifiedBy>Adrianus TJOATJA WIDJAJA</cp:lastModifiedBy>
  <cp:revision/>
  <dcterms:created xsi:type="dcterms:W3CDTF">2023-10-07T13:17:07Z</dcterms:created>
  <dcterms:modified xsi:type="dcterms:W3CDTF">2023-12-05T17:05:37Z</dcterms:modified>
  <cp:category/>
  <cp:contentStatus/>
</cp:coreProperties>
</file>